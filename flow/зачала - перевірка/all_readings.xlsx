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ol" sheetId="1" r:id="rId4"/>
    <sheet state="visible" name="apostol_triodion" sheetId="2" r:id="rId5"/>
    <sheet state="visible" name="evanhelie" sheetId="3" r:id="rId6"/>
    <sheet state="hidden" name="apostol_menaion" sheetId="4" r:id="rId7"/>
    <sheet state="hidden" name="evanhelie_menaion" sheetId="5" r:id="rId8"/>
    <sheet state="visible" name="evanhelie_triodion" sheetId="6" r:id="rId9"/>
    <sheet state="hidden" name="evanhelie_resurrection" sheetId="7" r:id="rId10"/>
    <sheet state="hidden" name="lists" sheetId="8" r:id="rId11"/>
    <sheet state="hidden" name="new_apostol" sheetId="9" r:id="rId12"/>
    <sheet state="hidden" name="new_evanhelie" sheetId="10" r:id="rId13"/>
    <sheet state="hidden" name="issues" sheetId="11" r:id="rId14"/>
  </sheets>
  <definedNames>
    <definedName hidden="1" localSheetId="0" name="_xlnm._FilterDatabase">apostol!$A$1:$P$395</definedName>
    <definedName hidden="1" localSheetId="1" name="_xlnm._FilterDatabase">apostol_triodion!$A$1:$L$318</definedName>
    <definedName hidden="1" localSheetId="2" name="_xlnm._FilterDatabase">evanhelie!$A$1:$P$483</definedName>
    <definedName hidden="1" localSheetId="3" name="_xlnm._FilterDatabase">apostol_menaion!$A$1:$O$87</definedName>
    <definedName hidden="1" localSheetId="4" name="_xlnm._FilterDatabase">evanhelie_menaion!$A$1:$O$113</definedName>
    <definedName hidden="1" localSheetId="5" name="_xlnm._FilterDatabase">evanhelie_triodion!$A$1:$O$327</definedName>
    <definedName hidden="1" localSheetId="6" name="_xlnm._FilterDatabase">evanhelie_resurrection!$A$1:$G$4</definedName>
    <definedName hidden="1" localSheetId="8" name="_xlnm._FilterDatabase">new_apostol!$A$1:$G$42</definedName>
    <definedName hidden="1" localSheetId="9" name="_xlnm._FilterDatabase">new_evanhelie!$A$1:$N$34</definedName>
  </definedNames>
  <calcPr/>
  <extLst>
    <ext uri="GoogleSheetsCustomDataVersion2">
      <go:sheetsCustomData xmlns:go="http://customooxmlschemas.google.com/" r:id="rId15" roundtripDataChecksum="CZQevf+FFpyOhA0jZdMbO87SYozBrsf3f4cqFEJBREw="/>
    </ext>
  </extLst>
</workbook>
</file>

<file path=xl/sharedStrings.xml><?xml version="1.0" encoding="utf-8"?>
<sst xmlns="http://schemas.openxmlformats.org/spreadsheetml/2006/main" count="8617" uniqueCount="1856">
  <si>
    <t>Читання</t>
  </si>
  <si>
    <t>Книга</t>
  </si>
  <si>
    <t>Книга_код</t>
  </si>
  <si>
    <t># зач.</t>
  </si>
  <si>
    <t>abc</t>
  </si>
  <si>
    <t>Присвята</t>
  </si>
  <si>
    <t>Примітка</t>
  </si>
  <si>
    <t>Дата (мінея)</t>
  </si>
  <si>
    <t>Період</t>
  </si>
  <si>
    <t>Тиждень від</t>
  </si>
  <si>
    <t>Тиждень
до ВП</t>
  </si>
  <si>
    <t>День тижня</t>
  </si>
  <si>
    <t>Обч. день тижня</t>
  </si>
  <si>
    <t>Обч. період</t>
  </si>
  <si>
    <t>Обч. тиждень</t>
  </si>
  <si>
    <t>empty?</t>
  </si>
  <si>
    <t>Ді. 1 зач.; 1, 1-8.</t>
  </si>
  <si>
    <t>ap</t>
  </si>
  <si>
    <t>a</t>
  </si>
  <si>
    <t>В святу й велику неділю Пасхи</t>
  </si>
  <si>
    <t>lent</t>
  </si>
  <si>
    <t>Ді. 1 зач.; 1, 1-12.</t>
  </si>
  <si>
    <t>b</t>
  </si>
  <si>
    <t>На Вознесення Господнє</t>
  </si>
  <si>
    <t>pascha</t>
  </si>
  <si>
    <t>Ді. 2 зач.; 1, 12-17; 21-26.</t>
  </si>
  <si>
    <t>Понеділок світлого тижня. Цей і ап. Матію</t>
  </si>
  <si>
    <t>Ді. 3 зач.; 2, 1-11.</t>
  </si>
  <si>
    <t>Неділя 50-ці</t>
  </si>
  <si>
    <t>pentecost</t>
  </si>
  <si>
    <t>Ді. 4 зач.; 2, 14-21.</t>
  </si>
  <si>
    <t>Вівторок світлого тижня</t>
  </si>
  <si>
    <t>Ді. 5 зач.; 2, 22-36.</t>
  </si>
  <si>
    <t>Середа світлого тижня</t>
  </si>
  <si>
    <t>Ді. 6 зач.; 2, 38-43.</t>
  </si>
  <si>
    <t>Четвер світлого тижня</t>
  </si>
  <si>
    <t>Ді. 7 зач.; 3, 1-8.</t>
  </si>
  <si>
    <t>П'ятниця світлого тижня</t>
  </si>
  <si>
    <t>Ді. 8 зач.; 3, 11-16.</t>
  </si>
  <si>
    <t>Субота світлого тижня</t>
  </si>
  <si>
    <t>Ді. 9 зач.; 3, 19-26.</t>
  </si>
  <si>
    <t>Понеділок 2-го тижня після Пасхи</t>
  </si>
  <si>
    <t>Ді. 10 зач.; 4, 1-10.</t>
  </si>
  <si>
    <t>Вівторок 2-го тижня після Пасхи</t>
  </si>
  <si>
    <t>Ді. 11 зач.; 4, 13-22.</t>
  </si>
  <si>
    <t>Середа 2-го тижня після Пасхи</t>
  </si>
  <si>
    <t>Ді. 12 зач.; 4, 23-31.</t>
  </si>
  <si>
    <t>Четвер 2-го тижня після Пасхи</t>
  </si>
  <si>
    <t>Ді. 13 зач.; 5, 1-11.</t>
  </si>
  <si>
    <t>П'ятниця 2-го тижня після Пасхи</t>
  </si>
  <si>
    <t>Ді. 14 зач.; 5, 12-20.</t>
  </si>
  <si>
    <t>Томина неділя</t>
  </si>
  <si>
    <t>Ді. 15 зач.; 5, 21-33.</t>
  </si>
  <si>
    <t>Субота 2-го тижня після Пасхи</t>
  </si>
  <si>
    <t>2</t>
  </si>
  <si>
    <t>Ді. 16 зач.; 6, 1-7.</t>
  </si>
  <si>
    <t>Неділя 3-тя після Пасхи</t>
  </si>
  <si>
    <t>3</t>
  </si>
  <si>
    <t>Ді. 17 зач.; 6, 8 – 7, 5; 47-60.</t>
  </si>
  <si>
    <t>Понеділок 3-го тижня після Пасхи. Цей і святому Стефанові первомученику</t>
  </si>
  <si>
    <t>Ді. 18 зач.; 8, 5-17.</t>
  </si>
  <si>
    <t>Вівторок 3-го тижня після Пасхи</t>
  </si>
  <si>
    <t>Ді. 19 зач.; 8, 18-25.</t>
  </si>
  <si>
    <t>Середа 3-го тижня після Пасхи</t>
  </si>
  <si>
    <t>Ді. 20 зач.; 8, 26-39.</t>
  </si>
  <si>
    <t>Четвер 3-го тижня після Пасхи</t>
  </si>
  <si>
    <t>Ді. 21 зач.; 8, 40 – 9, 19.</t>
  </si>
  <si>
    <t>П'ятниця 3-го тижня після Пасхи</t>
  </si>
  <si>
    <t>Ді. 21 зач.; 9, 10-19.</t>
  </si>
  <si>
    <t>ап. Ананії</t>
  </si>
  <si>
    <t>*</t>
  </si>
  <si>
    <t/>
  </si>
  <si>
    <t>Ді. 22 зач.; 9, 20-31.</t>
  </si>
  <si>
    <t>Субота 3-тя після Пасхи</t>
  </si>
  <si>
    <t>Ді. 23 зач.; 9, 32-42.</t>
  </si>
  <si>
    <t>Неділя 4-та, про розслабленого</t>
  </si>
  <si>
    <t>Ді. 24 зач.; 10, 1-16.</t>
  </si>
  <si>
    <t>Понеділок 4-го тижня після Пасхи</t>
  </si>
  <si>
    <t>4</t>
  </si>
  <si>
    <t>Ді. 25 зач.; 10, 21-33.</t>
  </si>
  <si>
    <t>Вівторок 4-го тижня після Пасхи</t>
  </si>
  <si>
    <t>Ді. 26 зач.; 10, 34-43.</t>
  </si>
  <si>
    <t>Четвер 4-го тижня після Пасхи</t>
  </si>
  <si>
    <t>Ді. 27 зач.; 10, 44 – 11, 10.</t>
  </si>
  <si>
    <t>П'ятниця 4-го тижня після Пасхи</t>
  </si>
  <si>
    <t>Ді. 28 зач.; 11, 19-26; 29-30.</t>
  </si>
  <si>
    <t>Неділя 5-та, про самарянку. Цей же і Вартоломею та Варнаві</t>
  </si>
  <si>
    <t>Ді. 29 зач.; 12, 1-11.</t>
  </si>
  <si>
    <t>Субота 4-та після Пасихи. Цей же і святому мученикові Юрієві, і Яковові Заведеєві</t>
  </si>
  <si>
    <t>Ді. 30 зач.; 12, 12-17.</t>
  </si>
  <si>
    <t>Понеділок 5-го тижня після Пасхи</t>
  </si>
  <si>
    <t>5</t>
  </si>
  <si>
    <t>Ді. 31 зач.; 12, 25 – 13, 12.</t>
  </si>
  <si>
    <t>Вівторок 5-го тижня після Пасхи</t>
  </si>
  <si>
    <t>Ді. 32 зач.; 13, 13-24.</t>
  </si>
  <si>
    <t>Середа 5-го тижня після Пасхи</t>
  </si>
  <si>
    <t>Ді. 33 зач.; 13, 25-33.</t>
  </si>
  <si>
    <t>Усікновення голови св. Івана Христителя</t>
  </si>
  <si>
    <t>Ді. 34 зач.; 14, 6-18.</t>
  </si>
  <si>
    <t>Середа Переполовення</t>
  </si>
  <si>
    <t>Ді. 35 зач.; 14, 20-27.</t>
  </si>
  <si>
    <t>Четвер 5-го тижня після Пасхи</t>
  </si>
  <si>
    <t>Ді. 36 зач.; 15, 5-34.</t>
  </si>
  <si>
    <t>П'ятниця 5-го тижня після Пасхи</t>
  </si>
  <si>
    <t>Ді. 37 зач.; 15, 35-41.</t>
  </si>
  <si>
    <t>Субота 5-го тижня після Пасхи</t>
  </si>
  <si>
    <t>Ді. 38 зач.; 16, 16-34.</t>
  </si>
  <si>
    <t>Неділя 6-та, про сліпого</t>
  </si>
  <si>
    <t>Ді. 39 зач.; 17, 1-15.</t>
  </si>
  <si>
    <t>Понеділок 6-го тижня після Пасхи</t>
  </si>
  <si>
    <t>6</t>
  </si>
  <si>
    <t>Ді. 40 зач.; 17, 19-28.</t>
  </si>
  <si>
    <t>Вівторок 6-го тижня після Пасхи</t>
  </si>
  <si>
    <t>Ді. 40 зач.; 17, 16-34.</t>
  </si>
  <si>
    <t>Святому Діонисієві Ареопагітові</t>
  </si>
  <si>
    <t>Ді. 40 зач.; 18, 1-11.</t>
  </si>
  <si>
    <t>c</t>
  </si>
  <si>
    <t>На заснування і оновлення міста</t>
  </si>
  <si>
    <t>Ді. 41 зач.; 18, 22-28.</t>
  </si>
  <si>
    <t>Середа 6-го тижня після Пасхи</t>
  </si>
  <si>
    <t>Ді. 42 зач.; 19, 1-8.</t>
  </si>
  <si>
    <t>П'ятниця 6-го тижня після Пасхи. Це й 8-го січня, Христителеві</t>
  </si>
  <si>
    <t>?</t>
  </si>
  <si>
    <t>Ді. 43 зач.; 20, 7-12.</t>
  </si>
  <si>
    <t>Субота 6-та після Пасхи</t>
  </si>
  <si>
    <t>Ді. 44 зач.; 20, 16-18; 28-36.</t>
  </si>
  <si>
    <t>Неділя 7-ма, святих отців</t>
  </si>
  <si>
    <t>Ді. 45 зач.; 21, 8-14.</t>
  </si>
  <si>
    <t>Понеділок 7-го тижня після Пасхи</t>
  </si>
  <si>
    <t>7</t>
  </si>
  <si>
    <t>Ді. 46 зач.; 21, 26-32.</t>
  </si>
  <si>
    <t>Вівторок 7-го тижня після Пасхи</t>
  </si>
  <si>
    <t>Ді. 47 зач.; 23, 1-11.</t>
  </si>
  <si>
    <t>Середа 7-го тижня після Пасхи</t>
  </si>
  <si>
    <t>Ді. 48 зач.; 25, 13-19.</t>
  </si>
  <si>
    <t>Четвер 7-го тижня після Пасхи</t>
  </si>
  <si>
    <t>Ді. 49 зач.; 26, 1-5; 12-20.</t>
  </si>
  <si>
    <t>21-го травня, цареві Константинові, цей і княгині Ользі</t>
  </si>
  <si>
    <t>21</t>
  </si>
  <si>
    <t>Ді. 50 зач.; 27, 1-44.</t>
  </si>
  <si>
    <t>П'ятниця 7-го тижня після Пасхи</t>
  </si>
  <si>
    <t>Як. 50 зач.; 1, 1-18.</t>
  </si>
  <si>
    <t>Середа 31-го тижня після 50-ці</t>
  </si>
  <si>
    <t>31</t>
  </si>
  <si>
    <t>Ді. 51 зач.; 28, 1-31.</t>
  </si>
  <si>
    <t>Субота 7-ма після Пасхи</t>
  </si>
  <si>
    <t>Як. 51 зач.; 1, 19-27.</t>
  </si>
  <si>
    <t>Четвер 31-го тижня після 50-ці</t>
  </si>
  <si>
    <t>Як. 52 зач.; 2, 1-13.</t>
  </si>
  <si>
    <t>П'ятниця 31-го тижня після 50-ці</t>
  </si>
  <si>
    <t>Як. 53 зач.; 2, 14-26.</t>
  </si>
  <si>
    <t>Понеділок 32-го тижня після 50-ці</t>
  </si>
  <si>
    <t>32</t>
  </si>
  <si>
    <t>Як. 54 зач.; 3, 1-10.</t>
  </si>
  <si>
    <t>Вівторок 32-го тижня після 50-ці</t>
  </si>
  <si>
    <t>Як. 55 зач.; 3, 11 – 4, 6.</t>
  </si>
  <si>
    <t>Середа 32-го тижня після 50-ці</t>
  </si>
  <si>
    <t>Як. 56 зач.; 4, 7 – 5, 9.</t>
  </si>
  <si>
    <t>Четвер 32-го тижня після 50-ці</t>
  </si>
  <si>
    <t>Як. 57 зач.; 5, 10-20.</t>
  </si>
  <si>
    <t>20-го липня, пророкові Іллі. Цей же й над хворими</t>
  </si>
  <si>
    <t>20</t>
  </si>
  <si>
    <t>1 Пт. 58 зач.; 1, 1-2; 10-12; 2, 6-10.</t>
  </si>
  <si>
    <t>П'ятниця 32-го тижня після 50-ці</t>
  </si>
  <si>
    <t>1 Пт. 58 зач.; 1, 3-9.</t>
  </si>
  <si>
    <t>Паремія 1-ша в пам'ять святих апостолів Петра й Павла</t>
  </si>
  <si>
    <t>1</t>
  </si>
  <si>
    <t>1 Пт. 58 зач.; 1, 13-19.</t>
  </si>
  <si>
    <t>Паремія 2-га в пам'ять святих апостолів Петра й Павла</t>
  </si>
  <si>
    <t>1 Пт. 58 зач.; 2, 11-24.</t>
  </si>
  <si>
    <t>d</t>
  </si>
  <si>
    <t>Паремія 3-тя в пам'ять святих апостолів Петра й Павла</t>
  </si>
  <si>
    <t>1 Пт. 59 зач.; 2, 21 – 3, 9.</t>
  </si>
  <si>
    <t>Понеділок 33-го тижня після 50-ці</t>
  </si>
  <si>
    <t>33</t>
  </si>
  <si>
    <t>1 Пт. 60 зач.; 3, 10-22.</t>
  </si>
  <si>
    <t>Вівторок 33-го тижня після 50-ці</t>
  </si>
  <si>
    <t>1 Пт. 61 зач.; 4, 1-11.</t>
  </si>
  <si>
    <t>Середа 33-го тижня після 50-ці</t>
  </si>
  <si>
    <t>1 Пт. 62 зач.; 4, 12 – 5, 5.</t>
  </si>
  <si>
    <t>Четвер 33-го тижня після 50-ці</t>
  </si>
  <si>
    <t>1 Пт. 63 зач.; 5, 6-14.</t>
  </si>
  <si>
    <t>Євангелистові Маркові</t>
  </si>
  <si>
    <t>2 Пт. 64 зач.; 1, 1-10.</t>
  </si>
  <si>
    <t>П'ятниця 33-го тижня після 50-ці</t>
  </si>
  <si>
    <t>2 Пт. 65 зач.; 1, 10-19.</t>
  </si>
  <si>
    <t>На Преображення Господнє</t>
  </si>
  <si>
    <t>2 Пт. 66 зач.; 1, 20 – 2, 9.</t>
  </si>
  <si>
    <t>Понеділок 34-го тижня після 50-ці</t>
  </si>
  <si>
    <t>34</t>
  </si>
  <si>
    <t>2 Пт. 67 зач.; 2, 9-22.</t>
  </si>
  <si>
    <t>Вівторок 34-го тижня після 50-ці</t>
  </si>
  <si>
    <t>2 Пт. 68 зач.; 3, 1-18.</t>
  </si>
  <si>
    <t>Середа 34-го тижня після 50-ці</t>
  </si>
  <si>
    <t>1 Йо. 68 зач.; 1, 1-7.</t>
  </si>
  <si>
    <t>8-го травня, св. Івана Богослова</t>
  </si>
  <si>
    <t>8</t>
  </si>
  <si>
    <t>1 Йо. 69 зач.; 1, 8 – 2, 6.</t>
  </si>
  <si>
    <t>Четвер 34-го тижня після 50-ці</t>
  </si>
  <si>
    <t>1 Йо. 70 зач.; 2, 7-17.</t>
  </si>
  <si>
    <t>П'ятниця 34-го тижня після 50-ці</t>
  </si>
  <si>
    <t>1 Йо. 71 зач.; 2, 18 – 3, 10.</t>
  </si>
  <si>
    <t>Понеділок 35-го тижня після 50-ці</t>
  </si>
  <si>
    <t>35</t>
  </si>
  <si>
    <t>1 Йо. 72 зач.; 3, 10-20.</t>
  </si>
  <si>
    <t>Вівторок 35-го тижня після 50-ці</t>
  </si>
  <si>
    <t>1 Йо. 73 зач.; 4, 12-19.</t>
  </si>
  <si>
    <t>26-го вересня, переставлення Апостола Івана Богослова</t>
  </si>
  <si>
    <t>26</t>
  </si>
  <si>
    <t>1 Йо. 73 зач.; 3, 21 – 4, 6.</t>
  </si>
  <si>
    <t>Середа 35-го тижня після 50-ці. Цей і на вечірні Богословові, перша паремія</t>
  </si>
  <si>
    <t>1 Йо. 73 зач.; 4, 11-16.</t>
  </si>
  <si>
    <t>Друга паремія</t>
  </si>
  <si>
    <t>1 Йо. 74 зач.; 4, 20 – 5, 21.</t>
  </si>
  <si>
    <t>Четвер 35-го тижня після 50-ці. Цей і третя паремія</t>
  </si>
  <si>
    <t>2 Йо. 75 зач.; 1, 1-13.</t>
  </si>
  <si>
    <t>П'ятниця 35-го тижня після 50-ці</t>
  </si>
  <si>
    <t>3 Йо. 76 зач.; 1, 1-15.</t>
  </si>
  <si>
    <t>Понеділок сирний</t>
  </si>
  <si>
    <t>1 Ів. 68 зач.; 1, 1-7.</t>
  </si>
  <si>
    <t>1 Ів. 69 зач.; 1, 8 – 2, 6.</t>
  </si>
  <si>
    <t>1 Ів. 70 зач.; 2, 7-17.</t>
  </si>
  <si>
    <t>1 Ів. 71 зач.; 2, 18 – 3, 10.</t>
  </si>
  <si>
    <t>1 Ів. 72 зач.; 3, 10-20.</t>
  </si>
  <si>
    <t>1 Ів. 73 зач.; 4, 12-19.</t>
  </si>
  <si>
    <t>1 Ів. 73 зач.; 3, 21 – 4, 6.</t>
  </si>
  <si>
    <t>1 Ів. 73 зач.; 4, 11-16.</t>
  </si>
  <si>
    <t>1 Ів. 74 зач.; 4, 20 – 5, 21.</t>
  </si>
  <si>
    <t>2 Ів. 75 зач.; 1, 1-13.</t>
  </si>
  <si>
    <t>3 Ів. 76 зач.; 1, 1-15.</t>
  </si>
  <si>
    <t>Юд. 77 зач.; 1, 1-10.</t>
  </si>
  <si>
    <t>Сирний вівторок. Це і апостолу Юді</t>
  </si>
  <si>
    <t>Юд. 78 зач.; 1, 11-25.</t>
  </si>
  <si>
    <t>Сирний четвер</t>
  </si>
  <si>
    <t>Рим. 79 зач.; 1, 1-7; 13-17.</t>
  </si>
  <si>
    <t>Вівторок 1-го тижня після 50-ці</t>
  </si>
  <si>
    <t>Рим. 79 зач.; 1, 7-12.</t>
  </si>
  <si>
    <t>Субота 1-ша після 50-ці</t>
  </si>
  <si>
    <t>Рим. 80 зач.; 1, 18-27.</t>
  </si>
  <si>
    <t>Середа 1-го тижня після 50-ці</t>
  </si>
  <si>
    <t>Рим. 81 зач.; 1, 28 – 2, 9.</t>
  </si>
  <si>
    <t>Четвер 1-го тижня після 50-ці</t>
  </si>
  <si>
    <t>Рим. 81 зач.; 2, 10-16.</t>
  </si>
  <si>
    <t>Неділя 2-га після 50-ці</t>
  </si>
  <si>
    <t>Рим. 82 зач.; 2, 14-29.</t>
  </si>
  <si>
    <t>П'ятниця 1-го тижня після 50-ці</t>
  </si>
  <si>
    <t>Рим. 83 зач.; 2, 28 – 3, 18.</t>
  </si>
  <si>
    <t>Понеділок 2-го тижня після 50-ці</t>
  </si>
  <si>
    <t>Рим. 84 зач.; 3, 19-26.</t>
  </si>
  <si>
    <t>Субота 2-га після 50-ці</t>
  </si>
  <si>
    <t>Рим. 85 зач.; 3, 28 – 4, 3.</t>
  </si>
  <si>
    <t>Субота 3-тя після 50-ці</t>
  </si>
  <si>
    <t>Рим. 86 зач.; 4, 4-12.</t>
  </si>
  <si>
    <t>Вівторок 2-го тижня після 50-ці</t>
  </si>
  <si>
    <t>Рим. 87 зач.; 4, 13-25.</t>
  </si>
  <si>
    <t>Середа 2-го тижня після 50-ці</t>
  </si>
  <si>
    <t>Рим. 88 зач.; 5, 1-10.</t>
  </si>
  <si>
    <t>Неділя 3-тя після 50-ці</t>
  </si>
  <si>
    <t>Рим. 88 зач.; 5, 6-11.</t>
  </si>
  <si>
    <t>На 3-му Часі Великої п'ятниці</t>
  </si>
  <si>
    <t>Рим. 89 зач.; 5, 10-16.</t>
  </si>
  <si>
    <t>Четвер 2-го тижня після 50-ці</t>
  </si>
  <si>
    <t>Рим. 90 зач.; 5, 17 – 6, 2.</t>
  </si>
  <si>
    <t>П'ятниця 2-го тижня після 50-ці</t>
  </si>
  <si>
    <t>Рим. 91 зач.; 6, 3-11.</t>
  </si>
  <si>
    <t>Свята й Велика субота вечора</t>
  </si>
  <si>
    <t>Рим. 92 зач.; 6, 11-17.</t>
  </si>
  <si>
    <t>Субота 4-та після 50-ці</t>
  </si>
  <si>
    <t>Рим. 93 зач.; 6, 18-23.</t>
  </si>
  <si>
    <t>Неділя 4-та після 50-ці</t>
  </si>
  <si>
    <t>Рим. 94 зач.; 7, 1-13.</t>
  </si>
  <si>
    <t>Понеділок 3-го тижня після 50-ці</t>
  </si>
  <si>
    <t>Рим. 95 зач.; 7, 14 – 8, 2.</t>
  </si>
  <si>
    <t>Вівторок 3-го тижня після 50-ці</t>
  </si>
  <si>
    <t>Рим. 96 зач.; 8, 2-13.</t>
  </si>
  <si>
    <t>Середа 3-го тижня після 50-ці</t>
  </si>
  <si>
    <t>Рим. 96 зач.; 8, 3-9.</t>
  </si>
  <si>
    <t>28-го грудня</t>
  </si>
  <si>
    <t>28</t>
  </si>
  <si>
    <t>Рим. 96 зач.; 8, 8-14.</t>
  </si>
  <si>
    <t>4-го січня</t>
  </si>
  <si>
    <t>Рим. 97 зач.; 8, 14-21.</t>
  </si>
  <si>
    <t>Субота 5-го тижня після 50-ці</t>
  </si>
  <si>
    <t>Рим. 98 зач.; 8, 22-27.</t>
  </si>
  <si>
    <t>Четвер 3-го тижня після 50-ці</t>
  </si>
  <si>
    <t>Рим. 99 зач.; 8, 28-39.</t>
  </si>
  <si>
    <t>Всім святим українського народу. Святим великомученикам</t>
  </si>
  <si>
    <t>Рим. 100 зач.; 9, 1-5.</t>
  </si>
  <si>
    <t>Субота 6-та після 50-ці</t>
  </si>
  <si>
    <t>Рим. 101 зач.; 9, 6-19.</t>
  </si>
  <si>
    <t>П'ятниця 3-го тижня після 50-ці</t>
  </si>
  <si>
    <t>Рим. 102 зач.; 9, 18-33.</t>
  </si>
  <si>
    <t>Понеділок 4-го тижня після 50-ці</t>
  </si>
  <si>
    <t>Рим. 103 зач.; 10, 1-10.</t>
  </si>
  <si>
    <t>Неділя 5-та по 50-ці</t>
  </si>
  <si>
    <t>Рим. 104 зач.; 10, 11 – 11, 2.</t>
  </si>
  <si>
    <t>Вівторок 4-го тижня після 50-ці</t>
  </si>
  <si>
    <t>Рим. 105 зач.; 11, 2-12.</t>
  </si>
  <si>
    <t>Середа 4-го тижня після 50-ці</t>
  </si>
  <si>
    <t>Рим. 106 зач.; 11, 13-24.</t>
  </si>
  <si>
    <t>Четвер 4-го тижня після 50-ці</t>
  </si>
  <si>
    <t>Рим. 107 зач.; 11, 25-36.</t>
  </si>
  <si>
    <t>П'ятниця 4-го тижня після 50-ці</t>
  </si>
  <si>
    <t>Рим. 108 зач.; 12, 1-3.</t>
  </si>
  <si>
    <t>Субота 7-ма після 50-ці</t>
  </si>
  <si>
    <t>Рим. 109 зач.; 12, 4-5; 15-21.</t>
  </si>
  <si>
    <t>Понеділок 5-го тижня після 50-ці</t>
  </si>
  <si>
    <t>Рим. 110 зач.; 12, 6-14.</t>
  </si>
  <si>
    <t>Неділя 6-та після 50-ці</t>
  </si>
  <si>
    <t>Рим. 111 зач.; 13, 1-10.</t>
  </si>
  <si>
    <t>Субота 8-ма після 50-ці</t>
  </si>
  <si>
    <t>Рим. 112 зач.; 13, 11 – 14, 4.</t>
  </si>
  <si>
    <t>Неділя сиропусна. Цей і на різдво Івана Предтечі</t>
  </si>
  <si>
    <t>Рим. 113 зач.; 14, 6-9.</t>
  </si>
  <si>
    <t>Субота 9-та після 50-ці. Цей і за померлих у понеділок.</t>
  </si>
  <si>
    <t>9</t>
  </si>
  <si>
    <t>Рим. 114 зач.; 14, 9-18.</t>
  </si>
  <si>
    <t>Вівторок 5-го тижня після 50-ці</t>
  </si>
  <si>
    <t>Рим. 115 зач.; 14, 19-26.</t>
  </si>
  <si>
    <t>Субота сиропусна</t>
  </si>
  <si>
    <t>Рим. 116 зач.; 15, 1-7.</t>
  </si>
  <si>
    <t>Неділя 7-ма після 50-ці</t>
  </si>
  <si>
    <t>Рим. 117 зач.; 15, 7-16.</t>
  </si>
  <si>
    <t>Середа 5-го тижня після 50-ці</t>
  </si>
  <si>
    <t>Рим. 118 зач.; 15, 17-29.</t>
  </si>
  <si>
    <t>Четвер 5-го тижня після 50-ці</t>
  </si>
  <si>
    <t>Рим. 119 зач.; 15, 30-33.</t>
  </si>
  <si>
    <t>Субота 10-та після 50-ці</t>
  </si>
  <si>
    <t>10</t>
  </si>
  <si>
    <t>Рим. 120 зач.; 16, 1-16.</t>
  </si>
  <si>
    <t>П'ятниця 5-го тижня після 50-ці</t>
  </si>
  <si>
    <t>Рим. 121 зач.; 16, 17-24.</t>
  </si>
  <si>
    <t>Понеділок 6-го тижня після 50-ці</t>
  </si>
  <si>
    <t>1 Кор. 122 зач.; 1, 1-9.</t>
  </si>
  <si>
    <t>Вівторок 6-го тижня після 50-ці</t>
  </si>
  <si>
    <t>1 Кор. 123 зач.; 1, 3-9.</t>
  </si>
  <si>
    <t>Субота 11-та після 50-ці</t>
  </si>
  <si>
    <t>11</t>
  </si>
  <si>
    <t>1 Кор. 124 зач.; 1, 10-18.</t>
  </si>
  <si>
    <t>Неділя 8-ма після 50-ці</t>
  </si>
  <si>
    <t>1 Кор. 125 зач.; 1, 18 – 2, 2.</t>
  </si>
  <si>
    <t>Велика п'ятниця. Цей і на явління в небі знамення Хреста, похід із древом Хреста</t>
  </si>
  <si>
    <t>1 Кор. 125 зач.; 1, 18-24.</t>
  </si>
  <si>
    <t>Воздвиження Хреста</t>
  </si>
  <si>
    <t>1 Кор. 125 зач.; 1, 26-29.</t>
  </si>
  <si>
    <t>Субота 12-та після 50-ці. Цей і у суботу після Воздвиження</t>
  </si>
  <si>
    <t>12</t>
  </si>
  <si>
    <t>1 Кор. 126 зач.; 2, 6-9.</t>
  </si>
  <si>
    <t>Субота 13-та після 50-ці. Цей і у суботу перед Воздвиженням</t>
  </si>
  <si>
    <t>13</t>
  </si>
  <si>
    <t>1 Кор. 127 зач.; 2, 9 – 3, 8.</t>
  </si>
  <si>
    <t>Середа 6-го тижня після 50-ці</t>
  </si>
  <si>
    <t>1 Кор. 128 зач.; 3, 9-17.</t>
  </si>
  <si>
    <t>Неділя 9-ма після 50-ці</t>
  </si>
  <si>
    <t>1 Кор. 129 зач.; 3, 18-23.</t>
  </si>
  <si>
    <t>Четвер 6-го тижня після 50-ці</t>
  </si>
  <si>
    <t>1 Кор. 130 зач.; 4, 5-8.</t>
  </si>
  <si>
    <t>П'ятниця 6-го тижня після 50-ці</t>
  </si>
  <si>
    <t>1 Кор. 130 зач.; 4, 1-5.</t>
  </si>
  <si>
    <t>Субота 14-та після 50-ці</t>
  </si>
  <si>
    <t>14</t>
  </si>
  <si>
    <t>1 Кор. 131 зач.; 4, 9-16.</t>
  </si>
  <si>
    <t>Неділя 10-та після 50-ці. Цей же й апостолам</t>
  </si>
  <si>
    <t>1 Кор. 132 зач.; 4, 17 – 5, 5.</t>
  </si>
  <si>
    <t>Субота 15-та після 50-ці</t>
  </si>
  <si>
    <t>15</t>
  </si>
  <si>
    <t>1 Кор. 133 зач.; 5, 6-8.</t>
  </si>
  <si>
    <t>Свята й велика субота на Утрені</t>
  </si>
  <si>
    <t>1 Кор. 134 зач.; 5, 9 – 6, 11.</t>
  </si>
  <si>
    <t>Понеділок 7-го тижня після 50-ці</t>
  </si>
  <si>
    <t>1 Кор. 135 зач.; 6, 12-20.</t>
  </si>
  <si>
    <t>Неділя 34-та, про блудного сина</t>
  </si>
  <si>
    <t>1 Кор. 136 зач.; 6, 20 – 7, 12.</t>
  </si>
  <si>
    <t>Вівторок 7-го тижня після 50-ці</t>
  </si>
  <si>
    <t>1 Кор. 137 зач.; 7, 12-24.</t>
  </si>
  <si>
    <t>Середа 7-го тижня після 50-ці</t>
  </si>
  <si>
    <t>1 Кор. 138 зач.; 7, 24-35.</t>
  </si>
  <si>
    <t>Четвер 7-го тижня після 50-ці</t>
  </si>
  <si>
    <t>1 Кор. 139 зач.; 7, 35 – 8, 7.</t>
  </si>
  <si>
    <t>П'ятниця 7-го тижня після 50-ці</t>
  </si>
  <si>
    <t>1 Кор. 140 зач.; 8, 8 – 9, 2.</t>
  </si>
  <si>
    <t>Неділя 35-та, м'ясопусна</t>
  </si>
  <si>
    <t>1 Кор. 141 зач.; 9, 2-12.</t>
  </si>
  <si>
    <t>Неділя 11-го тижня після 50-ці</t>
  </si>
  <si>
    <t>1 Кор. 142 зач.; 9, 13-18.</t>
  </si>
  <si>
    <t>Понеділок 8-го тижня після 50-ці</t>
  </si>
  <si>
    <t>1 Кор. 143 зач.; 9, 19 – 10, 4.</t>
  </si>
  <si>
    <t>с</t>
  </si>
  <si>
    <t>В навечір'я Просвіщення, поза постом</t>
  </si>
  <si>
    <t>1 Кор. 143 зач.; 9, 19-27.</t>
  </si>
  <si>
    <t>В навечір'я Просвіщення, в часі посту</t>
  </si>
  <si>
    <t>1 Кор. 143 зач.; 10, 1-4.</t>
  </si>
  <si>
    <t>На освячення води</t>
  </si>
  <si>
    <t>1 Кор. 144 зач.; 10, 5-12.</t>
  </si>
  <si>
    <t>Вівторок 8-го тижня після 50-ці</t>
  </si>
  <si>
    <t>1 Кор. 145 зач.; 10, 12-22.</t>
  </si>
  <si>
    <t>Середа 8-го тижня після 50-ці</t>
  </si>
  <si>
    <t>1 Кор. 146 зач.; 10, 23-28.</t>
  </si>
  <si>
    <t>Субота 16-го тижня після 50-ці. Цей і в суботу м'ясопусну</t>
  </si>
  <si>
    <t>16</t>
  </si>
  <si>
    <t>1 Кор. 147 зач.; 10, 28 – 11, 7.</t>
  </si>
  <si>
    <t>Четвер 8-го тижня після 50-ці</t>
  </si>
  <si>
    <t>1 Кор. 148 зач.; 11, 8-22.</t>
  </si>
  <si>
    <t>П'ятниця 8-го тижня після 50-ці</t>
  </si>
  <si>
    <t>1 Кор. 149 зач.; 11, 23-32.</t>
  </si>
  <si>
    <t>У Великий четвер. Цей і на свято Євхаристії</t>
  </si>
  <si>
    <t>1 Кор. 150 зач.; 11, 31 – 12, 6.</t>
  </si>
  <si>
    <t>Понеділок 9-го тижня після 50-ці</t>
  </si>
  <si>
    <t>1 Кор. 151 зач.; 12, 7-11.</t>
  </si>
  <si>
    <t>17-го листопада, святому Григорію</t>
  </si>
  <si>
    <t>17</t>
  </si>
  <si>
    <t>1 Кор. 152 зач.; 12, 12-26.</t>
  </si>
  <si>
    <t>Вівторок 9-го тижня після 50-ці</t>
  </si>
  <si>
    <t>1 Кор. 153 зач.; 12, 27 – 13, 8.</t>
  </si>
  <si>
    <t>Святим безсребреникам</t>
  </si>
  <si>
    <t>1 Кор. 154 зач.; 13, 4 – 14, 5.</t>
  </si>
  <si>
    <t>Середа 9-го тижня після 50-ці</t>
  </si>
  <si>
    <t>1 Кор. 154 зач.; 13, 11 – 14, 5.</t>
  </si>
  <si>
    <t>Кирикові і Юліті</t>
  </si>
  <si>
    <t>1 Кор. 155 зач.; 14, 6-19.</t>
  </si>
  <si>
    <t>Четвер 9-го тижня після 50-ці</t>
  </si>
  <si>
    <t>1 Кор. 156 зач.; 14, 20-25.</t>
  </si>
  <si>
    <t>Субота 17-го тижня після 50-ці</t>
  </si>
  <si>
    <t>1 Кор. 157 зач.; 14, 26-40.</t>
  </si>
  <si>
    <t>П'ятниця 9-го тижня після 50-ці</t>
  </si>
  <si>
    <t>1 Кор. 158 зач.; 15, 1-11.</t>
  </si>
  <si>
    <t>Неділя 12-та після 50-ці</t>
  </si>
  <si>
    <t>1 Кор. 159 зач.; 15, 12-19.</t>
  </si>
  <si>
    <t>Понеділок 10-го тижня після 50-ці</t>
  </si>
  <si>
    <t>1 Кор. 160 зач.; 15, 20-28.</t>
  </si>
  <si>
    <t>За померлих</t>
  </si>
  <si>
    <t>1 Кор. 161 зач.; 15, 29-38.</t>
  </si>
  <si>
    <t>Вівторок 10-го тижня після 50-ці</t>
  </si>
  <si>
    <t>1 Кор. 162 зач.; 15, 39-45.</t>
  </si>
  <si>
    <t>Субота 18-та після 50-ці</t>
  </si>
  <si>
    <t>18</t>
  </si>
  <si>
    <t>1 Кор. 163 зач.; 15, 47-57.</t>
  </si>
  <si>
    <t>1 Кор. 164 зач.; 15, 58 – 16, 3.</t>
  </si>
  <si>
    <t>Субота 19-та після 50-ці</t>
  </si>
  <si>
    <t>19</t>
  </si>
  <si>
    <t>1 Кор. 165 зач.; 16, 4-12.</t>
  </si>
  <si>
    <t>Середа 10-го тижня після 50-ці</t>
  </si>
  <si>
    <t>1 Кор. 166 зач.; 16, 13-24.</t>
  </si>
  <si>
    <t>Неділя 13-та після 50-ці</t>
  </si>
  <si>
    <t>2 Кор. 167 зач.; 1, 1-7.</t>
  </si>
  <si>
    <t>Четвер 10-го тижня після 50-ці</t>
  </si>
  <si>
    <t>2 Кор. 167 зач.; 1, 3-7.</t>
  </si>
  <si>
    <t>Великомученикам</t>
  </si>
  <si>
    <t>2 Кор. 168 зач.; 1, 8-11.</t>
  </si>
  <si>
    <t>Субота 20-та після 50-ці</t>
  </si>
  <si>
    <t>2 Кор. 169 зач.; 1, 12-20.</t>
  </si>
  <si>
    <t>П'ятниця 10-го тижня після 50-ці</t>
  </si>
  <si>
    <t>2 Кор. 170 зач.; 1, 21 – 2, 4.</t>
  </si>
  <si>
    <t>Неділя 14-та після 50-ці</t>
  </si>
  <si>
    <t>2 Кор. 171 зач.; 2, 4-15.</t>
  </si>
  <si>
    <t>Понеділок 11-го тижня після 50-ці</t>
  </si>
  <si>
    <t>2 Кор. 172 зач.; 2, 14 – 3, 3.</t>
  </si>
  <si>
    <t>Вівторок 11-го тижня після 50-ці</t>
  </si>
  <si>
    <t>2 Кор. 173 зач.; 3, 4-11.</t>
  </si>
  <si>
    <t>Середа 11-го тижня після 50-ці. Той же і святому обрусові</t>
  </si>
  <si>
    <t>2 Кор. 174 зач.; 3, 12-18.</t>
  </si>
  <si>
    <t>Субота 21-ша після 50-ці</t>
  </si>
  <si>
    <t>2 Кор. 175 зач.; 4, 1-6.</t>
  </si>
  <si>
    <t>Четвер 11-го тижня після 50-ці</t>
  </si>
  <si>
    <t>2 Кор. 176 зач.; 4, 6-15.</t>
  </si>
  <si>
    <t>Неділя 15-та після 50-ці. Цей і преподобним, на Знайдення голови Предтечі</t>
  </si>
  <si>
    <t>2 Кор. 177 зач.; 4, 13-18.</t>
  </si>
  <si>
    <t>П'ятниця 11-го тижня після 50-ці</t>
  </si>
  <si>
    <t>2 Кор. 178 зач.; 5, 1-10.</t>
  </si>
  <si>
    <t>Субота 22-га після 50-ці. Цей і в середу умерлим</t>
  </si>
  <si>
    <t>22</t>
  </si>
  <si>
    <t>2 Кор. 179 зач.; 5, 10-15.</t>
  </si>
  <si>
    <t>Понеділок 12-го тижня після 50-ці</t>
  </si>
  <si>
    <t>2 Кор. 180 зач.; 5, 15-21.</t>
  </si>
  <si>
    <t>Вівторок 12-го тижня після 50-ці</t>
  </si>
  <si>
    <t>2 Кор. 181 зач.; 6, 1-10.</t>
  </si>
  <si>
    <t>Неділя 16-та після 50-ці. Цей же й мученикам</t>
  </si>
  <si>
    <t>2 Кор. 182 зач.; 6, 11-16.</t>
  </si>
  <si>
    <t>Середа 12-го тижня після 50-ці</t>
  </si>
  <si>
    <t>2 Кор. 182 зач.; 6, 16 – 7, 1.</t>
  </si>
  <si>
    <t>Неділя 17-та після 50-ці</t>
  </si>
  <si>
    <t>2 Кор. 183 зач.; 7, 1-10.</t>
  </si>
  <si>
    <t>Четвер 12-го тижня після 50-ці</t>
  </si>
  <si>
    <t>2 Кор. 184 зач.; 7, 10-16.</t>
  </si>
  <si>
    <t>П'ятниця 12-го тижня після 50-ці</t>
  </si>
  <si>
    <t>2 Кор. 185 зач.; 8, 1-5.</t>
  </si>
  <si>
    <t>Субота 23-тя після 50-ці</t>
  </si>
  <si>
    <t>23</t>
  </si>
  <si>
    <t>2 Кор. 186 зач.; 8, 7-15.</t>
  </si>
  <si>
    <t>Понеділок 13-го тижня після 50-ці</t>
  </si>
  <si>
    <t>2 Кор. 187 зач.; 8, 16 – 9, 5.</t>
  </si>
  <si>
    <t>Вівторок 13-го тижня після 50-ці</t>
  </si>
  <si>
    <t>2 Кор. 188 зач.; 9, 6-11.</t>
  </si>
  <si>
    <t>Неділя 18-та після 50-ці</t>
  </si>
  <si>
    <t>2 Кор. 189 зач.; 9, 12 – 10, 7.</t>
  </si>
  <si>
    <t>Середа 13-го тижня після 50-ці</t>
  </si>
  <si>
    <t>2 Кор. 190 зач.; 10, 7-18.</t>
  </si>
  <si>
    <t>Четвер 13-го тижня після 50-ці</t>
  </si>
  <si>
    <t>2 Кор. 191 зач.; 11, 1-6.</t>
  </si>
  <si>
    <t>Субота 24-го тижня після 50-ці</t>
  </si>
  <si>
    <t>24</t>
  </si>
  <si>
    <t>2 Кор. 192 зач.; 11, 5-21.</t>
  </si>
  <si>
    <t>П'ятниця 13-го тижня після 50-ці</t>
  </si>
  <si>
    <t>2 Кор. 193 зач.; 11, 21 – 12, 9.</t>
  </si>
  <si>
    <t>29-го червня, святим апостолам</t>
  </si>
  <si>
    <t>2 Кор. 194 зач.; 11, 31 – 12, 9.</t>
  </si>
  <si>
    <t>Неділя 19-та після 50-ці</t>
  </si>
  <si>
    <t>2 Кор. 195 зач.; 12, 10-19.</t>
  </si>
  <si>
    <t>Понеділок 14-го тижня після 50-ці</t>
  </si>
  <si>
    <t>2 Кор. 196 зач.; 12, 20 – 13, 2.</t>
  </si>
  <si>
    <t>Вівторок 14-го тижня після 50-ці</t>
  </si>
  <si>
    <t>2 Кор. 197 зач.; 13, 3-13.</t>
  </si>
  <si>
    <t>Середа 14-го тижня після 50-ці</t>
  </si>
  <si>
    <t>Гал. 198 зач.; 1, 1-10; 20 – 2, 5.</t>
  </si>
  <si>
    <t>Четвер 14-го тижня після 50-ці</t>
  </si>
  <si>
    <t>Гал. 199 зач.; 1, 3-10.</t>
  </si>
  <si>
    <t>Субота 25-та після 50-ці</t>
  </si>
  <si>
    <t>25</t>
  </si>
  <si>
    <t>Гал. 200 зач.; 1, 11-19.</t>
  </si>
  <si>
    <t>Неділя 20-та після 50-ці. Цей же і в неділю після Різдва Христового, рівноап. Володимиру</t>
  </si>
  <si>
    <t>П'ятниця 14-го тижня після 50-ці</t>
  </si>
  <si>
    <t>Гал. 201 зач.; 2, 6-10.</t>
  </si>
  <si>
    <t>Гал. 202 зач.; 2, 11-16.</t>
  </si>
  <si>
    <t>Понеділок 15-го тижня після 50-ці</t>
  </si>
  <si>
    <t>Гал. 203 зач.; 2, 16-20.</t>
  </si>
  <si>
    <t>Неділя 21-ша після 50-ці. Цей і в неділю після Воздвиження, і прп. Йосафаті</t>
  </si>
  <si>
    <t>Гал. 204 зач.; 2, 21 – 3, 7.</t>
  </si>
  <si>
    <t>Вівторок 15-го тижня після 50-ці</t>
  </si>
  <si>
    <t>Гал. 205 зач.; 3, 8-12.</t>
  </si>
  <si>
    <t>Субота 26-та і субота перед Різдвом Христовим</t>
  </si>
  <si>
    <t>Гал. 206 зач.; 3, 13-14.</t>
  </si>
  <si>
    <t>Великій суботі на Утрені</t>
  </si>
  <si>
    <t>na</t>
  </si>
  <si>
    <t>Гал. 207 зач.; 3, 15-22.</t>
  </si>
  <si>
    <t>Середа 15-го тижня після 50-ці</t>
  </si>
  <si>
    <t>Гал. 208 зач.; 3, 23 – 4, 5.</t>
  </si>
  <si>
    <t>Четвер 15-го тижня після 50-ці</t>
  </si>
  <si>
    <t>Гал. 208 зач.; 3, 23-29.</t>
  </si>
  <si>
    <t>Преподобним жінкам</t>
  </si>
  <si>
    <t>Гал. 209 зач.; 4, 4-7.</t>
  </si>
  <si>
    <t>Різдво Христове</t>
  </si>
  <si>
    <t>Гал. 210 зач.; 4, 8-21.</t>
  </si>
  <si>
    <t>П'ятниця 15-го тижня після 50-ці</t>
  </si>
  <si>
    <t>Гал. 210 зач.; 4, 22-31.</t>
  </si>
  <si>
    <t>9-го вересня, святим Йоакимові й Анні</t>
  </si>
  <si>
    <t>Гал. 210 зач.; 4, 8-14.</t>
  </si>
  <si>
    <t>Хворим</t>
  </si>
  <si>
    <t>Гал. 211 зач.; 4, 28 – 5, 10.</t>
  </si>
  <si>
    <t>Понеділок 16-го тижня після 50-ці</t>
  </si>
  <si>
    <t>Гал. 212 зач.; 5, 11-21.</t>
  </si>
  <si>
    <t>Вівторок 16-го тижня після 50-ці</t>
  </si>
  <si>
    <t>Гал. 213 зач.; 5, 22 – 6, 2.</t>
  </si>
  <si>
    <t>Субота 27-ма після 50-ці. Цей і преподобним</t>
  </si>
  <si>
    <t>27</t>
  </si>
  <si>
    <t>Гал. 214 зач.; 6, 2-10.</t>
  </si>
  <si>
    <t>Середа 16-го тижня після 50-ці</t>
  </si>
  <si>
    <t>Гал. 215 зач.; 6, 11-18.</t>
  </si>
  <si>
    <t>Неділя 22-га після 50-ці.  Неділя перед Воздвиженням. Цей і прп. Йосафаті (Гордашевській)</t>
  </si>
  <si>
    <t>Гал. 215 зач.; 6, 14-18.</t>
  </si>
  <si>
    <t>Велика п'ятниця на 1-му Часі</t>
  </si>
  <si>
    <t>Еф. 216 зач.; 1, 1-9.</t>
  </si>
  <si>
    <t>Четвер 16-го тижня після 50-ці</t>
  </si>
  <si>
    <t>Еф. 217 зач.; 1, 7-17.</t>
  </si>
  <si>
    <t>П'ятниця 16-го тижня після 50-ці</t>
  </si>
  <si>
    <t>Еф. 218 зач.; 1, 16-23.</t>
  </si>
  <si>
    <t>Субота 28-ма після 50-ці</t>
  </si>
  <si>
    <t>Еф. 219 зач.; 1, 22 – 2, 3.</t>
  </si>
  <si>
    <t>Понеділок 17-го тижня після 50-ці</t>
  </si>
  <si>
    <t>Еф. 220 зач.; 2, 4-10.</t>
  </si>
  <si>
    <t>Неділя 23-га після 50-ці</t>
  </si>
  <si>
    <t>Еф. 220 зач.; 2, 11-13.</t>
  </si>
  <si>
    <t>Субота 29-ма після 50-ці</t>
  </si>
  <si>
    <t>29</t>
  </si>
  <si>
    <t>Еф. 221 зач.; 2, 14-22.</t>
  </si>
  <si>
    <t>Неділя 24-га після 50-ці</t>
  </si>
  <si>
    <t>Еф. 222 зач.; 2, 19 – 3, 7.</t>
  </si>
  <si>
    <t>Вівторок 17-го тижня після 50-ці</t>
  </si>
  <si>
    <t>Еф. 223 зач.; 3, 8-21.</t>
  </si>
  <si>
    <t>Середа 17-го тижня після 50-ці</t>
  </si>
  <si>
    <t>Еф. 224 зач.; 4, 1-6.</t>
  </si>
  <si>
    <t>Неділя 25-та після 50-ці</t>
  </si>
  <si>
    <t>Еф. 224 зач.; 4, 7-13.</t>
  </si>
  <si>
    <t>Неділя після Богоявлення. Цей і єрархам</t>
  </si>
  <si>
    <t>Еф. 225 зач.; 4, 14-19.</t>
  </si>
  <si>
    <t>Четвер 17-го тижня після 50-ці</t>
  </si>
  <si>
    <t>Еф. 226 зач.; 4, 17-25.</t>
  </si>
  <si>
    <t>П'ятниця 17-го тижня після 50-ці</t>
  </si>
  <si>
    <t>Еф. 227 зач.; 4, 25-32.</t>
  </si>
  <si>
    <t>Понеділок 18-го тижня після 50-ці</t>
  </si>
  <si>
    <t>Еф. 228 зач.; 5, 1-8.</t>
  </si>
  <si>
    <t>Субота 30-ма після 50-ці</t>
  </si>
  <si>
    <t>30</t>
  </si>
  <si>
    <t>Еф. 229 зач.; 5, 9-19.</t>
  </si>
  <si>
    <t>Неділя 26-га після 50-ці. Цей же й у понеділок Святого Духа, і преподобним</t>
  </si>
  <si>
    <t>Еф. 230 зач.; 5, 20-26.</t>
  </si>
  <si>
    <t>Вівторок 18-го тижня після 50-ці</t>
  </si>
  <si>
    <t>Еф. 231 зач.; 5, 25-33.</t>
  </si>
  <si>
    <t>Середа 18-го тижня після 50-ці</t>
  </si>
  <si>
    <t>Еф. 232 зач.; 5, 33 – 6, 9.</t>
  </si>
  <si>
    <t>Четвер 18-го тижня після 50-ці</t>
  </si>
  <si>
    <t>Еф. 233 зач.; 6, 10-17.</t>
  </si>
  <si>
    <t>Неділя 27-га після 50-ці. Цей і в суботу після Богоявлення, і святим мученикам</t>
  </si>
  <si>
    <t>Еф. 234 зач.; 6, 18-24.</t>
  </si>
  <si>
    <t>П'ятниця 18-го тижня після 50-ці</t>
  </si>
  <si>
    <t>Флп. 235 зач.; 1, 1-7.</t>
  </si>
  <si>
    <t>Понеділок 19-го тижня після 50-ці</t>
  </si>
  <si>
    <t>Флп. 236 зач.; 1, 8-14.</t>
  </si>
  <si>
    <t>Вівторок 19-го тижня після 50-ці</t>
  </si>
  <si>
    <t>Флп. 237 зач.; 1, 12-20.</t>
  </si>
  <si>
    <t>Середа 19-го тижня після 50-ці</t>
  </si>
  <si>
    <t>Флп. 238 зач.; 1, 20-27.</t>
  </si>
  <si>
    <t>Четвер 19-го тижня після 50-ці</t>
  </si>
  <si>
    <t>Флп. 239 зач.; 1, 27 – 2, 4.</t>
  </si>
  <si>
    <t>П'ятниця 19-го тижня після 50-ці</t>
  </si>
  <si>
    <t>Флп. 240 зач.; 2, 5-11.</t>
  </si>
  <si>
    <t>Празник Богородиці</t>
  </si>
  <si>
    <t>Флп. 241 зач.; 2, 12-16.</t>
  </si>
  <si>
    <t>Понеділок 20-го тижня після 50-ці</t>
  </si>
  <si>
    <t>Флп. 242 зач.; 2, 16-23.</t>
  </si>
  <si>
    <t>Вівторок 20-го тижня після 50-ці</t>
  </si>
  <si>
    <t>Флп. 243 зач.; 2, 24-30.</t>
  </si>
  <si>
    <t>Середа 20-го тижня після 50-ці</t>
  </si>
  <si>
    <t>Флп. 244 зач.; 3, 1-8.</t>
  </si>
  <si>
    <t>Четвер 20-го тижня після 50-ці</t>
  </si>
  <si>
    <t>Флп. 245 зач.; 3, 8-19.</t>
  </si>
  <si>
    <t>П'ятниця 20-го тижня після 50-ці</t>
  </si>
  <si>
    <t>Флп. 246 зач.; 3, 20 – 4, 3.</t>
  </si>
  <si>
    <t>Священномученикам</t>
  </si>
  <si>
    <t>Флп. 247 зач.; 4, 4-9.</t>
  </si>
  <si>
    <t>Квітна неділя</t>
  </si>
  <si>
    <t>Флп. 248 зач.; 4, 10-23.</t>
  </si>
  <si>
    <t>Понеділок 21-го тижня після 50-ці</t>
  </si>
  <si>
    <t>Кол. 249 зач.; 1, 1-2; 7-11.</t>
  </si>
  <si>
    <t>Вівторок 21-го тижня після 50-ці</t>
  </si>
  <si>
    <t>Кол. 249 зач.; 1, 2-6.</t>
  </si>
  <si>
    <t>Субота 31-го тижня після 50-ці</t>
  </si>
  <si>
    <t>Кол. 250 зач.; 1, 12-18.</t>
  </si>
  <si>
    <t>Неділя 28-ма після 50-ці. Той же і святому обрусові</t>
  </si>
  <si>
    <t>Кол. 251 зач.; 1, 18-23.</t>
  </si>
  <si>
    <t>Середа 21-го тижня після 50-ці</t>
  </si>
  <si>
    <t>Кол. 252 зач.; 1, 24-29.</t>
  </si>
  <si>
    <t>Четвер 21-го тижня після 50-ці</t>
  </si>
  <si>
    <t>Кол. 253 зач.; 2, 1-7.</t>
  </si>
  <si>
    <t>П'ятниця 21-го тижня після 50-ці</t>
  </si>
  <si>
    <t>Кол. 254 зач.; 2, 8-12.</t>
  </si>
  <si>
    <t>На празник Обрізання Христового</t>
  </si>
  <si>
    <t>Кол. 255 зач.; 2, 13-20.</t>
  </si>
  <si>
    <t>Понеділок 22-го тижня після 50-ці</t>
  </si>
  <si>
    <t>Кол. 256 зач.; 2, 20 – 3, 3.</t>
  </si>
  <si>
    <t>Вівторок 22-го тижня після 50-ці</t>
  </si>
  <si>
    <t>Кол. 257 зач.; 3, 4-11.</t>
  </si>
  <si>
    <t>Неділя 29-ма після 50-ці. Цей і в неділю праотцям</t>
  </si>
  <si>
    <t>Кол. 258 зач.; 3, 12-16.</t>
  </si>
  <si>
    <t>Неділя 30-та після 50-ці. Цей же і преподобним</t>
  </si>
  <si>
    <t>Кол. 259 зач.; 3, 17 – 4, 1.</t>
  </si>
  <si>
    <t>Середа 22-го тижня після 50-ці</t>
  </si>
  <si>
    <t>Кол. 260 зач.; 4, 2-9.</t>
  </si>
  <si>
    <t>Четвер 22-го тижня після 50-ці</t>
  </si>
  <si>
    <t>Кол. 260 зач.; 4, 5-9; 14; 18.</t>
  </si>
  <si>
    <t>Євангелистові Луці</t>
  </si>
  <si>
    <t>Кол. 261 зач.; 4, 10-18.</t>
  </si>
  <si>
    <t>П'ятниця 22-го тижня після 50-ці</t>
  </si>
  <si>
    <t>1 Сол. 262 зач.; 1, 1-5.</t>
  </si>
  <si>
    <t>Понеділок 23-го тижня після 50-ці</t>
  </si>
  <si>
    <t>1 Сол. 263 зач.; 1, 6-10.</t>
  </si>
  <si>
    <t>Вівторок 23-го тижня після 50-ці</t>
  </si>
  <si>
    <t>1 Сол. 264 зач.; 2, 1-8.</t>
  </si>
  <si>
    <t>Середа 23-го тижня після 50-ці</t>
  </si>
  <si>
    <t>1 Сол. 265 зач.; 2, 9-14.</t>
  </si>
  <si>
    <t>Четвер 23-го тижня після 50-ці</t>
  </si>
  <si>
    <t>1 Сол. 266 зач.; 2, 14-19.</t>
  </si>
  <si>
    <t>П'ятниця 23-го тижня після 50-ці</t>
  </si>
  <si>
    <t>1 Сол. 267 зач.; 2, 20 – 3, 8.</t>
  </si>
  <si>
    <t>Понеділок 24-го тижня після 50-ці</t>
  </si>
  <si>
    <t>1 Сол. 268 зач.; 3, 9-13.</t>
  </si>
  <si>
    <t>Вівторок 24-го тижня після 50-ці</t>
  </si>
  <si>
    <t>1 Сол. 269 зач.; 4, 1-12.</t>
  </si>
  <si>
    <t>Середа 24-го тижня після 50-ці</t>
  </si>
  <si>
    <t>1 Сол. 270 зач.; 4, 13-17.</t>
  </si>
  <si>
    <t>Померлим</t>
  </si>
  <si>
    <t>1 Сол. 271 зач.; 5, 1-8.</t>
  </si>
  <si>
    <t>Четвер 24-го тижня після 50-ці</t>
  </si>
  <si>
    <t>1 Сол. 272 зач.; 5, 9-13; 24-28.</t>
  </si>
  <si>
    <t>П'ятниця 24-го тижня після 50-ці</t>
  </si>
  <si>
    <t>1 Сол. 273 зач.; 5, 14-23.</t>
  </si>
  <si>
    <t>Субота 32-га після 50-ці</t>
  </si>
  <si>
    <t>2 Сол. 274 зач.; 1, 1-10.</t>
  </si>
  <si>
    <t>Понеділок 25-го тижня після 50-ці</t>
  </si>
  <si>
    <t>2 Сол. 274 зач.; 1, 10 – 2, 2.</t>
  </si>
  <si>
    <t>Вівторок 25-го тижня після 50-ці</t>
  </si>
  <si>
    <t>2 Сол. 275 зач.; 2, 1-12.</t>
  </si>
  <si>
    <t>Середа 25-го тижня після 50-ці</t>
  </si>
  <si>
    <t>2 Сол. 276 зач.; 2, 13 – 3, 5.</t>
  </si>
  <si>
    <t>Четвер 25-го тижня після 50-ці</t>
  </si>
  <si>
    <t>2 Сол. 277 зач.; 3, 6-18.</t>
  </si>
  <si>
    <t>П'ятниця 25-го тижня після 50-ці</t>
  </si>
  <si>
    <t>1 Тим. 278 зач.; 1, 1-7.</t>
  </si>
  <si>
    <t>Понеділок 26-го тижня після 50-ці</t>
  </si>
  <si>
    <t>1 Тим. 279 зач.; 1, 8-14.</t>
  </si>
  <si>
    <t>Вівторок 26-го тижня після 50-ці</t>
  </si>
  <si>
    <t>1 Тим. 280 зач.; 1, 12-17.</t>
  </si>
  <si>
    <t>2-го жовтня</t>
  </si>
  <si>
    <t>Тимотея?</t>
  </si>
  <si>
    <t>1 Тим. 280 зач.; 1, 15-17.</t>
  </si>
  <si>
    <t>Неділя 31-ша після 50-ці</t>
  </si>
  <si>
    <t>1 Тим. 281 зач.; 1, 18-20; 2, 8-15.</t>
  </si>
  <si>
    <t>Середа 26-го тижня після 50-ці</t>
  </si>
  <si>
    <t>1 Тим. 282 зач.; 2, 1-7.</t>
  </si>
  <si>
    <t>1-го вересня</t>
  </si>
  <si>
    <t>1 Тим. 283 зач.; 3, 1-13.</t>
  </si>
  <si>
    <t>Четвер 26-го тижня після 50-ці</t>
  </si>
  <si>
    <t>1 Тим. 284 зач.; 3, 14 – 4, 5.</t>
  </si>
  <si>
    <t>Субота перед Просвіщенням - Богоявленням</t>
  </si>
  <si>
    <t>1 Тим. 285 зач.; 4, 4-8; 16.</t>
  </si>
  <si>
    <t>П'ятниця 26-го тижня після 50-ці</t>
  </si>
  <si>
    <t>1 Тим. 285 зач.; 5, 1-10.</t>
  </si>
  <si>
    <t>Понеділок 27-го тижня після 50-ці</t>
  </si>
  <si>
    <t>1 Тим. 285 зач.; 4, 9-15.</t>
  </si>
  <si>
    <t>Неділя 32-га після 50-ці</t>
  </si>
  <si>
    <t>1 Тим. 286 зач.; 5, 11-21.</t>
  </si>
  <si>
    <t>Вівторок 27-го тижня після 50-ці</t>
  </si>
  <si>
    <t>1 Тим. 287 зач.; 5, 22 – 6, 11.</t>
  </si>
  <si>
    <t>Середа 27-го тижня після 50-ці</t>
  </si>
  <si>
    <t>1 Тим. 288 зач.; 6, 11-16.</t>
  </si>
  <si>
    <t>Субота після Різдва Христового</t>
  </si>
  <si>
    <t>1 Тим. 289 зач.; 6, 17-21.</t>
  </si>
  <si>
    <t>Четвер 27-го тижня після 50-ці</t>
  </si>
  <si>
    <t>2 Тим. 290 зач.; 1, 1-2; 8-18.</t>
  </si>
  <si>
    <t>П'ятниця 27-го тижня після 50-ці</t>
  </si>
  <si>
    <t>чи треба тут букви?</t>
  </si>
  <si>
    <t>2 Тим. 290 зач.; 1, 3-9.</t>
  </si>
  <si>
    <t>Святому апостолові Тимотеєві</t>
  </si>
  <si>
    <t>2 Тим. 291 зач.; 1, 8-18.</t>
  </si>
  <si>
    <t>28-го листопада і ісповідникам</t>
  </si>
  <si>
    <t>2 Тим. 292 зач.; 2, 1-10.</t>
  </si>
  <si>
    <t>Мученикам</t>
  </si>
  <si>
    <t>2 Тим. 293 зач.; 2, 11-19.</t>
  </si>
  <si>
    <t>Субота 33-го тижня після 50-ці</t>
  </si>
  <si>
    <t>2 Тим. 294 зач.; 2, 20-26.</t>
  </si>
  <si>
    <t>Понеділок 28-го тижня після 50-ці</t>
  </si>
  <si>
    <t>2 Тим. 295 зач.; 3, 1-9.</t>
  </si>
  <si>
    <t>Субота 34-го тижня після 50-ці</t>
  </si>
  <si>
    <t>2 Тим. 296 зач.; 3, 10-15.</t>
  </si>
  <si>
    <t>Неділя 33-тя, про митаря і фарисея</t>
  </si>
  <si>
    <t>2 Тим. 297 зач.; 3, 16 - 4, 4.</t>
  </si>
  <si>
    <t>Вівторок 28-го тижня після 50-ці</t>
  </si>
  <si>
    <t>2 Тим. 298 зач.; 4, 5-8.</t>
  </si>
  <si>
    <t>Неділя перед Просвіщенням - Богоявленням</t>
  </si>
  <si>
    <t>2 Тим. 299 зач.; 4, 9-22.</t>
  </si>
  <si>
    <t>Середа 28-го тижня після 50-ці</t>
  </si>
  <si>
    <t>Тит. 300 зач.; 1, 5 – 2, 1.</t>
  </si>
  <si>
    <t>Четвер 28-го тижня після 50-ці</t>
  </si>
  <si>
    <t>Тит. 300 зач.; 1, 1-4; 2, 15 - 3, 4; 12-13; 15.</t>
  </si>
  <si>
    <t>25-го серпня, Титові</t>
  </si>
  <si>
    <t>Тит. 301 зач.; 1, 15 – 2, 10.</t>
  </si>
  <si>
    <t>П'ятниця 28-го тижня після 50-ці</t>
  </si>
  <si>
    <t>Тит. 302 зач.; 2, 11-14; 3, 4-7.</t>
  </si>
  <si>
    <t>Хрищення Господнє</t>
  </si>
  <si>
    <t>Тит. 302 зач.; 3, 8-15.</t>
  </si>
  <si>
    <t>На згадку 5-го Собору</t>
  </si>
  <si>
    <t>Фил. 302 зач.; 1, 1-25.</t>
  </si>
  <si>
    <t>22-го листопада, у пам'ять святого Апостола Филимона</t>
  </si>
  <si>
    <t>Євр. 303 зач.; 1, 1-12.</t>
  </si>
  <si>
    <t>Перша субота посту. Цей і в навечір'я Різдва Христового</t>
  </si>
  <si>
    <t>Євр. 304 зач.; 1, 10 – 2, 3.</t>
  </si>
  <si>
    <t>Друга неділя посту</t>
  </si>
  <si>
    <t>Євр. 305 зач.; 2, 2-10.</t>
  </si>
  <si>
    <t>8-го листопада і ангелам</t>
  </si>
  <si>
    <t>Євр. 306 зач.; 2, 11-18.</t>
  </si>
  <si>
    <t>На Благовіщення й на Собор Богородиці. Цей же і в Велику п'ятницю на 6-му Часі, на Христа Людинолюбця</t>
  </si>
  <si>
    <t>Євр. 307 зач.; 3, 1-4.</t>
  </si>
  <si>
    <t>На освячення церкви</t>
  </si>
  <si>
    <t>Євр. 308 зач.; 3, 5-11; 17-19.</t>
  </si>
  <si>
    <t>Понеділок 29-го тижня після 50-ці</t>
  </si>
  <si>
    <t>Євр. 309 зач.; 3, 12-16.</t>
  </si>
  <si>
    <t>Друга субота посту</t>
  </si>
  <si>
    <t>Євр. 310 зач.; 4, 1-13.</t>
  </si>
  <si>
    <t>Вівторок 29-го тижня після 50-ці</t>
  </si>
  <si>
    <t>Євр. 311 зач.; 4, 14 – 5, 6.</t>
  </si>
  <si>
    <t>Третя неділя посту.</t>
  </si>
  <si>
    <t>Євр. 311 зач.; 5, 4-10.</t>
  </si>
  <si>
    <t>Священномученику загально</t>
  </si>
  <si>
    <t>Євр. 311 зач.; 4, 14 – 5, 10.</t>
  </si>
  <si>
    <t>Священномученику Йосафату</t>
  </si>
  <si>
    <t>створено 2024.11</t>
  </si>
  <si>
    <t>Євр. 312 зач.; 5, 11 – 6, 8.</t>
  </si>
  <si>
    <t>Середа 29-го тижня після 50-ці</t>
  </si>
  <si>
    <t>Євр. 313 зач.; 6, 9-12.</t>
  </si>
  <si>
    <t>Четверта субота посту</t>
  </si>
  <si>
    <t>Євр. 314 зач.; 6, 13-20.</t>
  </si>
  <si>
    <t>Четверта неділя посту</t>
  </si>
  <si>
    <t>Євр. 315 зач.; 7, 1-16.</t>
  </si>
  <si>
    <t>Четвер 29-го тижня після 50-ці</t>
  </si>
  <si>
    <t>Євр. 316 зач.; 7, 7-17.</t>
  </si>
  <si>
    <t>Стрітення Господнє</t>
  </si>
  <si>
    <t>Євр. 317 зач.; 7, 18-25.</t>
  </si>
  <si>
    <t>П'ятниця 29-го тижня після 50-ці</t>
  </si>
  <si>
    <t>Євр. 318 зач.; 7, 26 – 8, 2.</t>
  </si>
  <si>
    <t>Святителеві</t>
  </si>
  <si>
    <t>Євр. 318 зач.; 8, 3-6.</t>
  </si>
  <si>
    <t>Ісповідникові Павлові й іншим</t>
  </si>
  <si>
    <t>Євр. 319 зач.; 8, 7-13.</t>
  </si>
  <si>
    <t>Понеділок 30-го тижня після 50-ці</t>
  </si>
  <si>
    <t>Євр. 320 зач.; 9, 1-7.</t>
  </si>
  <si>
    <t>Вхід Богородиці</t>
  </si>
  <si>
    <t>Євр. 321 зач.; 9, 8-10; 15-23.</t>
  </si>
  <si>
    <t>Вівторок 30-го тижня після 50-ці</t>
  </si>
  <si>
    <t>Євр. 321 зач.; 9, 11-14.</t>
  </si>
  <si>
    <t>П'ята неділя посту. Цей і Симеону Богоприємцеві</t>
  </si>
  <si>
    <t>Євр. 322 зач.; 9, 24-28.</t>
  </si>
  <si>
    <t>П'ята субота посту</t>
  </si>
  <si>
    <t>Євр. 323 зач.; 10, 1-18.</t>
  </si>
  <si>
    <t>Середа 30-го тижня після 50-ці</t>
  </si>
  <si>
    <t>Євр. 324 зач.; 10, 19-31.</t>
  </si>
  <si>
    <t>Велика п'ятниця на 9-му Часі</t>
  </si>
  <si>
    <t>Євр. 325 зач.; 10, 32-38.</t>
  </si>
  <si>
    <t>Третя субота посту</t>
  </si>
  <si>
    <t>Євр. 326 зач.; 10, 35 – 11, 7.</t>
  </si>
  <si>
    <t>Четвер 30-го тижня після 50-ці</t>
  </si>
  <si>
    <t>Євр. 327 зач.; 11, 8; 11-16.</t>
  </si>
  <si>
    <t>П'ятниця 30-го тижня після 50-ці</t>
  </si>
  <si>
    <t>Євр. 328 зач.; 11, 9-10; 17-23; 32-40.</t>
  </si>
  <si>
    <t>Неділя перед Різдвом Христовим, святих отців</t>
  </si>
  <si>
    <t>Євр. 329 зач.; 11, 17-23; 27-31.</t>
  </si>
  <si>
    <t>Понеділок 31-го тижня після 50-ці</t>
  </si>
  <si>
    <t>Євр. 329 зач.; 11, 24-26; 32 – 12, 2.</t>
  </si>
  <si>
    <t>Перша неділя посту, православія</t>
  </si>
  <si>
    <t>Євр. 330 зач.; 11, 33 – 12, 2.</t>
  </si>
  <si>
    <t>Неділя всіх святих</t>
  </si>
  <si>
    <t>Євр. 331 зач.; 12, 1-10.</t>
  </si>
  <si>
    <t>9-го березня, Сорок святих великомучеників</t>
  </si>
  <si>
    <t>Євр. 331 зач.; 12, 6-13; 25-27.</t>
  </si>
  <si>
    <t>В час землетрусу</t>
  </si>
  <si>
    <t>Євр. 332 зач.; 12, 14-24.</t>
  </si>
  <si>
    <t>В час пожару</t>
  </si>
  <si>
    <t>Євр. 333 зач.; 12, 25-26; 13, 22-25.</t>
  </si>
  <si>
    <t>Вівторок 31-го тижня після 50-ці</t>
  </si>
  <si>
    <t>Євр. 333 зач.; 12, 28 – 13, 8.</t>
  </si>
  <si>
    <t>Шоста субота посту, квітна</t>
  </si>
  <si>
    <t>Євр. 334 зач.; 13, 7-16.</t>
  </si>
  <si>
    <t>Пам'яті соборів. Цей же і священномученикові, трьом святителям, преподобному Теодосію</t>
  </si>
  <si>
    <t>Євр. 335 зач.; 13, 17-21.</t>
  </si>
  <si>
    <t>Святителям, преподобним</t>
  </si>
  <si>
    <t>Третя неділя посту</t>
  </si>
  <si>
    <t>У Великий четвер</t>
  </si>
  <si>
    <t>Велика п'ятниця</t>
  </si>
  <si>
    <t>Понеділок світлого тижня</t>
  </si>
  <si>
    <t>Субота 4-та після Пасхи. Цей же і святому мученикові Юрієві, і Яковові Заведеєві</t>
  </si>
  <si>
    <t>Неділя 5-та, про самарянку</t>
  </si>
  <si>
    <t>Неділя 26-га після 50-ці. Цей же й у понеділок Святого Духа</t>
  </si>
  <si>
    <t>Субота 3-тя після 50-ці, рядова</t>
  </si>
  <si>
    <t>Субота 3-тя після 50-ці, Сострадання</t>
  </si>
  <si>
    <t>Неділя 15-та після 50-ці. Цей і преподобним</t>
  </si>
  <si>
    <t>Неділя 20-та після 50-ці. Цей же і в неділю після Різдва Христового</t>
  </si>
  <si>
    <t>Неділя 21-ша після 50-ці. Цей і в неділю після Воздвиження</t>
  </si>
  <si>
    <t>Неділя 22-га після 50-ці</t>
  </si>
  <si>
    <t>Неділя 28-ма після 50-ці</t>
  </si>
  <si>
    <t>Вівторок 30-го тидня після 50-ці</t>
  </si>
  <si>
    <t>Вівторок 31-го тижгня після 50-ці</t>
  </si>
  <si>
    <t>Сирний вівторок</t>
  </si>
  <si>
    <t>Ів. 1 зач.; 1, 1-17.</t>
  </si>
  <si>
    <t>iv</t>
  </si>
  <si>
    <t>В святу й велику неділю Пасхи на Літургії</t>
  </si>
  <si>
    <t>Ів. 2 зач.; 1, 18-28.</t>
  </si>
  <si>
    <t>Ів. 3 зач.; 1, 29-34.</t>
  </si>
  <si>
    <t>Другого дня Богоявлення на Літургії</t>
  </si>
  <si>
    <t>Ів. 4 зач.; 1, 35-51.</t>
  </si>
  <si>
    <t>Середа світлого тижня. Це і апостолові Андрієві</t>
  </si>
  <si>
    <t>Ів. 5 зач.; 1, 43-51.</t>
  </si>
  <si>
    <t>Неділя 1-ша посту. Це ж і святому апостолові Филипові</t>
  </si>
  <si>
    <t>Ів. 6 зач.; 2, 1-11.</t>
  </si>
  <si>
    <t>Понеділок 2-го тижня</t>
  </si>
  <si>
    <t>Ів. 7 зач.; 2, 12-22.</t>
  </si>
  <si>
    <t>Ів. 8 зач.; 3, 1-15.</t>
  </si>
  <si>
    <t>Ів. 9 зач.; 3, 13-17.</t>
  </si>
  <si>
    <t>Неділя перед Воздвиженням, Христа Людинолюбця</t>
  </si>
  <si>
    <t>Ів. 10 зач.; 3, 16-21.</t>
  </si>
  <si>
    <t>Вівторок 2-го тижня</t>
  </si>
  <si>
    <t>Ів. 11 зач.; 3, 22-33.</t>
  </si>
  <si>
    <t>Ів. 12 зач.; 4, 5-42.</t>
  </si>
  <si>
    <t>Неділя 5-та після Пасхи, про самарянку</t>
  </si>
  <si>
    <t>Ів. 13 зач.; 4, 46-54.</t>
  </si>
  <si>
    <t>Понеділок 3-го тижня</t>
  </si>
  <si>
    <t>Ів. 14 зач.; 5, 1-15.</t>
  </si>
  <si>
    <t>Ів. 14 зач.; 5, 1-4.</t>
  </si>
  <si>
    <t>Ів. 15 зач.; 5, 17-24.</t>
  </si>
  <si>
    <t>Середа 2-го тижня. Це ж і мертвим в понеділок</t>
  </si>
  <si>
    <t>Ів. 16 зач.; 5, 24-30.</t>
  </si>
  <si>
    <t>Четвер 2-го тижня. Це ж і мертвим у вівторок і в суботу.</t>
  </si>
  <si>
    <t>Ів. 17 зач.; 5, 30 – 6, 2.</t>
  </si>
  <si>
    <t>П'ятниця 2-го тижня</t>
  </si>
  <si>
    <t>Ів. 18 зач.; 6, 5-14.</t>
  </si>
  <si>
    <t>Середа 5-го тижня</t>
  </si>
  <si>
    <t>Ів. 19 зач.; 6, 14-27.</t>
  </si>
  <si>
    <t>Субота 2-га після Пасхи</t>
  </si>
  <si>
    <t>Ів. 20 зач.; 6, 27-33.</t>
  </si>
  <si>
    <t>Вівторок 3-го тижня</t>
  </si>
  <si>
    <t>Ів. 21 зач.; 6, 35-39.</t>
  </si>
  <si>
    <t>Середа 3-го тижня. Це і мертвим у середу</t>
  </si>
  <si>
    <t>Ів. 22 зач.; 6, 40-44.</t>
  </si>
  <si>
    <t>Четвер 3-го тижня</t>
  </si>
  <si>
    <t>Ів. 23 зач.; 6, 48-54.</t>
  </si>
  <si>
    <t>П'ятниця 3-го тижня. Також на Пресвятої Євхаристії на Літургії.</t>
  </si>
  <si>
    <t>Ів. 24 зач.; 6, 55-58.</t>
  </si>
  <si>
    <t>На Пресвятої Євхаристії на Утрені.</t>
  </si>
  <si>
    <t>Ів. 24 зач.; 6, 56-69.</t>
  </si>
  <si>
    <t>Понеділок 4-го тижня</t>
  </si>
  <si>
    <t>Ів. 25 зач.; 7, 1-13.</t>
  </si>
  <si>
    <t>Вівторок 4-го тижня</t>
  </si>
  <si>
    <t>Ів. 26 зач.; 7, 14-30.</t>
  </si>
  <si>
    <t>Середа 4-го тижня</t>
  </si>
  <si>
    <t>Ів. 27 зач.; 7, 37-52; 8, 12.</t>
  </si>
  <si>
    <t>Неділя 8-ма, П'ятидесятниця</t>
  </si>
  <si>
    <t>liturgy</t>
  </si>
  <si>
    <t>Ів. 28 зач.; 8, 3-11.</t>
  </si>
  <si>
    <t>Святим жінкам</t>
  </si>
  <si>
    <t>Ів. 29 зач.; 8, 12-20.</t>
  </si>
  <si>
    <t>Четвер 4-го тижня</t>
  </si>
  <si>
    <t>Ів. 30 зач.; 8, 21-30.</t>
  </si>
  <si>
    <t>П'ятниця 4-го тижня. Це ж і в суботу після Воздвиження</t>
  </si>
  <si>
    <t>Ів. 31 зач.; 8, 31-42.</t>
  </si>
  <si>
    <t>Субота 4-го тижня</t>
  </si>
  <si>
    <t>Ів. 32 зач.; 8, 42-51.</t>
  </si>
  <si>
    <t>Понеділок 5-го тижня</t>
  </si>
  <si>
    <t>Ів. 33 зач.; 8, 51-59.</t>
  </si>
  <si>
    <t>Вівторок 5-го тижня</t>
  </si>
  <si>
    <t>Ів. 34 зач.; 9, 1-38.</t>
  </si>
  <si>
    <t>Неділя 6-та, про сліпородженого</t>
  </si>
  <si>
    <t>Ів. 35 зач.; 9, 39 – 10, 9.</t>
  </si>
  <si>
    <t>Четвер 5-го тижня</t>
  </si>
  <si>
    <t>Ів. 35 зач.; 10, 1-9.</t>
  </si>
  <si>
    <t>Святителям на Утрені</t>
  </si>
  <si>
    <t>Ів. 36 зач.; 10, 9-16.</t>
  </si>
  <si>
    <t>Святителям на Літургії або на Утрені</t>
  </si>
  <si>
    <t>Ів. 37 зач.; 10, 17-28.</t>
  </si>
  <si>
    <t>П'ятниця 5-го тижня</t>
  </si>
  <si>
    <t>Ів. 37 зач.; 10, 22-28.</t>
  </si>
  <si>
    <t>На посвячення церкви</t>
  </si>
  <si>
    <t>Ів. 38 зач.; 10, 27-38.</t>
  </si>
  <si>
    <t>Субота 5-го тижня</t>
  </si>
  <si>
    <t>Вже є субота 5-го тижня з іншого Єв.</t>
  </si>
  <si>
    <t>Ів. 39 зач.; 11, 1-45.</t>
  </si>
  <si>
    <t>Лазарева субота</t>
  </si>
  <si>
    <t>Ів. 40 зач.; 11, 47-57.</t>
  </si>
  <si>
    <t>Понеділок 6-го тижня</t>
  </si>
  <si>
    <t>Ів. 41 зач.; 12, 1-18.</t>
  </si>
  <si>
    <t>В квітну неділю на Літургії</t>
  </si>
  <si>
    <t>Ів. 41 зач.; 12, 17-50.</t>
  </si>
  <si>
    <t>В святу й велику середу на Утрені</t>
  </si>
  <si>
    <t>Ів. 42 зач.; 12, 19-36.</t>
  </si>
  <si>
    <t>Вівторок 6-го тижня</t>
  </si>
  <si>
    <t>Ів. 42 зач.; 12, 28-36.</t>
  </si>
  <si>
    <t>На Воздвиження Хреста, на Утрені</t>
  </si>
  <si>
    <t>Ів. 43 зач.; 12, 36-47.</t>
  </si>
  <si>
    <t>Середа 6-го тижня</t>
  </si>
  <si>
    <t>Ів. 44 зач.; 13, 1-11.</t>
  </si>
  <si>
    <t>У великий четвер, Євангеліє 1-ше на умивання ніг</t>
  </si>
  <si>
    <t>Ів. 45 зач.; 13, 12-17.</t>
  </si>
  <si>
    <t>Євангеліє 2-ге, після умивання ніг</t>
  </si>
  <si>
    <t>Ів. 46 зач.; 13, 31 - 18, 1.</t>
  </si>
  <si>
    <t>Євангеліє 1-ше святих страстей</t>
  </si>
  <si>
    <t>Ів. 47 зач.; 14, 1-11.</t>
  </si>
  <si>
    <t>П'ятниця 6-го тижня</t>
  </si>
  <si>
    <t>Ів. 48 зач.; 14, 10-21.</t>
  </si>
  <si>
    <t>Субота 6-го тижня</t>
  </si>
  <si>
    <t>Ів. 48 зач.; 14, 21-24</t>
  </si>
  <si>
    <t>Святому апостолі Юді</t>
  </si>
  <si>
    <t>Ів. 49 зач.; 14, 27 – 15, 7.</t>
  </si>
  <si>
    <t>Понеділок 7-го тижня</t>
  </si>
  <si>
    <t>Мт 56, теж пн 7-го тижня</t>
  </si>
  <si>
    <t>Ів. 50 зач.; 15, 1-7.</t>
  </si>
  <si>
    <t>2-го вересня, Мамантові</t>
  </si>
  <si>
    <t>Ів. 51 зач.; 15, 9-16.</t>
  </si>
  <si>
    <t>11 травня, Мокієві</t>
  </si>
  <si>
    <t>Ів. 52 зач.; 15, 17 – 16, 2.</t>
  </si>
  <si>
    <t>Субота 3-го тижня. Це ж і мученикам.</t>
  </si>
  <si>
    <t>Ів. 53 зач.; 16, 2-13.</t>
  </si>
  <si>
    <t>Вівторок 7-го тижня.</t>
  </si>
  <si>
    <t>Див Мт. 57</t>
  </si>
  <si>
    <t>Ів. 54 зач.; 16, 15-23.</t>
  </si>
  <si>
    <t>Середа 7-го тижня</t>
  </si>
  <si>
    <t>Ів. 55 зач.; 16, 23-33.</t>
  </si>
  <si>
    <t>Четвер 7-го тижня</t>
  </si>
  <si>
    <t>Ів. 56 зач.; 17, 1-13.</t>
  </si>
  <si>
    <t>Неділя 7-ма, святих отців, що в Нікеї</t>
  </si>
  <si>
    <t>Ів. 57 зач.; 17, 18-26.</t>
  </si>
  <si>
    <t>П'ятниця 7-го тижня</t>
  </si>
  <si>
    <t>Ів. 58 зач.; 18, 1-28.</t>
  </si>
  <si>
    <t>Євангеліє 2-ге святих страстей</t>
  </si>
  <si>
    <t>Ів. 59 зач.; 18, 28 - 19, 16.</t>
  </si>
  <si>
    <t>Євангеліє 4-те святих страстей.</t>
  </si>
  <si>
    <t>Ів. 59 зач.; 18, 28 - 19, 37.</t>
  </si>
  <si>
    <t>На 9-му Часі у Велику П'ятницю, не переступаючи</t>
  </si>
  <si>
    <t>Ів. 60 зач.; 19, 6-11; 13-20; 25-28; 30-35.</t>
  </si>
  <si>
    <t>14 вересня, на Воздвиження Чесного Хреста на Літургії, цей і на явління в небі знамення Хреста, на похід з древом Хреста</t>
  </si>
  <si>
    <t>Ів. 61 зач.; 19, 25-37.</t>
  </si>
  <si>
    <t>Євангеліє 9-те святих страстей.</t>
  </si>
  <si>
    <t>Ів. 61 зач.; 19, 25-27; 21, 24-25.</t>
  </si>
  <si>
    <t>26 вересня, і 8 травня, Іванові Богословові на Літургії</t>
  </si>
  <si>
    <t>Ів. 61 зач.; 19, 25-27.</t>
  </si>
  <si>
    <t>Сострадання Пресв. Богородиці</t>
  </si>
  <si>
    <t>Ів. 62 зач.; 19, 38-42.</t>
  </si>
  <si>
    <t>Євангеліє 11-те святих страстей.</t>
  </si>
  <si>
    <t>Ів. 63 зач.; 20, 1-10.</t>
  </si>
  <si>
    <t>Євангеліє воскресне 7-ме, Неділя 7-ма по 50-ці на Утрені</t>
  </si>
  <si>
    <t>Ів. 64 зач.; 20, 11-18.</t>
  </si>
  <si>
    <t>Євангеліє воскресне 8-ме</t>
  </si>
  <si>
    <t>Ів. 65 зач.; 20, 19-23.</t>
  </si>
  <si>
    <t>На Утрені в неділю 8-му після Великодня.</t>
  </si>
  <si>
    <t>Ів. 65 зач.; 20, 19-25.</t>
  </si>
  <si>
    <t>В світлу неділю ввечері.</t>
  </si>
  <si>
    <t>Ів. 65 зач.; 20, 19-31.</t>
  </si>
  <si>
    <t>Євангеліє воскресне 9-те. Святому апостолові Томі. В неділю антипасхи.</t>
  </si>
  <si>
    <t>Ів. 66 зач.; 21, 1-14.</t>
  </si>
  <si>
    <t>Євангеліє воскресне 10-те</t>
  </si>
  <si>
    <t>Ів. 67 зач.; 21, 15-25.</t>
  </si>
  <si>
    <t>Євангеліє воскресне 11-те, і в суботу 7-му на Літургії, на празник Богослова на Утрені, і 17 січня, і апостолам на утрені</t>
  </si>
  <si>
    <t>17 січня???</t>
  </si>
  <si>
    <t>Йо. 1 зач.; 1, 1-17.</t>
  </si>
  <si>
    <t>Йо. 2 зач.; 1, 18-28.</t>
  </si>
  <si>
    <t>Йо. 3 зач.; 1, 29-34.</t>
  </si>
  <si>
    <t>Йо. 4 зач.; 1, 35-51.</t>
  </si>
  <si>
    <t>Йо. 5 зач.; 1, 43-51.</t>
  </si>
  <si>
    <t>Йо. 6 зач.; 2, 1-11.</t>
  </si>
  <si>
    <t>Йо. 7 зач.; 2, 12-22.</t>
  </si>
  <si>
    <t>Йо. 8 зач.; 3, 1-15.</t>
  </si>
  <si>
    <t>Йо. 9 зач.; 3, 13-17.</t>
  </si>
  <si>
    <t>Неділя перед Воздвиженням</t>
  </si>
  <si>
    <t>Йо. 10 зач.; 3, 16-21.</t>
  </si>
  <si>
    <t>Йо. 11 зач.; 3, 22-33.</t>
  </si>
  <si>
    <t>Йо. 12 зач.; 4, 5-42.</t>
  </si>
  <si>
    <t>Йо. 13 зач.; 4, 46-54.</t>
  </si>
  <si>
    <t>Йо. 14 зач.; 5, 1-15.</t>
  </si>
  <si>
    <t>Йо. 14 зач.; 5, 1-4.</t>
  </si>
  <si>
    <t>Йо. 15 зач.; 5, 17-24.</t>
  </si>
  <si>
    <t>Йо. 16 зач.; 5, 24-30.</t>
  </si>
  <si>
    <t>Йо. 17 зач.; 5, 30 – 6, 2.</t>
  </si>
  <si>
    <t>Йо. 18 зач.; 6, 5-14.</t>
  </si>
  <si>
    <t>Йо. 19 зач.; 6, 14-27.</t>
  </si>
  <si>
    <t>Йо. 20 зач.; 6, 27-33.</t>
  </si>
  <si>
    <t>Йо. 21 зач.; 6, 35-39.</t>
  </si>
  <si>
    <t>Йо. 22 зач.; 6, 40-44.</t>
  </si>
  <si>
    <t>Йо. 23 зач.; 6, 48-54.</t>
  </si>
  <si>
    <t>П'ятниця 3-го тижня</t>
  </si>
  <si>
    <t>Йо. 24 зач.; 6, 56-69.</t>
  </si>
  <si>
    <t>Йо. 25 зач.; 7, 1-13.</t>
  </si>
  <si>
    <t>Йо. 26 зач.; 7, 14-30.</t>
  </si>
  <si>
    <t>Йо. 27 зач.; 7, 37-52; 8, 12.</t>
  </si>
  <si>
    <t>Йо. 28 зач.; 8, 3-11.</t>
  </si>
  <si>
    <t>Йо. 29 зач.; 8, 12-20.</t>
  </si>
  <si>
    <t>Йо. 30 зач.; 8, 21-30.</t>
  </si>
  <si>
    <t>Йо. 31 зач.; 8, 31-42.</t>
  </si>
  <si>
    <t>Йо. 32 зач.; 8, 42-51.</t>
  </si>
  <si>
    <t>Йо. 33 зач.; 8, 51-59.</t>
  </si>
  <si>
    <t>Йо. 34 зач.; 9, 1-38.</t>
  </si>
  <si>
    <t>Йо. 35 зач.; 9, 39 – 10, 9.</t>
  </si>
  <si>
    <t>Йо. 35 зач.; 10, 1-9.</t>
  </si>
  <si>
    <t>Йо. 36 зач.; 10, 9-16.</t>
  </si>
  <si>
    <t>Святителям на Літургії</t>
  </si>
  <si>
    <t>Йо. 37 зач.; 10, 17-28.</t>
  </si>
  <si>
    <t>Йо. 37 зач.; 10, 22-28.</t>
  </si>
  <si>
    <t>Йо. 38 зач.; 10, 27-38.</t>
  </si>
  <si>
    <t>Йо. 39 зач.; 11, 1-45.</t>
  </si>
  <si>
    <t>Йо. 40 зач.; 11, 47-57.</t>
  </si>
  <si>
    <t>Йо. 41 зач.; 12, 1-18.</t>
  </si>
  <si>
    <t>Йо. 41 зач.; 12, 17-50.</t>
  </si>
  <si>
    <t>Йо. 42 зач.; 12, 19-36.</t>
  </si>
  <si>
    <t>Йо. 42 зач.; 12, 28-36.</t>
  </si>
  <si>
    <t>Йо. 43 зач.; 12, 36-47.</t>
  </si>
  <si>
    <t>Йо. 44 зач.; 13, 1-11.</t>
  </si>
  <si>
    <t>Йо. 45 зач.; 13, 12-17.</t>
  </si>
  <si>
    <t>Йо. 46 зач.; 13, 31 - 18, 1.</t>
  </si>
  <si>
    <t>Йо. 47 зач.; 14, 1-11.</t>
  </si>
  <si>
    <t>Йо. 48 зач.; 14, 10-21.</t>
  </si>
  <si>
    <t>Йо. 48 зач.; 14, 21-24</t>
  </si>
  <si>
    <t>Йо. 49 зач.; 14, 27 – 15, 7.</t>
  </si>
  <si>
    <t>Йо. 50 зач.; 15, 1-7.</t>
  </si>
  <si>
    <t>Йо. 51 зач.; 15, 9-16.</t>
  </si>
  <si>
    <t>Йо. 52 зач.; 15, 17 – 16, 2.</t>
  </si>
  <si>
    <t>Йо. 53 зач.; 16, 2-13.</t>
  </si>
  <si>
    <t>Йо. 54 зач.; 16, 15-23.</t>
  </si>
  <si>
    <t>Йо. 55 зач.; 16, 23-33.</t>
  </si>
  <si>
    <t>Йо. 56 зач.; 17, 1-13.</t>
  </si>
  <si>
    <t>Йо. 57 зач.; 17, 18-26.</t>
  </si>
  <si>
    <t>Йо. 58 зач.; 18, 1-28.</t>
  </si>
  <si>
    <t>Йо. 59 зач.; 18, 28 - 19, 16.</t>
  </si>
  <si>
    <t>Йо. 59 зач.; 18, 28 - 19, 37.</t>
  </si>
  <si>
    <t>Йо. 60 зач.; 19, 6-11; 13-20; 25-28; 30-35.</t>
  </si>
  <si>
    <t>14 вересня, на Воздвиження Чесного Хреста на Літургії</t>
  </si>
  <si>
    <t>Йо. 61 зач.; 19, 25-37.</t>
  </si>
  <si>
    <t xml:space="preserve">Євангеліє 9-те святих страстей. </t>
  </si>
  <si>
    <t>Йо. 61 зач.; 19, 25-27; 21, 24-25.</t>
  </si>
  <si>
    <t>Йо. 61 зач.; 19, 25-27.</t>
  </si>
  <si>
    <t>Йо. 62 зач.; 19, 38-42.</t>
  </si>
  <si>
    <t>Йо. 63 зач.; 20, 1-10.</t>
  </si>
  <si>
    <t>Йо. 64 зач.; 20, 11-18.</t>
  </si>
  <si>
    <t>Йо. 65 зач.; 20, 19-23.</t>
  </si>
  <si>
    <t>Йо. 65 зач.; 20, 19-25.</t>
  </si>
  <si>
    <t>Йо. 65 зач.; 20, 19-31.</t>
  </si>
  <si>
    <t>Йо. 66 зач.; 21, 1-14.</t>
  </si>
  <si>
    <t>Йо. 67 зач.; 21, 15-25.</t>
  </si>
  <si>
    <t>Лк. 1 зач.; 1, 1-25; 57-68; 76; 80.</t>
  </si>
  <si>
    <t>lk</t>
  </si>
  <si>
    <t>Різдво святого пророк предтечі і Хрестителя Івана, на Літургії</t>
  </si>
  <si>
    <t>Лк. 2 зач.; 1, 5-25.</t>
  </si>
  <si>
    <t>23 вересня, на зачаття Івана Хрестителя</t>
  </si>
  <si>
    <t>Лк. 3 зач.; 1, 24-38.</t>
  </si>
  <si>
    <t>Благовіщення Пресвятої Богородиці, на Літургії</t>
  </si>
  <si>
    <t>Лк. 3 зач.; 1, 24-25; 57-68; 76; 80.</t>
  </si>
  <si>
    <t>На різдво Івана Предтечі, на Утрені</t>
  </si>
  <si>
    <t>Лк. 4 зач.; 1, 39-49; 56.</t>
  </si>
  <si>
    <t>Благовіщення, на Утрені. Це й на інші свята Пресвятої Богородиці.</t>
  </si>
  <si>
    <t>Лк. 5 зач.; 2, 1-20.</t>
  </si>
  <si>
    <t>В навечір'я Різдва Христового, і на 3-му часі</t>
  </si>
  <si>
    <t>Лк. 6 зач.; 2, 20-21; 40-52.</t>
  </si>
  <si>
    <t>Обрізання Господнє, на Літургії</t>
  </si>
  <si>
    <t>Лк. 7 зач.; 2, 22-40.</t>
  </si>
  <si>
    <t>Стрітення Господнє, на Літургії</t>
  </si>
  <si>
    <t>Лк. 8 зач.; 2, 25-32.</t>
  </si>
  <si>
    <t>Стрітення Господнє, на Утрені</t>
  </si>
  <si>
    <t>Лк. 8 зач.; 2, 25-38.</t>
  </si>
  <si>
    <t>В день пам'яті Симеона богоприїмця</t>
  </si>
  <si>
    <t>Лк. 9 зач.; 3, 1-18.</t>
  </si>
  <si>
    <t>Навечір'я Богоявлення</t>
  </si>
  <si>
    <t>Лк. 10 зач.; 3, 19-22.</t>
  </si>
  <si>
    <t>Понеділок 18-го тижня</t>
  </si>
  <si>
    <t>Лк. 11 зач.; 3, 23 – 4, 1.</t>
  </si>
  <si>
    <t>Вівторок 18-го тижня</t>
  </si>
  <si>
    <t>Лк. 12 зач.; 4, 1-15.</t>
  </si>
  <si>
    <t>Середа 18-го тижня</t>
  </si>
  <si>
    <t>Лк. 13 зач.; 4, 16-22.</t>
  </si>
  <si>
    <t>Четвер 18-го тижня. Це й 1 вересня, на Новий рік</t>
  </si>
  <si>
    <t>Лк. 14 зач.; 4, 22-30.</t>
  </si>
  <si>
    <t>П'ятниця 18-го тижня. Це й пророкові Іллі</t>
  </si>
  <si>
    <t>Лк. 15 зач.; 4, 31-36.</t>
  </si>
  <si>
    <t>Субота 18-го тижня</t>
  </si>
  <si>
    <t>Лк. 16 зач.; 4, 37-44.</t>
  </si>
  <si>
    <t>Понеділок 19-го тижня</t>
  </si>
  <si>
    <t>Лк. 17 зач.; 5, 1-11.</t>
  </si>
  <si>
    <t>Неділя 18-та. Це й же ж апостолу Якову</t>
  </si>
  <si>
    <t>Лк. 18 зач.; 5, 12-16.</t>
  </si>
  <si>
    <t>Вівторок 19-го тижня</t>
  </si>
  <si>
    <t>Лк. 19 зач.; 5, 17-26.</t>
  </si>
  <si>
    <t>Субота 19-го тижня</t>
  </si>
  <si>
    <t>Лк. 20 зач.; 5, 27-32.</t>
  </si>
  <si>
    <t>Субота 20-го тижня</t>
  </si>
  <si>
    <t>Лк. 21 зач.; 5, 33-39.</t>
  </si>
  <si>
    <t>Середа 19-го тижня</t>
  </si>
  <si>
    <t>Лк. 22 зач.; 6, 1-10.</t>
  </si>
  <si>
    <t>Субота 21-го тижня</t>
  </si>
  <si>
    <t>Лк. 23 зач.; 6, 12-19.</t>
  </si>
  <si>
    <t>Четвер 19-го тижня</t>
  </si>
  <si>
    <t>Лк. 24 зач.; 6, 17-23.</t>
  </si>
  <si>
    <t>П'ятниця 19-го тижня. Це ж і преподобним, св. Миколаю.</t>
  </si>
  <si>
    <t>Лк. 25 зач.; 6, 24-30.</t>
  </si>
  <si>
    <t>Понеділок 20-го тижня</t>
  </si>
  <si>
    <t>Лк. 26 зач.; 6, 31-36.</t>
  </si>
  <si>
    <t>Неділя 19-та</t>
  </si>
  <si>
    <t>Лк. 27 зач.; 6, 37-45.</t>
  </si>
  <si>
    <t>Вівторок 20-го тижня</t>
  </si>
  <si>
    <t>Лк. 28 зач.; 6, 46 – 7, 1.</t>
  </si>
  <si>
    <t>Середа 20-го тижня</t>
  </si>
  <si>
    <t>Лк. 29 зач.; 7, 1-10.</t>
  </si>
  <si>
    <t>Субота 22-го тижня</t>
  </si>
  <si>
    <t>Лк. 30 зач.; 7, 11-16.</t>
  </si>
  <si>
    <t>Неділя 20-та</t>
  </si>
  <si>
    <t>Лк. 31 зач.; 7, 17-30.</t>
  </si>
  <si>
    <t>Четвер 20-го тижня. Це ж і на знайдення голови Івана Предтечі, на Утрені</t>
  </si>
  <si>
    <t>Лк. 32 зач.; 7, 31-35.</t>
  </si>
  <si>
    <t>П'ятниця 20-го тижня</t>
  </si>
  <si>
    <t>Лк. 33 зач.; 7, 36-50.</t>
  </si>
  <si>
    <t>Понеділок 21-го тижня. Це ж і преподобним жінкам</t>
  </si>
  <si>
    <t>Лк. 34 зач.; 8, 1-3.</t>
  </si>
  <si>
    <t>Вівторок 21-го тижня</t>
  </si>
  <si>
    <t>Лк. 35 зач.; 8, 5-15.</t>
  </si>
  <si>
    <t>Неділя 21-ша</t>
  </si>
  <si>
    <t>Лк. 36 зач.; 8, 16-21.</t>
  </si>
  <si>
    <t>Субота 23-го тижня. Це і святій Анні</t>
  </si>
  <si>
    <t>Лк. 37 зач.; 8, 22-25.</t>
  </si>
  <si>
    <t>Середа 21-го тижня</t>
  </si>
  <si>
    <t>Лк. 38 зач.; 8, 26-39.</t>
  </si>
  <si>
    <t>Неділя 23-тя</t>
  </si>
  <si>
    <t>Лк. 39 зач.; 8, 41-56.</t>
  </si>
  <si>
    <t>Неділя 24-та</t>
  </si>
  <si>
    <t>Лк. 40 зач.; 9, 1-6.</t>
  </si>
  <si>
    <t>Субота 24-го тижня. Цей і ап. Матію на утрені</t>
  </si>
  <si>
    <t>Лк. 41 зач.; 9, 7-11.</t>
  </si>
  <si>
    <t>Четвер 21-го тижя</t>
  </si>
  <si>
    <t>Лк. 42 зач.; 9, 12-17.</t>
  </si>
  <si>
    <t>П'ятниця 21-го тижя</t>
  </si>
  <si>
    <t>Лк. 43 зач.; 9, 18-22.</t>
  </si>
  <si>
    <t>Понеділок 22-го тижня</t>
  </si>
  <si>
    <t>Лк. 44 зач.; 9, 23-27.</t>
  </si>
  <si>
    <t>Вівторок 22-го тижня</t>
  </si>
  <si>
    <t>Лк. 45 зач.; 9, 28-36.</t>
  </si>
  <si>
    <t>Переображення, на Утрені</t>
  </si>
  <si>
    <t>див Мр. 38 зач.</t>
  </si>
  <si>
    <t>Лк. 46 зач.; 9, 37-43.</t>
  </si>
  <si>
    <t>Субота 25-го тижня</t>
  </si>
  <si>
    <t>Лк. 47 зач.; 9, 44-50.</t>
  </si>
  <si>
    <t>Середа 22-го тижня</t>
  </si>
  <si>
    <t>Лк. 48 зач.; 9, 49-56.</t>
  </si>
  <si>
    <t>Четвер 22-го тижня</t>
  </si>
  <si>
    <t>Лк. 48 зач.; 9, 51-56; 10, 22-24.</t>
  </si>
  <si>
    <t>Святому Обрусові</t>
  </si>
  <si>
    <t>Лк. 49 зач.; 9, 57-62.</t>
  </si>
  <si>
    <t>Субота 26-го тижня</t>
  </si>
  <si>
    <t>Лк. 50 зач.; 10, 1-15.</t>
  </si>
  <si>
    <t>П'ятниця 22-го тижня. Це й апостолам</t>
  </si>
  <si>
    <t>Лк. 51 зач.; 10, 19-21.</t>
  </si>
  <si>
    <t>Субота 27-го тижня</t>
  </si>
  <si>
    <t>Лк. 51 зач.; 10, 16-21.</t>
  </si>
  <si>
    <t>Загальне апостолам і ангелам</t>
  </si>
  <si>
    <t>Лк. 52 зач.; 10, 22-24.</t>
  </si>
  <si>
    <t>Понеділок 23-го тижня</t>
  </si>
  <si>
    <t>Лк. 53 зач.; 10, 25-37.</t>
  </si>
  <si>
    <t>Неділя 25-та</t>
  </si>
  <si>
    <t>Лк. 54 зач.; 10, 38-42; 11, 27-28.</t>
  </si>
  <si>
    <t>На всі празники Богородиці</t>
  </si>
  <si>
    <t>Лк. 55 зач.; 11, 1-10.</t>
  </si>
  <si>
    <t>Вівторок 23-го тижня</t>
  </si>
  <si>
    <t>Лк. 56 зач.; 11, 9-13.</t>
  </si>
  <si>
    <t>Середа 23-го тижня</t>
  </si>
  <si>
    <t>Лк. 57 зач.; 11, 14-23.</t>
  </si>
  <si>
    <t>Четвер 23-го тижня</t>
  </si>
  <si>
    <t>Лк. 58 зач.; 11, 23-26.</t>
  </si>
  <si>
    <t>П'ятниця 23-го тижня</t>
  </si>
  <si>
    <t>Лк. 59 зач.; 11, 29-33.</t>
  </si>
  <si>
    <t>Понеділок 24-го тижня</t>
  </si>
  <si>
    <t>Лк. 60 зач.; 11, 34-41.</t>
  </si>
  <si>
    <t>Вівторок 24-го тижня</t>
  </si>
  <si>
    <t>Лк. 61 зач.; 11, 42-46.</t>
  </si>
  <si>
    <t>Середа 24-го тижня</t>
  </si>
  <si>
    <t>Лк. 62 зач.; 11, 47 – 12, 1.</t>
  </si>
  <si>
    <t>Четвер 24-го тижня</t>
  </si>
  <si>
    <t>Лк. 63 зач.; 12, 2-12.</t>
  </si>
  <si>
    <t>П'ятниця 24-го тижня</t>
  </si>
  <si>
    <t>Лк. 63 зач.; 12, 2-7.</t>
  </si>
  <si>
    <t>Святому Юрієві, на Утрені</t>
  </si>
  <si>
    <t>Лк. 64 зач.; 12, 8-12.</t>
  </si>
  <si>
    <t>6 листопада, святому ісповідникові Павлові</t>
  </si>
  <si>
    <t>Лк. 65 зач.; 12, 13-15; 22-31.</t>
  </si>
  <si>
    <t>Понеділок 25-го тижня</t>
  </si>
  <si>
    <t>Лк. 66 зач.; 12, 16-21.</t>
  </si>
  <si>
    <t>Неділя 26-та</t>
  </si>
  <si>
    <t>Лк. 67 зач.; 12, 32-40.</t>
  </si>
  <si>
    <t>Субота 28-го тижня. Цей і свщмч. Теодору (Ромжі)</t>
  </si>
  <si>
    <t>Лк. 68 зач.; 12, 42-48.</t>
  </si>
  <si>
    <t>Вівторок 25-го тижня</t>
  </si>
  <si>
    <t>Лк. 69 зач.; 12, 48-59.</t>
  </si>
  <si>
    <t>Середа 25-го тижня</t>
  </si>
  <si>
    <t>Лк. 70 зач.; 13, 1-9.</t>
  </si>
  <si>
    <t>Четвер 25-го тижня</t>
  </si>
  <si>
    <t>Лк. 71 зач.; 13, 10-17.</t>
  </si>
  <si>
    <t>Неділя 27-ма</t>
  </si>
  <si>
    <t>Лк. 72 зач.; 13, 18-29.</t>
  </si>
  <si>
    <t>Субота 29-го тижня. Це й перед Різдвом Христовим у суботу</t>
  </si>
  <si>
    <t>Лк. 73 зач.; 13, 31-35.</t>
  </si>
  <si>
    <t>П'ятниця 25-го тижня</t>
  </si>
  <si>
    <t>Лк. 74 зач.; 14, 1-11.</t>
  </si>
  <si>
    <t>Субота 30-го тижня</t>
  </si>
  <si>
    <t>Лк. 75 зач.; 14, 12-15.</t>
  </si>
  <si>
    <t>Понеділок 26-го тижня</t>
  </si>
  <si>
    <t>Лк. 76 зач.; 14, 16-24.</t>
  </si>
  <si>
    <t>Неділя 28-ма. Це і в неділю праотців</t>
  </si>
  <si>
    <t>Лк. 77 зач.; 14, 25-35.</t>
  </si>
  <si>
    <t>Вівторок 26-го тижня</t>
  </si>
  <si>
    <t>Лк. 78 зач.; 15, 1-10.</t>
  </si>
  <si>
    <t>Середа 26-го тижня</t>
  </si>
  <si>
    <t>Лк. 79 зач.; 15, 11-32.</t>
  </si>
  <si>
    <t>Неділя 34-та про блудного сина</t>
  </si>
  <si>
    <t>Лк. 80 зач.; 16, 1-9.</t>
  </si>
  <si>
    <t>Четвер 26-го тижня</t>
  </si>
  <si>
    <t>Лк. 81 зач.; 16, 10-15.</t>
  </si>
  <si>
    <t>Субота 31-го тижня</t>
  </si>
  <si>
    <t>Лк. 82 зач.; 16, 15-18; 17, 1-4.</t>
  </si>
  <si>
    <t>П'ятниця 26-го тижня</t>
  </si>
  <si>
    <t>Лк. 83 зач.; 16, 19-31.</t>
  </si>
  <si>
    <t>Неділя 22-га. Цей і прп. Йосафаті</t>
  </si>
  <si>
    <t>Лк. 84 зач.; 17, 3-10.</t>
  </si>
  <si>
    <t>Субота 32-го тижня</t>
  </si>
  <si>
    <t>Лк. 85 зач.; 17, 12-19.</t>
  </si>
  <si>
    <t>Неділя 29-та</t>
  </si>
  <si>
    <t>Лк. 86 зач.; 17, 20-25.</t>
  </si>
  <si>
    <t>Понеділок 27-го тижня</t>
  </si>
  <si>
    <t>Лк. 87 зач.; 17, 26-37.</t>
  </si>
  <si>
    <t>Вівторок 27-го тижня</t>
  </si>
  <si>
    <t>Лк. 88 зач.; 18, 2-8.</t>
  </si>
  <si>
    <t>Субота 33-го тижня</t>
  </si>
  <si>
    <t>Лк. 89 зач.; 18, 10-14.</t>
  </si>
  <si>
    <t>Лк. 90 зач.; 18, 15-17; 26-30.</t>
  </si>
  <si>
    <t>Середа 27-го тижня</t>
  </si>
  <si>
    <t>Лк. 91 зач.; 18, 18-27.</t>
  </si>
  <si>
    <t>Неділя 30-та</t>
  </si>
  <si>
    <t>Лк. 92 зач.; 18, 31-34.</t>
  </si>
  <si>
    <t>Четвер 27-го тижня</t>
  </si>
  <si>
    <t>Лк. 93 зач.; 18, 35-43.</t>
  </si>
  <si>
    <t>Неділя 31-ша</t>
  </si>
  <si>
    <t>Лк. 94 зач.; 19, 1-10.</t>
  </si>
  <si>
    <t>Неділя 32-га</t>
  </si>
  <si>
    <t>Лк. 95 зач.; 19, 12-28.</t>
  </si>
  <si>
    <t>П'ятниця 27-го тижня</t>
  </si>
  <si>
    <t>Лк. 96 зач.; 19, 29-40; 22, 7-39.</t>
  </si>
  <si>
    <t>Понеділок сирного тижня</t>
  </si>
  <si>
    <t>Лк. 97 зач.; 19, 37-44.</t>
  </si>
  <si>
    <t>Понеділок 28-го тижня</t>
  </si>
  <si>
    <t>Лк. 98 зач.; 19, 45-48.</t>
  </si>
  <si>
    <t>Вівторок 28-го тижня</t>
  </si>
  <si>
    <t>Лк. 99 зач.; 20, 1-8.</t>
  </si>
  <si>
    <t>Середа 28-го тидня</t>
  </si>
  <si>
    <t>Лк. 100 зач.; 20, 9-18.</t>
  </si>
  <si>
    <t>Четвер 28-го тижня</t>
  </si>
  <si>
    <t>Лк. 101 зач.; 20, 19-26.</t>
  </si>
  <si>
    <t>П'ятниця 28-го тижня</t>
  </si>
  <si>
    <t>Лк. 102 зач.; 20, 27-44.</t>
  </si>
  <si>
    <t>Понеділок 29-го тижня</t>
  </si>
  <si>
    <t>Лк. 103 зач.; 20, 45 – 21, 4.</t>
  </si>
  <si>
    <t>Субота 34-го тижня</t>
  </si>
  <si>
    <t>Лк. 104 зач.; 21, 5-7; 10-11; 20-24.</t>
  </si>
  <si>
    <t>Середа 29-го тижня</t>
  </si>
  <si>
    <t>Лк. 105 зач.; 21, 8-9; 25-27; 33-36.</t>
  </si>
  <si>
    <t>Субота м'ясопусна</t>
  </si>
  <si>
    <t>Лк. 106 зач.; 21, 12-19.</t>
  </si>
  <si>
    <t>Вівторок 29-го тижня. Цей і на Христа Чоловіколюбця, і святим мученикам</t>
  </si>
  <si>
    <t>Лк. 107 зач.; 21, 28-33.</t>
  </si>
  <si>
    <t>Четвер 29-го тижня</t>
  </si>
  <si>
    <t>Лк. 108 зач.; 22, 1-39.</t>
  </si>
  <si>
    <t>В святий і великий четвер на Утрені до зач. 109, не переступаючи</t>
  </si>
  <si>
    <t>Лк. 108 зач.; 21, 37 – 22, 8.</t>
  </si>
  <si>
    <t>П'ятниця 29-го тижня</t>
  </si>
  <si>
    <t>Лк. 109 зач.; 22, 39-42; 45 – 23, 1.</t>
  </si>
  <si>
    <t>Вівторок сирного тижня</t>
  </si>
  <si>
    <t>Лк. 110 зач.; 23, 1-34; 44-56.</t>
  </si>
  <si>
    <t>Четвер сирного тижня</t>
  </si>
  <si>
    <t>Лк. 111 зач.; 23, 32-49.</t>
  </si>
  <si>
    <t>Євангеліє 8-ме страстей. Це ж і на 6-му Часі в велику п'ятниці</t>
  </si>
  <si>
    <t>Лк. 112 зач.; 24, 1-12.</t>
  </si>
  <si>
    <t>Євангеліє 4-те воскресне</t>
  </si>
  <si>
    <t>Лк. 113 зач.; 24, 12-35.</t>
  </si>
  <si>
    <t>Вівторок світлого тижня, це й 5-те воскресне. Цей і 12 апостолам (ТМ)</t>
  </si>
  <si>
    <t>Лк. 114 зач.; 24, 36-53.</t>
  </si>
  <si>
    <t>Євангеліє 6-те воскресне. Це й на Літургії Вознесіння</t>
  </si>
  <si>
    <t>Мр. 1 зач.; 1, 1-8.</t>
  </si>
  <si>
    <t>mr</t>
  </si>
  <si>
    <t>Неділя перед Богоявленням. Це ж і на 3-му Часі в навечір'я Богоявлення</t>
  </si>
  <si>
    <t>Мр. 2 зач.; 1, 9-11.</t>
  </si>
  <si>
    <t>На Богоявлення на Утрені</t>
  </si>
  <si>
    <t>Мр. 2 зач.; 1, 9-15.</t>
  </si>
  <si>
    <t>Понеділок 12-го тижня. Це ж і на 6-му Часі в навечір'я Богоявлення.</t>
  </si>
  <si>
    <t>Мр. 3 зач.; 1, 16-22.</t>
  </si>
  <si>
    <t>Вівторок 12-го тижня</t>
  </si>
  <si>
    <t>Мр. 4 зач.; 1, 23-28.</t>
  </si>
  <si>
    <t>Середа 12-го тидня</t>
  </si>
  <si>
    <t>Мр. 5 зач.; 1, 29-35.</t>
  </si>
  <si>
    <t>Четвер 12-го тижня</t>
  </si>
  <si>
    <t>Мр. 6 зач.; 1, 35-44.</t>
  </si>
  <si>
    <t>Субота 2-га посту</t>
  </si>
  <si>
    <t>Мр. 7 зач.; 2, 1-12.</t>
  </si>
  <si>
    <t>Неділя 2-га посту</t>
  </si>
  <si>
    <t>Мр. 8 зач.; 2, 14-17.</t>
  </si>
  <si>
    <t>Субота 3-тя посту</t>
  </si>
  <si>
    <t>Мр. 9 зач.; 2, 18-22.</t>
  </si>
  <si>
    <t>П'ятниця 12-го тижня</t>
  </si>
  <si>
    <t>Неділя 3-тя посту</t>
  </si>
  <si>
    <t>Мр. 10 зач.; 2, 23 – 3, 5.</t>
  </si>
  <si>
    <t>Субота 1-ша посту</t>
  </si>
  <si>
    <t>Мр. 11 зач.; 3, 6-12.</t>
  </si>
  <si>
    <t>Понеділок 13-го тижня</t>
  </si>
  <si>
    <t>Мр. 12 зач.; 3, 13-19.</t>
  </si>
  <si>
    <t>Вівторок 13-го тижня. Цей і 30 червня, апостолам.</t>
  </si>
  <si>
    <t>Мр. 13 зач.; 3, 20-27.</t>
  </si>
  <si>
    <t>Середа 13-го тидня</t>
  </si>
  <si>
    <t>Мр. 14 зач.; 3, 28-35.</t>
  </si>
  <si>
    <t>Четвер 13-го тижня</t>
  </si>
  <si>
    <t>Мр. 15 зач.; 4, 1-9.</t>
  </si>
  <si>
    <t>П'ятниця 13-го тижня</t>
  </si>
  <si>
    <t>Мр. 16 зач.; 4, 10-23.</t>
  </si>
  <si>
    <t>Понеділок 14-го тижня</t>
  </si>
  <si>
    <t>Мр. 17 зач.; 4, 24-34.</t>
  </si>
  <si>
    <t>Вівторок 14-го тижня</t>
  </si>
  <si>
    <t>Мр. 18 зач.; 4, 35-41.</t>
  </si>
  <si>
    <t>Середа 14-го тидня</t>
  </si>
  <si>
    <t>Мр. 19 зач.; 5, 1-20.</t>
  </si>
  <si>
    <t>Четвер 14-го тижня</t>
  </si>
  <si>
    <t>Мр. 20 зач.; 5, 22-24; 35 – 6, 1.</t>
  </si>
  <si>
    <t>П'ятниця 14-го тижня</t>
  </si>
  <si>
    <t>Мр. 21 зач.; 5, 24-34.</t>
  </si>
  <si>
    <t>Понеділок 15-го тижня</t>
  </si>
  <si>
    <t>Мр. 22 зач.; 6, 1-7.</t>
  </si>
  <si>
    <t>Вівторок 15-го тижня</t>
  </si>
  <si>
    <t>Мр. 23 зач.; 6, 7-13.</t>
  </si>
  <si>
    <t>Середа 15-го тижня. Це й євангелистові Маркові</t>
  </si>
  <si>
    <t>Мр. 24 зач.; 6, 14-30.</t>
  </si>
  <si>
    <t>29 серпня, на Усікновення Предтечі, на Літургії</t>
  </si>
  <si>
    <t>Мр. 25 зач.; 6, 30-45.</t>
  </si>
  <si>
    <t>Четвер 15-го тижня</t>
  </si>
  <si>
    <t>Мр. 26 зач.; 6, 45-53.</t>
  </si>
  <si>
    <t>П'ятниця 15-го тижня</t>
  </si>
  <si>
    <t>Мр. 27 зач.; 6, 54 – 7, 8.</t>
  </si>
  <si>
    <t>Понеділок 16-го тижня</t>
  </si>
  <si>
    <t>Мр. 28 зач.; 7, 5-16.</t>
  </si>
  <si>
    <t>Вівторок 16-го тижня</t>
  </si>
  <si>
    <t>Мр. 29 зач.; 7, 14-24.</t>
  </si>
  <si>
    <t>Середа 16-го тидня</t>
  </si>
  <si>
    <t>Мр. 30 зач.; 7, 24-30.</t>
  </si>
  <si>
    <t>Четвер 16-го тижня</t>
  </si>
  <si>
    <t>Мр. 31 зач.; 7, 31-37.</t>
  </si>
  <si>
    <t>Субота 4-та посту</t>
  </si>
  <si>
    <t>Мр. 32 зач.; 8, 1-10.</t>
  </si>
  <si>
    <t>П'ятниця 16-го тижня</t>
  </si>
  <si>
    <t>Мр. 33 зач.; 8, 11-21.</t>
  </si>
  <si>
    <t>Понеділок 30-го тижня</t>
  </si>
  <si>
    <t>Мр. 34 зач.; 8, 22-26.</t>
  </si>
  <si>
    <t>Вівторок 30-го тижня</t>
  </si>
  <si>
    <t>Мр. 35 зач.; 8, 27-31.</t>
  </si>
  <si>
    <t>Субота 5-та посту</t>
  </si>
  <si>
    <t>Мр. 36 зач.; 8, 30-34.</t>
  </si>
  <si>
    <t>Середа 30-го тидня</t>
  </si>
  <si>
    <t>Мр. 37 зач.; 8, 34 – 9, 1.</t>
  </si>
  <si>
    <t>Неділя 3-тя посту. Це ж і в неділю після Воздвиження</t>
  </si>
  <si>
    <t>Мр. 38 зач.; 9, 2-9</t>
  </si>
  <si>
    <t>Переображення на Утрені</t>
  </si>
  <si>
    <t>Мр. 39 зач.; 9, 10-16.</t>
  </si>
  <si>
    <t>Четвер 30-го тижня</t>
  </si>
  <si>
    <t>Мр. 40 зач.; 9, 17-31.</t>
  </si>
  <si>
    <t>Неділя 4-та посту</t>
  </si>
  <si>
    <t>Мр. 41 зач.; 9, 33-41.</t>
  </si>
  <si>
    <t>П'ятниця 30-го тижня. Це й Ігнатію Богоносцеві</t>
  </si>
  <si>
    <t>Мр. 42 зач.; 9, 42 – 10, 1.</t>
  </si>
  <si>
    <t>Понеділок 31-го тижня</t>
  </si>
  <si>
    <t>Мр. 43 зач.; 10, 2-12.</t>
  </si>
  <si>
    <t>Вівторок 31-го тижня</t>
  </si>
  <si>
    <t>Мр. 44 зач.; 10, 11-16.</t>
  </si>
  <si>
    <t>Середа 31-го тидня</t>
  </si>
  <si>
    <t>Мр. 45 зач.; 10, 17-27.</t>
  </si>
  <si>
    <t>Четвер 31-го тижня</t>
  </si>
  <si>
    <t>Мр. 46 зач.; 10, 23-32.</t>
  </si>
  <si>
    <t>П'ятниця 31-го тижня</t>
  </si>
  <si>
    <t>Мр. 47 зач.; 10, 32-45.</t>
  </si>
  <si>
    <t>Неділя 5-та посту</t>
  </si>
  <si>
    <t>Мр. 48 зач.; 10, 46-52.</t>
  </si>
  <si>
    <t>Понеділок 17-го і 32-го тижня</t>
  </si>
  <si>
    <t>Мр. 49 зач.; 11, 1-11.</t>
  </si>
  <si>
    <t>Понеділок м'ясопусного тижня</t>
  </si>
  <si>
    <t>Мр. 50 зач.; 11, 11-23.</t>
  </si>
  <si>
    <t>Вівторок 17-го і 32-го тижня</t>
  </si>
  <si>
    <t>Мр. 51 зач.; 11, 23-26.</t>
  </si>
  <si>
    <t>Середа 17-го і 32-го тижня</t>
  </si>
  <si>
    <t>Мр. 52 зач.; 11, 27-33.</t>
  </si>
  <si>
    <t>Четвер 17-го і 32-го тижня</t>
  </si>
  <si>
    <t>Мр. 53 зач.; 12, 1-12.</t>
  </si>
  <si>
    <t>П'ятниця 17-го і 32-го тижня</t>
  </si>
  <si>
    <t>Мр. 54 зач.; 12, 13-17.</t>
  </si>
  <si>
    <t>Понеділок 33-го тижня</t>
  </si>
  <si>
    <t>Мр. 55 зач.; 12, 18-27.</t>
  </si>
  <si>
    <t>Вівторок 33-го тижня</t>
  </si>
  <si>
    <t>Мр. 56 зач.; 12, 28-37.</t>
  </si>
  <si>
    <t>Середа 33-го тидня</t>
  </si>
  <si>
    <t>Мр. 57 зач.; 12, 38-44.</t>
  </si>
  <si>
    <t>Четвер 33-го тижня</t>
  </si>
  <si>
    <t>Мр. 58 зач.; 13, 1-8.</t>
  </si>
  <si>
    <t>П'ятниця 33-го тижня</t>
  </si>
  <si>
    <t>Мр. 59 зач.; 13, 9-13.</t>
  </si>
  <si>
    <t>Понеділок 34-го тижня</t>
  </si>
  <si>
    <t>Мр. 60 зач.; 13, 14-23.</t>
  </si>
  <si>
    <t>Вівторок 34-го тижня</t>
  </si>
  <si>
    <t>Мр. 61 зач.; 13, 24-31.</t>
  </si>
  <si>
    <t>Середа 34-го тижня</t>
  </si>
  <si>
    <t>Мр. 62 зач.; 13, 31 – 14, 2.</t>
  </si>
  <si>
    <t>Четвер 34-го тижня</t>
  </si>
  <si>
    <t>Мр. 63 зач.; 14, 3-9.</t>
  </si>
  <si>
    <t>П'ятниця 34-го тижня</t>
  </si>
  <si>
    <t>Мр. 64 зач.; 14, 10-42.</t>
  </si>
  <si>
    <t>Вівторок м'ясопусного тижня</t>
  </si>
  <si>
    <t>Мр. 65 зач.; 14, 43 – 15, 1.</t>
  </si>
  <si>
    <t>Середа м'ясопусного тижня</t>
  </si>
  <si>
    <t>Мр. 66 зач.; 15, 1-15.</t>
  </si>
  <si>
    <t>Четвер м'ясопусного тижня</t>
  </si>
  <si>
    <t>Мр. 67 зач.; 15, 16-32.</t>
  </si>
  <si>
    <t>Євангеліє 6-те святих страстей, не переступаючи. Це ж і ризі Господній на Літургії</t>
  </si>
  <si>
    <t>Мр. 67 зач.; 15, 16-41.</t>
  </si>
  <si>
    <t>На 3-му Часі, не переступаючи</t>
  </si>
  <si>
    <t>Мр. 68 зач.; 15, 22; 25; 33-41.</t>
  </si>
  <si>
    <t>П'ятниця м’ясопусного тижня</t>
  </si>
  <si>
    <t>Мр. 69 зач.; 15, 43 – 16, 8.</t>
  </si>
  <si>
    <t>В неділю 3-тю після Пасхи, мироносицям</t>
  </si>
  <si>
    <t>Мр. 69 зач.; 15, 43-47.</t>
  </si>
  <si>
    <t>Євангеліє 6-те святих страстей</t>
  </si>
  <si>
    <t>Мр. 70 зач.; 16, 1-8.</t>
  </si>
  <si>
    <t>Євангеліє 2-ге воскресне</t>
  </si>
  <si>
    <t>Мр. 71 зач.; 16, 9-20.</t>
  </si>
  <si>
    <t>Євангеліє 3-тє воскресне. Це і на Утрені Вознесіння Христового, на Утрені Неділі 3-ої, мироносиць</t>
  </si>
  <si>
    <t>Мт. 1 зач.; 1, 1-25.</t>
  </si>
  <si>
    <t>mt</t>
  </si>
  <si>
    <t>Мт. 2 зач.; 1, 18-25.</t>
  </si>
  <si>
    <t>Різдво Христове, на Утрені</t>
  </si>
  <si>
    <t>Мт. 3 зач.; 2, 1-12.</t>
  </si>
  <si>
    <t>Різдво Христове, на Літургії</t>
  </si>
  <si>
    <t>Мт. 4 зач.; 2, 13-23.</t>
  </si>
  <si>
    <t>26 грудня, в неділю після Різдва Христового і святим немовлятам</t>
  </si>
  <si>
    <t>Мт. 5 зач.; 3, 1-11.</t>
  </si>
  <si>
    <t>Субота перед Богоявленням</t>
  </si>
  <si>
    <t>Мт. 6 зач.; 3, 13-17.</t>
  </si>
  <si>
    <t>Богоявлення, на Літургії</t>
  </si>
  <si>
    <t>Мт. 7 зач.; 4, 1-11.</t>
  </si>
  <si>
    <t>Субота після Богоявлення</t>
  </si>
  <si>
    <t>Мт. 8 зач.; 4, 12-17.</t>
  </si>
  <si>
    <t>Неділя після Богоявлення</t>
  </si>
  <si>
    <t>Мт. 9 зач.; 4, 18-23.</t>
  </si>
  <si>
    <t>Неділя 2-га, після всіх святих</t>
  </si>
  <si>
    <t>Мт. 10 зач.; 4, 25 – 5, 13.</t>
  </si>
  <si>
    <t>Вівторок 1-го тижня</t>
  </si>
  <si>
    <t>Мт. 10 зач.; 5, 1-16.</t>
  </si>
  <si>
    <r>
      <rPr>
        <rFont val="Calibri"/>
        <color theme="1"/>
        <sz val="11.0"/>
      </rPr>
      <t xml:space="preserve">Неділя 2-га, всім святим українського народу
</t>
    </r>
    <r>
      <rPr>
        <rFont val="Calibri"/>
        <color rgb="FFFF0000"/>
        <sz val="11.0"/>
      </rPr>
      <t>Ап. Юди</t>
    </r>
  </si>
  <si>
    <t>Мт. 10 зач.; 4, 25 – 5, 12.</t>
  </si>
  <si>
    <t>Преподобним загальне</t>
  </si>
  <si>
    <t>Мт. 11 зач.; 5, 14-19.</t>
  </si>
  <si>
    <t>Святителям загальне</t>
  </si>
  <si>
    <t>Мт. 12 зач.; 5, 20-26.</t>
  </si>
  <si>
    <t>Середа 1-го тижня</t>
  </si>
  <si>
    <t>Мт. 13 зач.; 5, 27-32.</t>
  </si>
  <si>
    <t>Четвер 1-го тижня</t>
  </si>
  <si>
    <t>Мт. 14 зач.; 5, 33-41.</t>
  </si>
  <si>
    <t>П'ятниця 1-го тижня</t>
  </si>
  <si>
    <t>Мт. 15 зач.; 5, 42-48.</t>
  </si>
  <si>
    <t>Субота 1-го тижня</t>
  </si>
  <si>
    <t>Мт. 16 зач.; 6, 1-13.</t>
  </si>
  <si>
    <t>Мт. 17 зач.; 6, 14-21.</t>
  </si>
  <si>
    <t>Неділя сиропусна</t>
  </si>
  <si>
    <t>Мт. 18 зач.; 6, 22-33.</t>
  </si>
  <si>
    <t>Неділя 3-тя</t>
  </si>
  <si>
    <t>Мт. 19 зач.; 6, 31-34; 7, 9-11.</t>
  </si>
  <si>
    <t>Мт. 20 зач.; 7, 1-8.</t>
  </si>
  <si>
    <t>Субота 2-га, після всіх святих</t>
  </si>
  <si>
    <t>Мт. 20 зач.; 7, 7-11.</t>
  </si>
  <si>
    <t>На всяке прохання</t>
  </si>
  <si>
    <t>Мт. 21 зач.; 7, 12-21.</t>
  </si>
  <si>
    <t>Преподобним отцям</t>
  </si>
  <si>
    <t>Мт. 22 зач.; 7, 15-21.</t>
  </si>
  <si>
    <t>Мт. 23 зач.; 7, 21-23.</t>
  </si>
  <si>
    <t>Середа 2-го тижня</t>
  </si>
  <si>
    <t>Мт. 24 зач.; 7, 24 – 8, 4.</t>
  </si>
  <si>
    <t>Субота 3-го тижня</t>
  </si>
  <si>
    <t>Мт. 25 зач.; 8, 5-13.</t>
  </si>
  <si>
    <t>Неділя 4-та</t>
  </si>
  <si>
    <t>Мт. 26 зач.; 8, 14-23.</t>
  </si>
  <si>
    <t>Мт. 27 зач.; 8, 23-27.</t>
  </si>
  <si>
    <t>Четвер 2-го тижня</t>
  </si>
  <si>
    <t>Мт. 28 зач.; 8, 28 – 9, 1.</t>
  </si>
  <si>
    <t>Неділя 5-та</t>
  </si>
  <si>
    <t>Мт. 29 зач.; 9, 1-8.</t>
  </si>
  <si>
    <t>Неділя 6-та</t>
  </si>
  <si>
    <t>Мт. 30 зач.; 9, 9-13.</t>
  </si>
  <si>
    <t>Субота 5-го тижня, св. Ап Матея</t>
  </si>
  <si>
    <t>Мт. 31 зач.; 9, 14-17.</t>
  </si>
  <si>
    <t>Мт. 32 зач.; 9, 18-26.</t>
  </si>
  <si>
    <t>Мт. 33 зач.; 9, 27-35.</t>
  </si>
  <si>
    <t>Неділя 7-ма</t>
  </si>
  <si>
    <t>Мт. 34 зач.; 9, 36 – 10, 8.</t>
  </si>
  <si>
    <t>Мт. 34 зач.; 10, 1; 5-8.</t>
  </si>
  <si>
    <t>1 листопада і 1 липня, святим лікарям</t>
  </si>
  <si>
    <t>Мт. 35 зач.; 10, 9-15.</t>
  </si>
  <si>
    <t>Мт. 36 зач.; 10, 16-22.</t>
  </si>
  <si>
    <t>Середа 3-го тижня і мученикам</t>
  </si>
  <si>
    <t>Мт. 37 зач.; 10, 23-31.</t>
  </si>
  <si>
    <t>Мт. 38 зач.; 10, 32-33; 37-38; 19, 27-30.</t>
  </si>
  <si>
    <t>Неділя 1-ша, всім святим</t>
  </si>
  <si>
    <t>Мт. 38 зач.; 10, 32-36; 11, 1.</t>
  </si>
  <si>
    <t>Мт. 39 зач.; 10, 37 – 11, 1.</t>
  </si>
  <si>
    <t>Субота 7-ма, і перед Воздвиженням</t>
  </si>
  <si>
    <t>Мт. 40 зач.; 11, 2-15.</t>
  </si>
  <si>
    <t>Понеділок 4-го тижня. Це й на Літургії на Знайдення голови Предтечі</t>
  </si>
  <si>
    <t>Мт. 41 зач.; 11, 16-20.</t>
  </si>
  <si>
    <t>Мт. 42 зач.; 11, 20-26.</t>
  </si>
  <si>
    <t>Мт. 43 зач.; 11, 27-30.</t>
  </si>
  <si>
    <t>Четвер 4-го тижня. Це й преподобним</t>
  </si>
  <si>
    <t>Мт. 44 зач.; 12, 1-8.</t>
  </si>
  <si>
    <t>П'ятниця 4-го тижня</t>
  </si>
  <si>
    <t>Мт. 45 зач.; 12, 9-13.</t>
  </si>
  <si>
    <t>Мт. 46 зач.; 12, 14-16; 22-30.</t>
  </si>
  <si>
    <t>Мт. 46 зач.; 12, 15-21.</t>
  </si>
  <si>
    <t>Мт. 47 зач.; 12, 30-37.</t>
  </si>
  <si>
    <t>Субота 8-го тижня</t>
  </si>
  <si>
    <t>Мт. 48 зач.; 12, 38-45.</t>
  </si>
  <si>
    <t>Мт. 49 зач.; 12, 46 – 13, 3.</t>
  </si>
  <si>
    <t>Мт. 50 зач.; 13, 4-9.</t>
  </si>
  <si>
    <t>Мт. 51 зач.; 13, 10-23.</t>
  </si>
  <si>
    <t>Мт. 52 зач.; 13, 24-30; 36-43.</t>
  </si>
  <si>
    <t>Ангелам</t>
  </si>
  <si>
    <t>Мт. 52 зач.; 13, 24-30.</t>
  </si>
  <si>
    <t>Мт. 53 зач.; 13, 31-36.</t>
  </si>
  <si>
    <t>Мт. 54 зач.; 13, 36-43.</t>
  </si>
  <si>
    <t>Четвер 6-го тижня</t>
  </si>
  <si>
    <t>Мт. 55 зач.; 13, 44-54.</t>
  </si>
  <si>
    <t>П'ятниця 6-го тижня. Це й 3 жовтня, св. Діонисію</t>
  </si>
  <si>
    <t>Мт. 56 зач.; 13, 54-58.</t>
  </si>
  <si>
    <t>Понеділок 7-го тижня. Цей же ж і апостолу Симону, св. Анні на утрені</t>
  </si>
  <si>
    <t>Йо. 49, теж пн 7-го т</t>
  </si>
  <si>
    <t>Мт. 57 зач.; 14, 1-13.</t>
  </si>
  <si>
    <t>Вівторок 7-го тижня. Це й на Усікновення голови Івана Христителя, на Утрені</t>
  </si>
  <si>
    <t>Йо. 53</t>
  </si>
  <si>
    <t>Мт. 58 зач.; 14, 14-22.</t>
  </si>
  <si>
    <t>Неділя 8-ма</t>
  </si>
  <si>
    <t>Мт. 59 зач.; 14, 22-34.</t>
  </si>
  <si>
    <t>Неділя 9-та</t>
  </si>
  <si>
    <t>Мт. 60 зач.; 14, 35 – 15, 11.</t>
  </si>
  <si>
    <t>Мт. 61 зач.; 15, 12-21.</t>
  </si>
  <si>
    <t>Мт. 62 зач.; 15, 21-28.</t>
  </si>
  <si>
    <t>Неділя 17-та</t>
  </si>
  <si>
    <t>Мт. 63 зач.; 15, 29-31.</t>
  </si>
  <si>
    <t>Мт. 64 зач.; 15, 32-39.</t>
  </si>
  <si>
    <t>Субота 9-го тижня</t>
  </si>
  <si>
    <t>Мт. 65 зач.; 16, 1-6.</t>
  </si>
  <si>
    <t>Понеділок 8-го тижня</t>
  </si>
  <si>
    <t>Мт. 66 зач.; 16, 6-12.</t>
  </si>
  <si>
    <t>Вівторок 8-го тижня</t>
  </si>
  <si>
    <t>Мт. 67 зач.; 16, 13-19.</t>
  </si>
  <si>
    <t>29 червня, на Літургії. Цей і 13 вересня на оновлення храму</t>
  </si>
  <si>
    <t>Мт. 67 зач.; 16, 13-18.</t>
  </si>
  <si>
    <t>Посвячення церкви</t>
  </si>
  <si>
    <t>Мт. 68 зач.; 16, 20-24.</t>
  </si>
  <si>
    <t>Середа 8-го тижня</t>
  </si>
  <si>
    <t>Мт. 69 зач.; 16, 24-28.</t>
  </si>
  <si>
    <t>Четвер 8-го тижня</t>
  </si>
  <si>
    <t>Мт. 70 зач.; 17, 1-9.</t>
  </si>
  <si>
    <t>Переображення, 6 серпня, на Літургії</t>
  </si>
  <si>
    <t>Мт. 71 зач.; 17, 10-18.</t>
  </si>
  <si>
    <t>П'ятниця 8-го тижня</t>
  </si>
  <si>
    <t>Мт. 72 зач.; 17, 14-23.</t>
  </si>
  <si>
    <t>Неділя 10-та</t>
  </si>
  <si>
    <t>Мт. 73 зач.; 17, 24 – 18, 4.</t>
  </si>
  <si>
    <t>Субота 10-го тижня</t>
  </si>
  <si>
    <t>Мт. 74 зач.; 18, 1-11.</t>
  </si>
  <si>
    <t>Понеділок 9-го тижня</t>
  </si>
  <si>
    <t>Мт. 75 зач.; 18, 10-20.</t>
  </si>
  <si>
    <t>Понеділок Святого Духа</t>
  </si>
  <si>
    <t>Мт. 76 зач.; 18, 18-22; 19, 1-2; 13-15.</t>
  </si>
  <si>
    <t>Вівторок 9-го тижня</t>
  </si>
  <si>
    <t>Мт. 77 зач.; 18, 23-35.</t>
  </si>
  <si>
    <t>Неділя 11-та</t>
  </si>
  <si>
    <t>Мт. 78 зач.; 19, 3-12.</t>
  </si>
  <si>
    <t>Субота 11-го тижня</t>
  </si>
  <si>
    <t>Мт. 79 зач.; 19, 16-26.</t>
  </si>
  <si>
    <t>Неділя 12-та</t>
  </si>
  <si>
    <t>Мт. 80 зач.; 20, 1-16.</t>
  </si>
  <si>
    <t>Середа 9-го тижня. Це й 9 березня, святим 40 мученикам, що в Севастії</t>
  </si>
  <si>
    <t>Мт. 81 зач.; 20, 17-28.</t>
  </si>
  <si>
    <t>Четвер 9-го тижня</t>
  </si>
  <si>
    <t>Мт. 82 зач.; 20, 29-34.</t>
  </si>
  <si>
    <t>Субота 12-го тижня</t>
  </si>
  <si>
    <t>Мт. 83 зач.; 21, 1-11; 15-17.</t>
  </si>
  <si>
    <t>В квітну неділю на Утрені</t>
  </si>
  <si>
    <t>Мт. 83 зач.; 21, 12-14; 17-20.</t>
  </si>
  <si>
    <t>П'ятниця 9-го тижня</t>
  </si>
  <si>
    <t>Мт. 84 зач.; 21, 18-22.</t>
  </si>
  <si>
    <t>Понеділок 10-го тижня</t>
  </si>
  <si>
    <t>Мт. 84 зач.; 21, 18-43.</t>
  </si>
  <si>
    <t>В святий і великий понеділок на Утрені</t>
  </si>
  <si>
    <t>Мт. 85 зач.; 21, 23-27.</t>
  </si>
  <si>
    <t>Вівторок 10-го тижня</t>
  </si>
  <si>
    <t>Мт. 86 зач.; 21, 28-32.</t>
  </si>
  <si>
    <t>Середа 10-го тижня</t>
  </si>
  <si>
    <t>Мт. 87 зач.; 21, 33-42.</t>
  </si>
  <si>
    <t>Неділя 13-та. Це ж і первомученику Стефанові</t>
  </si>
  <si>
    <t>Мт. 88 зач.; 21, 43-46.</t>
  </si>
  <si>
    <t>Четвер 10-го тижня</t>
  </si>
  <si>
    <t>Мт. 89 зач.; 22, 1-14.</t>
  </si>
  <si>
    <t>Неділя 14-та</t>
  </si>
  <si>
    <t>Мт. 90 зач.; 22, 15 – 23, 39.</t>
  </si>
  <si>
    <t>Великий вівторок на Утрені</t>
  </si>
  <si>
    <t>Мт. 90 зач.; 22, 15-22.</t>
  </si>
  <si>
    <t>Субота 13-го тижня</t>
  </si>
  <si>
    <t>Мт. 91 зач.; 22, 23-33.</t>
  </si>
  <si>
    <t>П'ятниця 10-го тижня</t>
  </si>
  <si>
    <t>Мт. 92 зач.; 22, 35-46.</t>
  </si>
  <si>
    <t>Неділя 15-та</t>
  </si>
  <si>
    <t>Мт. 93 зач.; 23, 1-12.</t>
  </si>
  <si>
    <t>Субота 14-го тижня</t>
  </si>
  <si>
    <t>Мт. 94 зач.; 23, 13-22.</t>
  </si>
  <si>
    <t>Понеділок 11-го тижня</t>
  </si>
  <si>
    <t>Мт. 95 зач.; 23, 23-28.</t>
  </si>
  <si>
    <t>Вівторок 11-го тижня</t>
  </si>
  <si>
    <t>Мт. 96 зач.; 23, 29-39.</t>
  </si>
  <si>
    <t>Середа 11-го тижня</t>
  </si>
  <si>
    <t>Мт. 97 зач.; 24, 1-13.</t>
  </si>
  <si>
    <t>Субота 15-го тижня</t>
  </si>
  <si>
    <t>Мт. 98 зач.; 24, 3-35.</t>
  </si>
  <si>
    <t>У святий і великий понеділок на Літургії</t>
  </si>
  <si>
    <t>Мт. 99 зач.; 24, 13-28.</t>
  </si>
  <si>
    <t>Четвер 11 тижня</t>
  </si>
  <si>
    <t>Мт. 100 зач.; 24, 27-33; 42-51.</t>
  </si>
  <si>
    <t>П'ятниця 11 тижня</t>
  </si>
  <si>
    <t>Мт. 101 зач.; 24, 34-44.</t>
  </si>
  <si>
    <t>Субота 16-го тижня</t>
  </si>
  <si>
    <t>Мт. 102 зач.; 24, 36 – 26, 2.</t>
  </si>
  <si>
    <t>У святий і великий вівторок на Літургії</t>
  </si>
  <si>
    <t>Мт. 103 зач.; 24, 42-47.</t>
  </si>
  <si>
    <t>30 вересня, св. Григорія Вірменського</t>
  </si>
  <si>
    <t>Мт. 104 зач.; 25, 1-13.</t>
  </si>
  <si>
    <t>Субота 17-го тижня. Це і святій первомучениці Теклі й іншим мученицям</t>
  </si>
  <si>
    <t>Мт. 105 зач.; 25, 14-30.</t>
  </si>
  <si>
    <t>Неділя 16-та</t>
  </si>
  <si>
    <t>Мт. 106 зач.; 25, 31-46.</t>
  </si>
  <si>
    <t>Неділя м'ясопусна</t>
  </si>
  <si>
    <t>Мт. 107 зач.; 26, 1-20; Йо. 13, 3-17; Мт. 26, 21-39; Лк. 22, 43-45; Мт. 26, 40 – 27, 2.</t>
  </si>
  <si>
    <t>У святий і великий четвер на Літургії</t>
  </si>
  <si>
    <t>Йо.</t>
  </si>
  <si>
    <t>Мт. 107 зач.; 26, 1-20; Ів. 13, 3-17; Мт. 26, 21-39; Лк. 22, 43-45; Мт. 26, 40 – 27, 2.</t>
  </si>
  <si>
    <t>Мт. 108 зач.; 26, 6-16.</t>
  </si>
  <si>
    <t>У велику середу на Літургії</t>
  </si>
  <si>
    <t>Мт. 108 зач.; 26, 6-13.</t>
  </si>
  <si>
    <t>20 листопада, прп. Йосафаті</t>
  </si>
  <si>
    <t>Мт. 109 зач.; 26, 57-75.</t>
  </si>
  <si>
    <t>Євангеліє 3-тє святих страстей</t>
  </si>
  <si>
    <t>Мт. 110 зач.; 27, 1-38; Лк. 23, 39-43; Мт. 27, 39-54; Йо. 19, 31-37; Мт. 27, 55-61.</t>
  </si>
  <si>
    <t>У велику п'ятницю ввечері</t>
  </si>
  <si>
    <t>Мт. 110 зач.; 27, 1-38; Лк. 23, 39-43; Мт. 27, 39-54; Ів. 19, 31-37; Мт. 27, 55-61.</t>
  </si>
  <si>
    <t>Мт. 110 зач.; 27, 1-56.</t>
  </si>
  <si>
    <t>У велику п'ятницю на 1-му Часі</t>
  </si>
  <si>
    <t>Мт. 111 зач.; 27, 3-32.</t>
  </si>
  <si>
    <t>Євангеліє 5-тє святих страстей</t>
  </si>
  <si>
    <t>Мт. 112 зач.; 27, 27-32.</t>
  </si>
  <si>
    <t>На поклоніння чесному Древу. Це ж і ризі Господній на Утрені</t>
  </si>
  <si>
    <t>Мт. 113 зач.; 27, 33-54.</t>
  </si>
  <si>
    <t>Євангеліє 7-ме святих страстей</t>
  </si>
  <si>
    <t>Мт. 114 зач.; 27, 62-66.</t>
  </si>
  <si>
    <t>Євангеліє 12-те святих страстей. Це ж і у велику суботу на Утрені</t>
  </si>
  <si>
    <t>Мт. 115 зач.; 28, 1-20.</t>
  </si>
  <si>
    <t>У велику суботу на Літургії</t>
  </si>
  <si>
    <t>Мт. 116 зач.; 28, 16-20.</t>
  </si>
  <si>
    <t>Євангеліє 1-ше воскресне. В неділю антипасхи на утрені</t>
  </si>
  <si>
    <t>21-го травня, цареві Константинові</t>
  </si>
  <si>
    <t>На Благовіщення й на Собор Богородиці. Цей же і в Велику п'ятницю на 6-му Часі</t>
  </si>
  <si>
    <t>Пам'яті соборів. Цей же і священномученикові</t>
  </si>
  <si>
    <t>Святителям</t>
  </si>
  <si>
    <t>Євангеліє 4-те святих страстей. Це і на 9-му Часі у Велику П'ятницю, не переступаючи</t>
  </si>
  <si>
    <t>2 дні святого?</t>
  </si>
  <si>
    <t>Євангеліє воскресне 7-ме</t>
  </si>
  <si>
    <t>Євангеліє воскресне 11-те, і в суботу 7-му на Літургії, на празник Богослова на Утрені, і 17 січня.</t>
  </si>
  <si>
    <t>П'ятниця 19-го тижня. Це ж і преподобним</t>
  </si>
  <si>
    <t>Вівторок світлого тижня, це й 5-те воскресне</t>
  </si>
  <si>
    <t>Євангеліє 3-тє воскресне. Це і на Утрені Вознесіння Христового.</t>
  </si>
  <si>
    <t>29 червня, на Літургії</t>
  </si>
  <si>
    <t>Євангеліє 1-ше воскресне</t>
  </si>
  <si>
    <t>matins</t>
  </si>
  <si>
    <t>Неділя 5-та, про сліпородженого</t>
  </si>
  <si>
    <t>перевірити файл з уставом</t>
  </si>
  <si>
    <t>Неділя 2-га, всім святим українського народу</t>
  </si>
  <si>
    <t>Субота 3-го тижня, рядове</t>
  </si>
  <si>
    <t>Субота 3-го тижня, Сострадання</t>
  </si>
  <si>
    <t>Вівторок 13-го тижня</t>
  </si>
  <si>
    <t>Середа 15-го тидня</t>
  </si>
  <si>
    <t>Неділя 18-та</t>
  </si>
  <si>
    <t>Неділя 22-га</t>
  </si>
  <si>
    <t>Субота 24-го тижня</t>
  </si>
  <si>
    <t>Субота 28-го тижня</t>
  </si>
  <si>
    <t>Вівторок 29-го тижня</t>
  </si>
  <si>
    <t>#</t>
  </si>
  <si>
    <t>Джерела - Ап.</t>
  </si>
  <si>
    <t>Ді</t>
  </si>
  <si>
    <t>Як</t>
  </si>
  <si>
    <t>1 Пт</t>
  </si>
  <si>
    <t>2 Пт</t>
  </si>
  <si>
    <t>1 Йо</t>
  </si>
  <si>
    <t>2 Йо</t>
  </si>
  <si>
    <t>3 Йо</t>
  </si>
  <si>
    <t>Юд</t>
  </si>
  <si>
    <t>Рим</t>
  </si>
  <si>
    <t>1 Кор</t>
  </si>
  <si>
    <t>2 Кор</t>
  </si>
  <si>
    <t>Гал</t>
  </si>
  <si>
    <t>Еф</t>
  </si>
  <si>
    <t>Флп</t>
  </si>
  <si>
    <t>Кол</t>
  </si>
  <si>
    <t>1 Сол</t>
  </si>
  <si>
    <t>2 Сол</t>
  </si>
  <si>
    <t>1 Тим</t>
  </si>
  <si>
    <t>2 Тим</t>
  </si>
  <si>
    <t>Тит</t>
  </si>
  <si>
    <t>Флм</t>
  </si>
  <si>
    <t>Євр</t>
  </si>
  <si>
    <t>Джерела - Єв.</t>
  </si>
  <si>
    <t>Мт</t>
  </si>
  <si>
    <t>Лк</t>
  </si>
  <si>
    <t>Мр</t>
  </si>
  <si>
    <t>Йо</t>
  </si>
  <si>
    <t>Понеділок</t>
  </si>
  <si>
    <t>Вівторок</t>
  </si>
  <si>
    <t>Середа</t>
  </si>
  <si>
    <t>Четвер</t>
  </si>
  <si>
    <t>П'ятниця</t>
  </si>
  <si>
    <t>Субота</t>
  </si>
  <si>
    <t>Неділя</t>
  </si>
  <si>
    <t>50-ці</t>
  </si>
  <si>
    <t>Пасхи</t>
  </si>
  <si>
    <t>посту</t>
  </si>
  <si>
    <t>буква</t>
  </si>
  <si>
    <t>перевірка</t>
  </si>
  <si>
    <t>File created</t>
  </si>
  <si>
    <t>draft done</t>
  </si>
  <si>
    <t>beginnig end</t>
  </si>
  <si>
    <t>no-letter-file?</t>
  </si>
  <si>
    <t>y</t>
  </si>
  <si>
    <t>y 2</t>
  </si>
  <si>
    <t>y 3</t>
  </si>
  <si>
    <t>n</t>
  </si>
  <si>
    <t>Перша паремія в пам'ять святих апостолів Петра й Павла</t>
  </si>
  <si>
    <t>Друга паремія на вечірні Богословові</t>
  </si>
  <si>
    <t>n/a</t>
  </si>
  <si>
    <t>Йо. 23 зач.; 6, 55-58.</t>
  </si>
  <si>
    <t>В світлу неділю ввечорі.</t>
  </si>
  <si>
    <t>Цей же і в святий і великий понеділок на Утрені, до зач 88 не переступаючи</t>
  </si>
  <si>
    <t>Apostol</t>
  </si>
  <si>
    <t xml:space="preserve"> Читання</t>
  </si>
  <si>
    <t>Має бути</t>
  </si>
  <si>
    <t>Адресат</t>
  </si>
  <si>
    <t>Коментарі</t>
  </si>
  <si>
    <t>Ді. 1 зач.; 1-8.</t>
  </si>
  <si>
    <t>Максим</t>
  </si>
  <si>
    <t>Пасха.
Копіюється з року в рік в Юл та Гр</t>
  </si>
  <si>
    <t>1 Тим. 280 зач.; 5, 15-17.</t>
  </si>
  <si>
    <t>Мт. 34 зач.; 10, 1; 5-51</t>
  </si>
  <si>
    <t>31.01 Косьми і Дем'яна.
Читання 10, 1; 5-8. не існує.</t>
  </si>
  <si>
    <t>1 Кор. 123 зач. 1, 3-9.</t>
  </si>
  <si>
    <t>ще не виправлено</t>
  </si>
  <si>
    <t>1 Кор. 133 зач.; 5, 6-8. Гал. 206 зач.; 3, 13-14.</t>
  </si>
  <si>
    <t>Треба замінити на Ап. – 1 Кор. 133 зач.; 5, 6-8.&lt;br&gt;Ап. – Гал. 206 зач.; 3, 13-14.</t>
  </si>
  <si>
    <t>1 Кор. 143 зач. (від полов.); 10, 1-4.</t>
  </si>
  <si>
    <t>В навечір'я Просвіщення</t>
  </si>
  <si>
    <t>ЩЕ НЕ ВИПРАВЛЕНО</t>
  </si>
  <si>
    <t>1 Кор. 143 зач.; 9, 19-27;</t>
  </si>
  <si>
    <t>1 Кор. 143 зач.; 10, 1-27.</t>
  </si>
  <si>
    <t>такого уривку нема в Апостолі
Переплутані розділ, стихи</t>
  </si>
  <si>
    <t>Кол. 250 зач.; 1, 12-17.</t>
  </si>
  <si>
    <t>виправити</t>
  </si>
  <si>
    <t>Нема такого уривку? Див священномученику загально</t>
  </si>
  <si>
    <t>Євр. 315 зач.; 7, 1-6.</t>
  </si>
  <si>
    <t>помилка</t>
  </si>
  <si>
    <t>Evanhelie</t>
  </si>
  <si>
    <t>Андрій М.</t>
  </si>
  <si>
    <t>Читання зустрічається в році.
потрібно створити #mt010c</t>
  </si>
  <si>
    <r>
      <rPr>
        <rFont val="Calibri"/>
        <color theme="1"/>
        <sz val="11.0"/>
      </rPr>
      <t>Йо. 60</t>
    </r>
    <r>
      <rPr>
        <rFont val="Calibri"/>
        <color rgb="FFFF0000"/>
        <sz val="11.0"/>
      </rPr>
      <t xml:space="preserve"> зач.; 9, 6-11;</t>
    </r>
    <r>
      <rPr>
        <rFont val="Calibri"/>
        <color theme="1"/>
        <sz val="11.0"/>
      </rPr>
      <t xml:space="preserve"> 13-20; 25-28; 30-35.</t>
    </r>
  </si>
  <si>
    <t>неправильний розділ!!!</t>
  </si>
  <si>
    <t>Мт. 11 зач.; 15, 4-19.</t>
  </si>
  <si>
    <t>Мт. 11 зач.; 5, 4-19.</t>
  </si>
  <si>
    <t>Нема такого зачало. Може не Мт.?</t>
  </si>
  <si>
    <t>Мт. 43 зач.; 11, 25-30.</t>
  </si>
  <si>
    <t>перевірити. мабуть криві стихи</t>
  </si>
  <si>
    <t>Лк. 54 зач.; 10, 32-42; 11, 27-28.</t>
  </si>
  <si>
    <t>читання Богородичне, з кривим стихом</t>
  </si>
  <si>
    <r>
      <rPr>
        <rFont val="Calibri"/>
        <color theme="1"/>
        <sz val="11.0"/>
      </rPr>
      <t xml:space="preserve">Йо. 59 зач.; 18, </t>
    </r>
    <r>
      <rPr>
        <rFont val="Calibri"/>
        <color rgb="FFFF0000"/>
        <sz val="11.0"/>
      </rPr>
      <t>29</t>
    </r>
    <r>
      <rPr>
        <rFont val="Calibri"/>
        <color theme="1"/>
        <sz val="11.0"/>
      </rPr>
      <t xml:space="preserve"> - 19, 16.</t>
    </r>
  </si>
  <si>
    <t>неправильний стих</t>
  </si>
  <si>
    <t>Євангеліє 4-те святих страстей. Це і на 9-му Часі у велику п'ятницю, не переступаючи</t>
  </si>
  <si>
    <t>Йо. 86 зач.; 17, 1-13.</t>
  </si>
  <si>
    <t>має бути 56 зачало</t>
  </si>
  <si>
    <t>Неправильне зачало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</si>
</sst>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i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Docs-Calibri"/>
    </font>
    <font>
      <sz val="11.0"/>
      <color rgb="FFFF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7030A0"/>
        <bgColor rgb="FF7030A0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0" fontId="2" numFmtId="0" xfId="0" applyBorder="1" applyFont="1"/>
    <xf borderId="1" fillId="0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0" fontId="5" numFmtId="0" xfId="0" applyBorder="1" applyFont="1"/>
    <xf borderId="1" fillId="3" fontId="5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4" fontId="5" numFmtId="0" xfId="0" applyBorder="1" applyFont="1"/>
    <xf borderId="1" fillId="5" fontId="5" numFmtId="0" xfId="0" applyAlignment="1" applyBorder="1" applyFont="1">
      <alignment readingOrder="0"/>
    </xf>
    <xf borderId="1" fillId="5" fontId="5" numFmtId="0" xfId="0" applyBorder="1" applyFont="1"/>
    <xf borderId="0" fillId="0" fontId="5" numFmtId="0" xfId="0" applyFont="1"/>
    <xf borderId="1" fillId="0" fontId="2" numFmtId="0" xfId="0" applyAlignment="1" applyBorder="1" applyFont="1">
      <alignment readingOrder="0" shrinkToFit="0" wrapText="1"/>
    </xf>
    <xf borderId="1" fillId="3" fontId="5" numFmtId="0" xfId="0" applyBorder="1" applyFont="1"/>
    <xf borderId="1" fillId="4" fontId="5" numFmtId="0" xfId="0" applyAlignment="1" applyBorder="1" applyFont="1">
      <alignment horizontal="right" readingOrder="0"/>
    </xf>
    <xf borderId="1" fillId="6" fontId="2" numFmtId="0" xfId="0" applyBorder="1" applyFill="1" applyFont="1"/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wrapText="1"/>
    </xf>
    <xf borderId="1" fillId="6" fontId="2" numFmtId="4" xfId="0" applyBorder="1" applyFont="1" applyNumberFormat="1"/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readingOrder="0" shrinkToFit="0" vertical="bottom" wrapText="1"/>
    </xf>
    <xf borderId="1" fillId="6" fontId="5" numFmtId="0" xfId="0" applyAlignment="1" applyBorder="1" applyFont="1">
      <alignment readingOrder="0" shrinkToFit="0" wrapText="1"/>
    </xf>
    <xf borderId="1" fillId="7" fontId="2" numFmtId="0" xfId="0" applyBorder="1" applyFill="1" applyFont="1"/>
    <xf borderId="1" fillId="7" fontId="2" numFmtId="4" xfId="0" applyBorder="1" applyFont="1" applyNumberFormat="1"/>
    <xf borderId="1" fillId="8" fontId="5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9" fontId="6" numFmtId="0" xfId="0" applyAlignment="1" applyBorder="1" applyFill="1" applyFont="1">
      <alignment readingOrder="0" shrinkToFit="0" vertical="bottom" wrapText="1"/>
    </xf>
    <xf borderId="1" fillId="3" fontId="2" numFmtId="0" xfId="0" applyBorder="1" applyFont="1"/>
    <xf borderId="1" fillId="3" fontId="2" numFmtId="4" xfId="0" applyBorder="1" applyFont="1" applyNumberFormat="1"/>
    <xf borderId="1" fillId="0" fontId="2" numFmtId="4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3" fontId="5" numFmtId="0" xfId="0" applyFont="1"/>
    <xf borderId="0" fillId="4" fontId="5" numFmtId="0" xfId="0" applyFont="1"/>
    <xf borderId="0" fillId="5" fontId="5" numFmtId="0" xfId="0" applyFont="1"/>
    <xf borderId="1" fillId="4" fontId="5" numFmtId="3" xfId="0" applyAlignment="1" applyBorder="1" applyFont="1" applyNumberFormat="1">
      <alignment horizontal="right" readingOrder="0"/>
    </xf>
    <xf borderId="1" fillId="4" fontId="5" numFmtId="3" xfId="0" applyBorder="1" applyFont="1" applyNumberFormat="1"/>
    <xf borderId="1" fillId="4" fontId="5" numFmtId="3" xfId="0" applyAlignment="1" applyBorder="1" applyFont="1" applyNumberFormat="1">
      <alignment readingOrder="0"/>
    </xf>
    <xf borderId="1" fillId="10" fontId="2" numFmtId="0" xfId="0" applyBorder="1" applyFill="1" applyFont="1"/>
    <xf borderId="1" fillId="10" fontId="2" numFmtId="4" xfId="0" applyBorder="1" applyFont="1" applyNumberFormat="1"/>
    <xf borderId="1" fillId="10" fontId="2" numFmtId="0" xfId="0" applyAlignment="1" applyBorder="1" applyFont="1">
      <alignment readingOrder="0" shrinkToFit="0" wrapText="1"/>
    </xf>
    <xf borderId="1" fillId="10" fontId="5" numFmtId="0" xfId="0" applyBorder="1" applyFont="1"/>
    <xf borderId="1" fillId="10" fontId="2" numFmtId="0" xfId="0" applyAlignment="1" applyBorder="1" applyFont="1">
      <alignment readingOrder="0"/>
    </xf>
    <xf borderId="1" fillId="10" fontId="2" numFmtId="0" xfId="0" applyAlignment="1" applyBorder="1" applyFont="1">
      <alignment shrinkToFit="0" wrapText="1"/>
    </xf>
    <xf borderId="1" fillId="4" fontId="2" numFmtId="3" xfId="0" applyAlignment="1" applyBorder="1" applyFont="1" applyNumberFormat="1">
      <alignment vertical="bottom"/>
    </xf>
    <xf borderId="1" fillId="4" fontId="2" numFmtId="3" xfId="0" applyAlignment="1" applyBorder="1" applyFont="1" applyNumberFormat="1">
      <alignment readingOrder="0" vertical="bottom"/>
    </xf>
    <xf borderId="1" fillId="11" fontId="2" numFmtId="0" xfId="0" applyAlignment="1" applyBorder="1" applyFill="1" applyFont="1">
      <alignment shrinkToFit="0" wrapText="1"/>
    </xf>
    <xf borderId="1" fillId="11" fontId="2" numFmtId="0" xfId="0" applyBorder="1" applyFont="1"/>
    <xf borderId="1" fillId="11" fontId="2" numFmtId="4" xfId="0" applyAlignment="1" applyBorder="1" applyFont="1" applyNumberFormat="1">
      <alignment readingOrder="0"/>
    </xf>
    <xf borderId="1" fillId="11" fontId="2" numFmtId="4" xfId="0" applyBorder="1" applyFont="1" applyNumberFormat="1"/>
    <xf borderId="1" fillId="11" fontId="2" numFmtId="0" xfId="0" applyAlignment="1" applyBorder="1" applyFont="1">
      <alignment readingOrder="0"/>
    </xf>
    <xf borderId="1" fillId="11" fontId="1" numFmtId="0" xfId="0" applyAlignment="1" applyBorder="1" applyFont="1">
      <alignment shrinkToFit="0" wrapText="1"/>
    </xf>
    <xf borderId="1" fillId="11" fontId="1" numFmtId="0" xfId="0" applyBorder="1" applyFont="1"/>
    <xf borderId="1" fillId="4" fontId="3" numFmtId="3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4" fontId="5" numFmtId="3" xfId="0" applyAlignment="1" applyBorder="1" applyFont="1" applyNumberFormat="1">
      <alignment horizontal="right"/>
    </xf>
    <xf borderId="1" fillId="3" fontId="2" numFmtId="0" xfId="0" applyAlignment="1" applyBorder="1" applyFont="1">
      <alignment readingOrder="0" shrinkToFit="0" wrapText="1"/>
    </xf>
    <xf borderId="1" fillId="3" fontId="2" numFmtId="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12" fontId="5" numFmtId="0" xfId="0" applyAlignment="1" applyBorder="1" applyFill="1" applyFont="1">
      <alignment readingOrder="0"/>
    </xf>
    <xf borderId="1" fillId="12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1" fillId="13" fontId="2" numFmtId="0" xfId="0" applyAlignment="1" applyBorder="1" applyFill="1" applyFont="1">
      <alignment readingOrder="0" shrinkToFit="0" wrapText="1"/>
    </xf>
    <xf borderId="1" fillId="6" fontId="5" numFmtId="0" xfId="0" applyAlignment="1" applyBorder="1" applyFont="1">
      <alignment readingOrder="0"/>
    </xf>
    <xf borderId="0" fillId="6" fontId="2" numFmtId="0" xfId="0" applyAlignment="1" applyFont="1">
      <alignment vertical="bottom"/>
    </xf>
    <xf borderId="0" fillId="0" fontId="5" numFmtId="4" xfId="0" applyFont="1" applyNumberFormat="1"/>
    <xf borderId="0" fillId="4" fontId="5" numFmtId="3" xfId="0" applyFont="1" applyNumberFormat="1"/>
    <xf borderId="0" fillId="0" fontId="5" numFmtId="0" xfId="0" applyAlignment="1" applyFont="1">
      <alignment shrinkToFit="0" wrapText="1"/>
    </xf>
    <xf borderId="1" fillId="0" fontId="2" numFmtId="0" xfId="0" applyAlignment="1" applyBorder="1" applyFont="1">
      <alignment readingOrder="0" vertical="bottom"/>
    </xf>
    <xf borderId="1" fillId="1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Border="1" applyFont="1"/>
    <xf borderId="0" fillId="11" fontId="1" numFmtId="0" xfId="0" applyFont="1"/>
    <xf borderId="0" fillId="11" fontId="2" numFmtId="0" xfId="0" applyFont="1"/>
    <xf borderId="0" fillId="11" fontId="1" numFmtId="0" xfId="0" applyAlignment="1" applyFont="1">
      <alignment readingOrder="0"/>
    </xf>
    <xf borderId="0" fillId="11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2" fillId="0" fontId="2" numFmtId="0" xfId="0" applyBorder="1" applyFont="1"/>
    <xf borderId="0" fillId="3" fontId="2" numFmtId="0" xfId="0" applyFont="1"/>
    <xf borderId="0" fillId="0" fontId="5" numFmtId="0" xfId="0" applyAlignment="1" applyFont="1">
      <alignment readingOrder="0" shrinkToFit="0" wrapText="1"/>
    </xf>
    <xf borderId="0" fillId="7" fontId="2" numFmtId="0" xfId="0" applyFont="1"/>
    <xf borderId="0" fillId="6" fontId="2" numFmtId="0" xfId="0" applyAlignment="1" applyFont="1">
      <alignment shrinkToFit="0" wrapText="1"/>
    </xf>
    <xf borderId="2" fillId="3" fontId="2" numFmtId="0" xfId="0" applyBorder="1" applyFont="1"/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ont="1">
      <alignment vertical="bottom"/>
    </xf>
    <xf borderId="0" fillId="6" fontId="2" numFmtId="4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5" numFmtId="0" xfId="0" applyAlignment="1" applyFont="1">
      <alignment readingOrder="0"/>
    </xf>
    <xf borderId="0" fillId="3" fontId="2" numFmtId="0" xfId="0" applyAlignment="1" applyFont="1">
      <alignment vertical="bottom"/>
    </xf>
    <xf borderId="0" fillId="0" fontId="2" numFmtId="4" xfId="0" applyFont="1" applyNumberFormat="1"/>
    <xf borderId="2" fillId="6" fontId="2" numFmtId="0" xfId="0" applyAlignment="1" applyBorder="1" applyFont="1">
      <alignment readingOrder="0"/>
    </xf>
    <xf borderId="0" fillId="3" fontId="2" numFmtId="0" xfId="0" applyAlignment="1" applyFont="1">
      <alignment shrinkToFit="0" wrapText="1"/>
    </xf>
    <xf borderId="0" fillId="12" fontId="2" numFmtId="0" xfId="0" applyAlignment="1" applyFont="1">
      <alignment shrinkToFit="0" wrapText="1"/>
    </xf>
    <xf borderId="2" fillId="3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0" fontId="3" numFmtId="0" xfId="0" applyFont="1"/>
    <xf borderId="0" fillId="14" fontId="7" numFmtId="0" xfId="0" applyAlignment="1" applyFill="1" applyFont="1">
      <alignment horizontal="left" readingOrder="0"/>
    </xf>
    <xf borderId="0" fillId="10" fontId="2" numFmtId="0" xfId="0" applyFont="1"/>
    <xf borderId="0" fillId="0" fontId="5" numFmtId="3" xfId="0" applyFont="1" applyNumberFormat="1"/>
    <xf borderId="0" fillId="10" fontId="2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0" fontId="2" numFmtId="4" xfId="0" applyFont="1" applyNumberFormat="1"/>
    <xf borderId="0" fillId="10" fontId="5" numFmtId="0" xfId="0" applyAlignment="1" applyFont="1">
      <alignment readingOrder="0" shrinkToFit="0" wrapText="1"/>
    </xf>
    <xf borderId="0" fillId="10" fontId="5" numFmtId="0" xfId="0" applyAlignment="1" applyFont="1">
      <alignment shrinkToFit="0" wrapText="1"/>
    </xf>
    <xf borderId="2" fillId="10" fontId="2" numFmtId="0" xfId="0" applyAlignment="1" applyBorder="1" applyFont="1">
      <alignment readingOrder="0"/>
    </xf>
    <xf borderId="0" fillId="10" fontId="8" numFmtId="0" xfId="0" applyFont="1"/>
    <xf borderId="0" fillId="10" fontId="2" numFmtId="0" xfId="0" applyAlignment="1" applyFont="1">
      <alignment readingOrder="0" shrinkToFit="0" vertical="bottom" wrapText="1"/>
    </xf>
    <xf borderId="0" fillId="10" fontId="2" numFmtId="0" xfId="0" applyAlignment="1" applyFont="1">
      <alignment shrinkToFit="0" wrapText="1"/>
    </xf>
    <xf borderId="2" fillId="10" fontId="2" numFmtId="0" xfId="0" applyAlignment="1" applyBorder="1" applyFont="1">
      <alignment shrinkToFit="0" wrapText="1"/>
    </xf>
    <xf borderId="0" fillId="10" fontId="2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15" fontId="8" numFmtId="0" xfId="0" applyAlignment="1" applyBorder="1" applyFill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3" pivot="0" name="new_aposto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J3:M41" displayName="Table_1" name="Table_1" id="1">
  <tableColumns count="4">
    <tableColumn name="y" id="1"/>
    <tableColumn name="y 2" id="2"/>
    <tableColumn name="y 3" id="3"/>
    <tableColumn name="n" id="4"/>
  </tableColumns>
  <tableStyleInfo name="new_apost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6.57"/>
    <col customWidth="1" min="3" max="4" width="5.71"/>
    <col customWidth="1" min="5" max="5" width="3.29"/>
    <col customWidth="1" min="6" max="6" width="39.86"/>
    <col customWidth="1" min="7" max="7" width="7.14"/>
    <col customWidth="1" hidden="1" min="8" max="8" width="14.14"/>
    <col customWidth="1" hidden="1" min="9" max="9" width="10.57"/>
    <col customWidth="1" hidden="1" min="10" max="12" width="4.86"/>
    <col customWidth="1" hidden="1" min="13" max="14" width="17.14"/>
    <col customWidth="1" hidden="1" min="15" max="15" width="13.71"/>
    <col customWidth="1" hidden="1" min="16" max="16" width="8.71"/>
    <col customWidth="1" min="17" max="27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 t="s">
        <v>15</v>
      </c>
    </row>
    <row r="2">
      <c r="A2" s="9" t="s">
        <v>16</v>
      </c>
      <c r="B2" s="9" t="str">
        <f t="shared" ref="B2:B395" si="1">LEFT(A2,FIND(".",A2))</f>
        <v>Ді.</v>
      </c>
      <c r="C2" s="10" t="s">
        <v>17</v>
      </c>
      <c r="D2" s="11" t="str">
        <f t="shared" ref="D2:D385" si="2">MID(A2,FIND(".",A2)+2,FIND(" ",RIGHT(A2,LEN(A2)-FIND(".",A2)-1))-1)</f>
        <v>1</v>
      </c>
      <c r="E2" s="12" t="s">
        <v>18</v>
      </c>
      <c r="F2" s="13" t="s">
        <v>19</v>
      </c>
      <c r="G2" s="14"/>
      <c r="H2" s="15"/>
      <c r="I2" s="16" t="s">
        <v>20</v>
      </c>
      <c r="J2" s="16">
        <v>7.0</v>
      </c>
      <c r="K2" s="17"/>
      <c r="L2" s="16">
        <v>7.0</v>
      </c>
      <c r="M2" s="18" t="str">
        <f>IFNA( VLOOKUP(LEFT(F2, IFERROR(FIND(" ", F2, 1),1) - 1), lists!$A$31:$B$37, 2, FALSE),"")</f>
        <v/>
      </c>
      <c r="N2" s="18" t="str">
        <f>IFERROR(__xludf.DUMMYFUNCTION("IFNA(VLOOKUP(IFNA(REGEXEXTRACT(F2, ""(Пасхи|50-ці|посту)""),""""),lists!$A$39:$B$41,2,FALSE),"""")"),"pascha")</f>
        <v>pascha</v>
      </c>
      <c r="O2" s="19" t="str">
        <f>IFERROR(__xludf.DUMMYFUNCTION("IFNA(REGEXEXTRACT(F2, ""\d{1,2}""),"""")"),"")</f>
        <v/>
      </c>
      <c r="P2" s="20" t="b">
        <f t="shared" ref="P2:P365" si="3">AND(OR(I2="",J2="",L2=""),H2="")</f>
        <v>0</v>
      </c>
    </row>
    <row r="3">
      <c r="A3" s="9" t="s">
        <v>21</v>
      </c>
      <c r="B3" s="9" t="str">
        <f t="shared" si="1"/>
        <v>Ді.</v>
      </c>
      <c r="C3" s="10" t="s">
        <v>17</v>
      </c>
      <c r="D3" s="11" t="str">
        <f t="shared" si="2"/>
        <v>1</v>
      </c>
      <c r="E3" s="12" t="s">
        <v>22</v>
      </c>
      <c r="F3" s="13" t="s">
        <v>23</v>
      </c>
      <c r="G3" s="14"/>
      <c r="H3" s="15"/>
      <c r="I3" s="16" t="s">
        <v>24</v>
      </c>
      <c r="J3" s="16">
        <v>6.0</v>
      </c>
      <c r="K3" s="17"/>
      <c r="L3" s="16">
        <v>4.0</v>
      </c>
      <c r="M3" s="18" t="str">
        <f>IFNA( VLOOKUP(LEFT(F3, IFERROR(FIND(" ", F3, 1),1) - 1), lists!$A$31:$B$37, 2, FALSE),"")</f>
        <v/>
      </c>
      <c r="N3" s="18" t="str">
        <f>IFERROR(__xludf.DUMMYFUNCTION("IFNA(VLOOKUP(IFNA(REGEXEXTRACT(F3, ""(Пасхи|50-ці|посту)""),""""),lists!$A$39:$B$41,2,FALSE),"""")"),"")</f>
        <v/>
      </c>
      <c r="O3" s="19" t="str">
        <f>IFERROR(__xludf.DUMMYFUNCTION("IFNA(REGEXEXTRACT(F3, ""\d{1,2}""),"""")"),"")</f>
        <v/>
      </c>
      <c r="P3" s="20" t="b">
        <f t="shared" si="3"/>
        <v>0</v>
      </c>
    </row>
    <row r="4">
      <c r="A4" s="9" t="s">
        <v>25</v>
      </c>
      <c r="B4" s="9" t="str">
        <f t="shared" si="1"/>
        <v>Ді.</v>
      </c>
      <c r="C4" s="10" t="s">
        <v>17</v>
      </c>
      <c r="D4" s="11" t="str">
        <f t="shared" si="2"/>
        <v>2</v>
      </c>
      <c r="E4" s="9"/>
      <c r="F4" s="21" t="s">
        <v>26</v>
      </c>
      <c r="G4" s="14"/>
      <c r="H4" s="15"/>
      <c r="I4" s="16" t="s">
        <v>24</v>
      </c>
      <c r="J4" s="16">
        <v>1.0</v>
      </c>
      <c r="K4" s="17"/>
      <c r="L4" s="16">
        <v>1.0</v>
      </c>
      <c r="M4" s="18">
        <f>IFNA( VLOOKUP(LEFT(F4, IFERROR(FIND(" ", F4, 1),1) - 1), lists!$A$31:$B$37, 2, FALSE),"")</f>
        <v>1</v>
      </c>
      <c r="N4" s="18" t="str">
        <f>IFERROR(__xludf.DUMMYFUNCTION("IFNA(VLOOKUP(IFNA(REGEXEXTRACT(F4, ""(Пасхи|50-ці|посту)""),""""),lists!$A$39:$B$41,2,FALSE),"""")"),"")</f>
        <v/>
      </c>
      <c r="O4" s="19" t="str">
        <f>IFERROR(__xludf.DUMMYFUNCTION("IFNA(REGEXEXTRACT(F4, ""\d{1,2}""),"""")"),"")</f>
        <v/>
      </c>
      <c r="P4" s="20" t="b">
        <f t="shared" si="3"/>
        <v>0</v>
      </c>
    </row>
    <row r="5">
      <c r="A5" s="9" t="s">
        <v>27</v>
      </c>
      <c r="B5" s="9" t="str">
        <f t="shared" si="1"/>
        <v>Ді.</v>
      </c>
      <c r="C5" s="10" t="s">
        <v>17</v>
      </c>
      <c r="D5" s="11" t="str">
        <f t="shared" si="2"/>
        <v>3</v>
      </c>
      <c r="E5" s="9"/>
      <c r="F5" s="21" t="s">
        <v>28</v>
      </c>
      <c r="G5" s="14"/>
      <c r="H5" s="15"/>
      <c r="I5" s="16" t="s">
        <v>29</v>
      </c>
      <c r="J5" s="16">
        <v>7.0</v>
      </c>
      <c r="K5" s="17"/>
      <c r="L5" s="16">
        <v>7.0</v>
      </c>
      <c r="M5" s="18">
        <f>IFNA( VLOOKUP(LEFT(F5, IFERROR(FIND(" ", F5, 1),1) - 1), lists!$A$31:$B$37, 2, FALSE),"")</f>
        <v>7</v>
      </c>
      <c r="N5" s="18" t="str">
        <f>IFERROR(__xludf.DUMMYFUNCTION("IFNA(VLOOKUP(IFNA(REGEXEXTRACT(F5, ""(Пасхи|50-ці|посту)""),""""),lists!$A$39:$B$41,2,FALSE),"""")"),"pentecost")</f>
        <v>pentecost</v>
      </c>
      <c r="O5" s="19" t="str">
        <f>IFERROR(__xludf.DUMMYFUNCTION("IFNA(REGEXEXTRACT(F5, ""\d{1,2}""),"""")"),"50")</f>
        <v>50</v>
      </c>
      <c r="P5" s="20" t="b">
        <f t="shared" si="3"/>
        <v>0</v>
      </c>
    </row>
    <row r="6">
      <c r="A6" s="9" t="s">
        <v>30</v>
      </c>
      <c r="B6" s="9" t="str">
        <f t="shared" si="1"/>
        <v>Ді.</v>
      </c>
      <c r="C6" s="10" t="s">
        <v>17</v>
      </c>
      <c r="D6" s="11" t="str">
        <f t="shared" si="2"/>
        <v>4</v>
      </c>
      <c r="E6" s="9"/>
      <c r="F6" s="21" t="s">
        <v>31</v>
      </c>
      <c r="G6" s="14"/>
      <c r="H6" s="15"/>
      <c r="I6" s="16" t="s">
        <v>24</v>
      </c>
      <c r="J6" s="16">
        <v>1.0</v>
      </c>
      <c r="K6" s="17"/>
      <c r="L6" s="16">
        <v>2.0</v>
      </c>
      <c r="M6" s="18">
        <f>IFNA( VLOOKUP(LEFT(F6, IFERROR(FIND(" ", F6, 1),1) - 1), lists!$A$31:$B$37, 2, FALSE),"")</f>
        <v>2</v>
      </c>
      <c r="N6" s="18" t="str">
        <f>IFERROR(__xludf.DUMMYFUNCTION("IFNA(VLOOKUP(IFNA(REGEXEXTRACT(F6, ""(Пасхи|50-ці|посту)""),""""),lists!$A$39:$B$41,2,FALSE),"""")"),"")</f>
        <v/>
      </c>
      <c r="O6" s="19" t="str">
        <f>IFERROR(__xludf.DUMMYFUNCTION("IFNA(REGEXEXTRACT(F6, ""\d{1,2}""),"""")"),"")</f>
        <v/>
      </c>
      <c r="P6" s="20" t="b">
        <f t="shared" si="3"/>
        <v>0</v>
      </c>
    </row>
    <row r="7">
      <c r="A7" s="9" t="s">
        <v>32</v>
      </c>
      <c r="B7" s="9" t="str">
        <f t="shared" si="1"/>
        <v>Ді.</v>
      </c>
      <c r="C7" s="10" t="s">
        <v>17</v>
      </c>
      <c r="D7" s="11" t="str">
        <f t="shared" si="2"/>
        <v>5</v>
      </c>
      <c r="E7" s="9"/>
      <c r="F7" s="21" t="s">
        <v>33</v>
      </c>
      <c r="G7" s="14"/>
      <c r="H7" s="15"/>
      <c r="I7" s="16" t="s">
        <v>24</v>
      </c>
      <c r="J7" s="16">
        <v>1.0</v>
      </c>
      <c r="K7" s="17"/>
      <c r="L7" s="16">
        <v>3.0</v>
      </c>
      <c r="M7" s="18">
        <f>IFNA( VLOOKUP(LEFT(F7, IFERROR(FIND(" ", F7, 1),1) - 1), lists!$A$31:$B$37, 2, FALSE),"")</f>
        <v>3</v>
      </c>
      <c r="N7" s="18" t="str">
        <f>IFERROR(__xludf.DUMMYFUNCTION("IFNA(VLOOKUP(IFNA(REGEXEXTRACT(F7, ""(Пасхи|50-ці|посту)""),""""),lists!$A$39:$B$41,2,FALSE),"""")"),"")</f>
        <v/>
      </c>
      <c r="O7" s="19" t="str">
        <f>IFERROR(__xludf.DUMMYFUNCTION("IFNA(REGEXEXTRACT(F7, ""\d{1,2}""),"""")"),"")</f>
        <v/>
      </c>
      <c r="P7" s="20" t="b">
        <f t="shared" si="3"/>
        <v>0</v>
      </c>
    </row>
    <row r="8">
      <c r="A8" s="9" t="s">
        <v>34</v>
      </c>
      <c r="B8" s="9" t="str">
        <f t="shared" si="1"/>
        <v>Ді.</v>
      </c>
      <c r="C8" s="10" t="s">
        <v>17</v>
      </c>
      <c r="D8" s="11" t="str">
        <f t="shared" si="2"/>
        <v>6</v>
      </c>
      <c r="E8" s="9"/>
      <c r="F8" s="21" t="s">
        <v>35</v>
      </c>
      <c r="G8" s="14"/>
      <c r="H8" s="15"/>
      <c r="I8" s="16" t="s">
        <v>24</v>
      </c>
      <c r="J8" s="16">
        <v>1.0</v>
      </c>
      <c r="K8" s="17"/>
      <c r="L8" s="16">
        <v>4.0</v>
      </c>
      <c r="M8" s="18">
        <f>IFNA( VLOOKUP(LEFT(F8, IFERROR(FIND(" ", F8, 1),1) - 1), lists!$A$31:$B$37, 2, FALSE),"")</f>
        <v>4</v>
      </c>
      <c r="N8" s="18" t="str">
        <f>IFERROR(__xludf.DUMMYFUNCTION("IFNA(VLOOKUP(IFNA(REGEXEXTRACT(F8, ""(Пасхи|50-ці|посту)""),""""),lists!$A$39:$B$41,2,FALSE),"""")"),"")</f>
        <v/>
      </c>
      <c r="O8" s="19" t="str">
        <f>IFERROR(__xludf.DUMMYFUNCTION("IFNA(REGEXEXTRACT(F8, ""\d{1,2}""),"""")"),"")</f>
        <v/>
      </c>
      <c r="P8" s="20" t="b">
        <f t="shared" si="3"/>
        <v>0</v>
      </c>
    </row>
    <row r="9">
      <c r="A9" s="9" t="s">
        <v>36</v>
      </c>
      <c r="B9" s="9" t="str">
        <f t="shared" si="1"/>
        <v>Ді.</v>
      </c>
      <c r="C9" s="10" t="s">
        <v>17</v>
      </c>
      <c r="D9" s="11" t="str">
        <f t="shared" si="2"/>
        <v>7</v>
      </c>
      <c r="E9" s="9"/>
      <c r="F9" s="21" t="s">
        <v>37</v>
      </c>
      <c r="G9" s="14"/>
      <c r="H9" s="15"/>
      <c r="I9" s="16" t="s">
        <v>24</v>
      </c>
      <c r="J9" s="16">
        <v>1.0</v>
      </c>
      <c r="K9" s="17"/>
      <c r="L9" s="16">
        <v>5.0</v>
      </c>
      <c r="M9" s="18">
        <f>IFNA( VLOOKUP(LEFT(F9, IFERROR(FIND(" ", F9, 1),1) - 1), lists!$A$31:$B$37, 2, FALSE),"")</f>
        <v>5</v>
      </c>
      <c r="N9" s="18" t="str">
        <f>IFERROR(__xludf.DUMMYFUNCTION("IFNA(VLOOKUP(IFNA(REGEXEXTRACT(F9, ""(Пасхи|50-ці|посту)""),""""),lists!$A$39:$B$41,2,FALSE),"""")"),"")</f>
        <v/>
      </c>
      <c r="O9" s="19" t="str">
        <f>IFERROR(__xludf.DUMMYFUNCTION("IFNA(REGEXEXTRACT(F9, ""\d{1,2}""),"""")"),"")</f>
        <v/>
      </c>
      <c r="P9" s="20" t="b">
        <f t="shared" si="3"/>
        <v>0</v>
      </c>
    </row>
    <row r="10">
      <c r="A10" s="9" t="s">
        <v>38</v>
      </c>
      <c r="B10" s="9" t="str">
        <f t="shared" si="1"/>
        <v>Ді.</v>
      </c>
      <c r="C10" s="10" t="s">
        <v>17</v>
      </c>
      <c r="D10" s="11" t="str">
        <f t="shared" si="2"/>
        <v>8</v>
      </c>
      <c r="E10" s="9"/>
      <c r="F10" s="21" t="s">
        <v>39</v>
      </c>
      <c r="G10" s="14"/>
      <c r="H10" s="15"/>
      <c r="I10" s="16" t="s">
        <v>24</v>
      </c>
      <c r="J10" s="16">
        <v>1.0</v>
      </c>
      <c r="K10" s="17"/>
      <c r="L10" s="16">
        <v>6.0</v>
      </c>
      <c r="M10" s="18">
        <f>IFNA( VLOOKUP(LEFT(F10, IFERROR(FIND(" ", F10, 1),1) - 1), lists!$A$31:$B$37, 2, FALSE),"")</f>
        <v>6</v>
      </c>
      <c r="N10" s="18" t="str">
        <f>IFERROR(__xludf.DUMMYFUNCTION("IFNA(VLOOKUP(IFNA(REGEXEXTRACT(F10, ""(Пасхи|50-ці|посту)""),""""),lists!$A$39:$B$41,2,FALSE),"""")"),"")</f>
        <v/>
      </c>
      <c r="O10" s="19" t="str">
        <f>IFERROR(__xludf.DUMMYFUNCTION("IFNA(REGEXEXTRACT(F10, ""\d{1,2}""),"""")"),"")</f>
        <v/>
      </c>
      <c r="P10" s="20" t="b">
        <f t="shared" si="3"/>
        <v>0</v>
      </c>
    </row>
    <row r="11">
      <c r="A11" s="9" t="s">
        <v>40</v>
      </c>
      <c r="B11" s="9" t="str">
        <f t="shared" si="1"/>
        <v>Ді.</v>
      </c>
      <c r="C11" s="10" t="s">
        <v>17</v>
      </c>
      <c r="D11" s="11" t="str">
        <f t="shared" si="2"/>
        <v>9</v>
      </c>
      <c r="E11" s="9"/>
      <c r="F11" s="21" t="s">
        <v>41</v>
      </c>
      <c r="G11" s="14"/>
      <c r="H11" s="22"/>
      <c r="I11" s="16" t="s">
        <v>24</v>
      </c>
      <c r="J11" s="16">
        <v>2.0</v>
      </c>
      <c r="K11" s="17"/>
      <c r="L11" s="16">
        <v>1.0</v>
      </c>
      <c r="M11" s="18">
        <f>IFNA( VLOOKUP(LEFT(F11, IFERROR(FIND(" ", F11, 1),1) - 1), lists!$A$31:$B$37, 2, FALSE),"")</f>
        <v>1</v>
      </c>
      <c r="N11" s="18" t="str">
        <f>IFERROR(__xludf.DUMMYFUNCTION("IFNA(VLOOKUP(IFNA(REGEXEXTRACT(F11, ""(Пасхи|50-ці|посту)""),""""),lists!$A$39:$B$41,2,FALSE),"""")"),"pascha")</f>
        <v>pascha</v>
      </c>
      <c r="O11" s="19" t="str">
        <f>IFERROR(__xludf.DUMMYFUNCTION("IFNA(REGEXEXTRACT(F11, ""\d{1,2}""),"""")"),"2")</f>
        <v>2</v>
      </c>
      <c r="P11" s="20" t="b">
        <f t="shared" si="3"/>
        <v>0</v>
      </c>
    </row>
    <row r="12">
      <c r="A12" s="9" t="s">
        <v>42</v>
      </c>
      <c r="B12" s="9" t="str">
        <f t="shared" si="1"/>
        <v>Ді.</v>
      </c>
      <c r="C12" s="10" t="s">
        <v>17</v>
      </c>
      <c r="D12" s="11" t="str">
        <f t="shared" si="2"/>
        <v>10</v>
      </c>
      <c r="E12" s="9"/>
      <c r="F12" s="21" t="s">
        <v>43</v>
      </c>
      <c r="G12" s="14"/>
      <c r="H12" s="22"/>
      <c r="I12" s="16" t="s">
        <v>24</v>
      </c>
      <c r="J12" s="16">
        <v>2.0</v>
      </c>
      <c r="K12" s="17"/>
      <c r="L12" s="16">
        <v>2.0</v>
      </c>
      <c r="M12" s="18">
        <f>IFNA( VLOOKUP(LEFT(F12, IFERROR(FIND(" ", F12, 1),1) - 1), lists!$A$31:$B$37, 2, FALSE),"")</f>
        <v>2</v>
      </c>
      <c r="N12" s="18" t="str">
        <f>IFERROR(__xludf.DUMMYFUNCTION("IFNA(VLOOKUP(IFNA(REGEXEXTRACT(F12, ""(Пасхи|50-ці|посту)""),""""),lists!$A$39:$B$41,2,FALSE),"""")"),"pascha")</f>
        <v>pascha</v>
      </c>
      <c r="O12" s="19" t="str">
        <f>IFERROR(__xludf.DUMMYFUNCTION("IFNA(REGEXEXTRACT(F12, ""\d{1,2}""),"""")"),"2")</f>
        <v>2</v>
      </c>
      <c r="P12" s="20" t="b">
        <f t="shared" si="3"/>
        <v>0</v>
      </c>
    </row>
    <row r="13">
      <c r="A13" s="9" t="s">
        <v>44</v>
      </c>
      <c r="B13" s="9" t="str">
        <f t="shared" si="1"/>
        <v>Ді.</v>
      </c>
      <c r="C13" s="10" t="s">
        <v>17</v>
      </c>
      <c r="D13" s="11" t="str">
        <f t="shared" si="2"/>
        <v>11</v>
      </c>
      <c r="E13" s="9"/>
      <c r="F13" s="21" t="s">
        <v>45</v>
      </c>
      <c r="G13" s="14"/>
      <c r="H13" s="22"/>
      <c r="I13" s="16" t="s">
        <v>24</v>
      </c>
      <c r="J13" s="16">
        <v>2.0</v>
      </c>
      <c r="K13" s="17"/>
      <c r="L13" s="16">
        <v>3.0</v>
      </c>
      <c r="M13" s="18">
        <f>IFNA( VLOOKUP(LEFT(F13, IFERROR(FIND(" ", F13, 1),1) - 1), lists!$A$31:$B$37, 2, FALSE),"")</f>
        <v>3</v>
      </c>
      <c r="N13" s="18" t="str">
        <f>IFERROR(__xludf.DUMMYFUNCTION("IFNA(VLOOKUP(IFNA(REGEXEXTRACT(F13, ""(Пасхи|50-ці|посту)""),""""),lists!$A$39:$B$41,2,FALSE),"""")"),"pascha")</f>
        <v>pascha</v>
      </c>
      <c r="O13" s="19" t="str">
        <f>IFERROR(__xludf.DUMMYFUNCTION("IFNA(REGEXEXTRACT(F13, ""\d{1,2}""),"""")"),"2")</f>
        <v>2</v>
      </c>
      <c r="P13" s="20" t="b">
        <f t="shared" si="3"/>
        <v>0</v>
      </c>
    </row>
    <row r="14">
      <c r="A14" s="9" t="s">
        <v>46</v>
      </c>
      <c r="B14" s="9" t="str">
        <f t="shared" si="1"/>
        <v>Ді.</v>
      </c>
      <c r="C14" s="10" t="s">
        <v>17</v>
      </c>
      <c r="D14" s="11" t="str">
        <f t="shared" si="2"/>
        <v>12</v>
      </c>
      <c r="E14" s="9"/>
      <c r="F14" s="21" t="s">
        <v>47</v>
      </c>
      <c r="G14" s="14"/>
      <c r="H14" s="22"/>
      <c r="I14" s="16" t="s">
        <v>24</v>
      </c>
      <c r="J14" s="16">
        <v>2.0</v>
      </c>
      <c r="K14" s="17"/>
      <c r="L14" s="16">
        <v>4.0</v>
      </c>
      <c r="M14" s="18">
        <f>IFNA( VLOOKUP(LEFT(F14, IFERROR(FIND(" ", F14, 1),1) - 1), lists!$A$31:$B$37, 2, FALSE),"")</f>
        <v>4</v>
      </c>
      <c r="N14" s="18" t="str">
        <f>IFERROR(__xludf.DUMMYFUNCTION("IFNA(VLOOKUP(IFNA(REGEXEXTRACT(F14, ""(Пасхи|50-ці|посту)""),""""),lists!$A$39:$B$41,2,FALSE),"""")"),"pascha")</f>
        <v>pascha</v>
      </c>
      <c r="O14" s="19" t="str">
        <f>IFERROR(__xludf.DUMMYFUNCTION("IFNA(REGEXEXTRACT(F14, ""\d{1,2}""),"""")"),"2")</f>
        <v>2</v>
      </c>
      <c r="P14" s="20" t="b">
        <f t="shared" si="3"/>
        <v>0</v>
      </c>
    </row>
    <row r="15">
      <c r="A15" s="9" t="s">
        <v>48</v>
      </c>
      <c r="B15" s="9" t="str">
        <f t="shared" si="1"/>
        <v>Ді.</v>
      </c>
      <c r="C15" s="10" t="s">
        <v>17</v>
      </c>
      <c r="D15" s="11" t="str">
        <f t="shared" si="2"/>
        <v>13</v>
      </c>
      <c r="E15" s="9"/>
      <c r="F15" s="21" t="s">
        <v>49</v>
      </c>
      <c r="G15" s="14"/>
      <c r="H15" s="22"/>
      <c r="I15" s="16" t="s">
        <v>24</v>
      </c>
      <c r="J15" s="16">
        <v>2.0</v>
      </c>
      <c r="K15" s="17"/>
      <c r="L15" s="16">
        <v>5.0</v>
      </c>
      <c r="M15" s="18">
        <f>IFNA( VLOOKUP(LEFT(F15, IFERROR(FIND(" ", F15, 1),1) - 1), lists!$A$31:$B$37, 2, FALSE),"")</f>
        <v>5</v>
      </c>
      <c r="N15" s="18" t="str">
        <f>IFERROR(__xludf.DUMMYFUNCTION("IFNA(VLOOKUP(IFNA(REGEXEXTRACT(F15, ""(Пасхи|50-ці|посту)""),""""),lists!$A$39:$B$41,2,FALSE),"""")"),"pascha")</f>
        <v>pascha</v>
      </c>
      <c r="O15" s="19" t="str">
        <f>IFERROR(__xludf.DUMMYFUNCTION("IFNA(REGEXEXTRACT(F15, ""\d{1,2}""),"""")"),"2")</f>
        <v>2</v>
      </c>
      <c r="P15" s="20" t="b">
        <f t="shared" si="3"/>
        <v>0</v>
      </c>
    </row>
    <row r="16">
      <c r="A16" s="9" t="s">
        <v>50</v>
      </c>
      <c r="B16" s="9" t="str">
        <f t="shared" si="1"/>
        <v>Ді.</v>
      </c>
      <c r="C16" s="10" t="s">
        <v>17</v>
      </c>
      <c r="D16" s="11" t="str">
        <f t="shared" si="2"/>
        <v>14</v>
      </c>
      <c r="E16" s="9"/>
      <c r="F16" s="21" t="s">
        <v>51</v>
      </c>
      <c r="G16" s="14"/>
      <c r="H16" s="22"/>
      <c r="I16" s="16" t="s">
        <v>24</v>
      </c>
      <c r="J16" s="16">
        <v>1.0</v>
      </c>
      <c r="K16" s="17"/>
      <c r="L16" s="16">
        <v>7.0</v>
      </c>
      <c r="M16" s="18" t="str">
        <f>IFNA( VLOOKUP(LEFT(F16, IFERROR(FIND(" ", F16, 1),1) - 1), lists!$A$31:$B$37, 2, FALSE),"")</f>
        <v/>
      </c>
      <c r="N16" s="18" t="str">
        <f>IFERROR(__xludf.DUMMYFUNCTION("IFNA(VLOOKUP(IFNA(REGEXEXTRACT(F16, ""(Пасхи|50-ці|посту)""),""""),lists!$A$39:$B$41,2,FALSE),"""")"),"")</f>
        <v/>
      </c>
      <c r="O16" s="19" t="str">
        <f>IFERROR(__xludf.DUMMYFUNCTION("IFNA(REGEXEXTRACT(F16, ""\d{1,2}""),"""")"),"")</f>
        <v/>
      </c>
      <c r="P16" s="20" t="b">
        <f t="shared" si="3"/>
        <v>0</v>
      </c>
    </row>
    <row r="17">
      <c r="A17" s="9" t="s">
        <v>52</v>
      </c>
      <c r="B17" s="9" t="str">
        <f t="shared" si="1"/>
        <v>Ді.</v>
      </c>
      <c r="C17" s="10" t="s">
        <v>17</v>
      </c>
      <c r="D17" s="11" t="str">
        <f t="shared" si="2"/>
        <v>15</v>
      </c>
      <c r="E17" s="9"/>
      <c r="F17" s="21" t="s">
        <v>53</v>
      </c>
      <c r="G17" s="14"/>
      <c r="H17" s="22"/>
      <c r="I17" s="16" t="s">
        <v>24</v>
      </c>
      <c r="J17" s="23" t="s">
        <v>54</v>
      </c>
      <c r="K17" s="17"/>
      <c r="L17" s="16">
        <v>6.0</v>
      </c>
      <c r="M17" s="18">
        <f>IFNA( VLOOKUP(LEFT(F17, IFERROR(FIND(" ", F17, 1),1) - 1), lists!$A$31:$B$37, 2, FALSE),"")</f>
        <v>6</v>
      </c>
      <c r="N17" s="18" t="str">
        <f>IFERROR(__xludf.DUMMYFUNCTION("IFNA(VLOOKUP(IFNA(REGEXEXTRACT(F17, ""(Пасхи|50-ці|посту)""),""""),lists!$A$39:$B$41,2,FALSE),"""")"),"pascha")</f>
        <v>pascha</v>
      </c>
      <c r="O17" s="19" t="str">
        <f>IFERROR(__xludf.DUMMYFUNCTION("IFNA(REGEXEXTRACT(F17, ""\d{1,2}""),"""")"),"2")</f>
        <v>2</v>
      </c>
      <c r="P17" s="20" t="b">
        <f t="shared" si="3"/>
        <v>0</v>
      </c>
    </row>
    <row r="18">
      <c r="A18" s="9" t="s">
        <v>55</v>
      </c>
      <c r="B18" s="9" t="str">
        <f t="shared" si="1"/>
        <v>Ді.</v>
      </c>
      <c r="C18" s="10" t="s">
        <v>17</v>
      </c>
      <c r="D18" s="11" t="str">
        <f t="shared" si="2"/>
        <v>16</v>
      </c>
      <c r="E18" s="9"/>
      <c r="F18" s="21" t="s">
        <v>56</v>
      </c>
      <c r="G18" s="14"/>
      <c r="H18" s="22"/>
      <c r="I18" s="16" t="s">
        <v>24</v>
      </c>
      <c r="J18" s="23" t="s">
        <v>57</v>
      </c>
      <c r="K18" s="17"/>
      <c r="L18" s="16">
        <v>7.0</v>
      </c>
      <c r="M18" s="18">
        <f>IFNA( VLOOKUP(LEFT(F18, IFERROR(FIND(" ", F18, 1),1) - 1), lists!$A$31:$B$37, 2, FALSE),"")</f>
        <v>7</v>
      </c>
      <c r="N18" s="18" t="str">
        <f>IFERROR(__xludf.DUMMYFUNCTION("IFNA(VLOOKUP(IFNA(REGEXEXTRACT(F18, ""(Пасхи|50-ці|посту)""),""""),lists!$A$39:$B$41,2,FALSE),"""")"),"pascha")</f>
        <v>pascha</v>
      </c>
      <c r="O18" s="19" t="str">
        <f>IFERROR(__xludf.DUMMYFUNCTION("IFNA(REGEXEXTRACT(F18, ""\d{1,2}""),"""")"),"3")</f>
        <v>3</v>
      </c>
      <c r="P18" s="20" t="b">
        <f t="shared" si="3"/>
        <v>0</v>
      </c>
    </row>
    <row r="19">
      <c r="A19" s="9" t="s">
        <v>58</v>
      </c>
      <c r="B19" s="9" t="str">
        <f t="shared" si="1"/>
        <v>Ді.</v>
      </c>
      <c r="C19" s="10" t="s">
        <v>17</v>
      </c>
      <c r="D19" s="11" t="str">
        <f t="shared" si="2"/>
        <v>17</v>
      </c>
      <c r="E19" s="9"/>
      <c r="F19" s="21" t="s">
        <v>59</v>
      </c>
      <c r="G19" s="14"/>
      <c r="H19" s="22"/>
      <c r="I19" s="16" t="s">
        <v>24</v>
      </c>
      <c r="J19" s="23" t="s">
        <v>57</v>
      </c>
      <c r="K19" s="17"/>
      <c r="L19" s="16">
        <v>1.0</v>
      </c>
      <c r="M19" s="18">
        <f>IFNA( VLOOKUP(LEFT(F19, IFERROR(FIND(" ", F19, 1),1) - 1), lists!$A$31:$B$37, 2, FALSE),"")</f>
        <v>1</v>
      </c>
      <c r="N19" s="18" t="str">
        <f>IFERROR(__xludf.DUMMYFUNCTION("IFNA(VLOOKUP(IFNA(REGEXEXTRACT(F19, ""(Пасхи|50-ці|посту)""),""""),lists!$A$39:$B$41,2,FALSE),"""")"),"pascha")</f>
        <v>pascha</v>
      </c>
      <c r="O19" s="19" t="str">
        <f>IFERROR(__xludf.DUMMYFUNCTION("IFNA(REGEXEXTRACT(F19, ""\d{1,2}""),"""")"),"3")</f>
        <v>3</v>
      </c>
      <c r="P19" s="20" t="b">
        <f t="shared" si="3"/>
        <v>0</v>
      </c>
    </row>
    <row r="20">
      <c r="A20" s="9" t="s">
        <v>60</v>
      </c>
      <c r="B20" s="9" t="str">
        <f t="shared" si="1"/>
        <v>Ді.</v>
      </c>
      <c r="C20" s="10" t="s">
        <v>17</v>
      </c>
      <c r="D20" s="11" t="str">
        <f t="shared" si="2"/>
        <v>18</v>
      </c>
      <c r="E20" s="9"/>
      <c r="F20" s="21" t="s">
        <v>61</v>
      </c>
      <c r="G20" s="14"/>
      <c r="H20" s="22"/>
      <c r="I20" s="16" t="s">
        <v>24</v>
      </c>
      <c r="J20" s="23" t="s">
        <v>57</v>
      </c>
      <c r="K20" s="17"/>
      <c r="L20" s="16">
        <v>2.0</v>
      </c>
      <c r="M20" s="18">
        <f>IFNA( VLOOKUP(LEFT(F20, IFERROR(FIND(" ", F20, 1),1) - 1), lists!$A$31:$B$37, 2, FALSE),"")</f>
        <v>2</v>
      </c>
      <c r="N20" s="18" t="str">
        <f>IFERROR(__xludf.DUMMYFUNCTION("IFNA(VLOOKUP(IFNA(REGEXEXTRACT(F20, ""(Пасхи|50-ці|посту)""),""""),lists!$A$39:$B$41,2,FALSE),"""")"),"pascha")</f>
        <v>pascha</v>
      </c>
      <c r="O20" s="19" t="str">
        <f>IFERROR(__xludf.DUMMYFUNCTION("IFNA(REGEXEXTRACT(F20, ""\d{1,2}""),"""")"),"3")</f>
        <v>3</v>
      </c>
      <c r="P20" s="20" t="b">
        <f t="shared" si="3"/>
        <v>0</v>
      </c>
    </row>
    <row r="21">
      <c r="A21" s="9" t="s">
        <v>62</v>
      </c>
      <c r="B21" s="9" t="str">
        <f t="shared" si="1"/>
        <v>Ді.</v>
      </c>
      <c r="C21" s="10" t="s">
        <v>17</v>
      </c>
      <c r="D21" s="11" t="str">
        <f t="shared" si="2"/>
        <v>19</v>
      </c>
      <c r="E21" s="9"/>
      <c r="F21" s="21" t="s">
        <v>63</v>
      </c>
      <c r="G21" s="14"/>
      <c r="H21" s="22"/>
      <c r="I21" s="16" t="s">
        <v>24</v>
      </c>
      <c r="J21" s="23" t="s">
        <v>57</v>
      </c>
      <c r="K21" s="17"/>
      <c r="L21" s="16">
        <v>3.0</v>
      </c>
      <c r="M21" s="18">
        <f>IFNA( VLOOKUP(LEFT(F21, IFERROR(FIND(" ", F21, 1),1) - 1), lists!$A$31:$B$37, 2, FALSE),"")</f>
        <v>3</v>
      </c>
      <c r="N21" s="18" t="str">
        <f>IFERROR(__xludf.DUMMYFUNCTION("IFNA(VLOOKUP(IFNA(REGEXEXTRACT(F21, ""(Пасхи|50-ці|посту)""),""""),lists!$A$39:$B$41,2,FALSE),"""")"),"pascha")</f>
        <v>pascha</v>
      </c>
      <c r="O21" s="19" t="str">
        <f>IFERROR(__xludf.DUMMYFUNCTION("IFNA(REGEXEXTRACT(F21, ""\d{1,2}""),"""")"),"3")</f>
        <v>3</v>
      </c>
      <c r="P21" s="20" t="b">
        <f t="shared" si="3"/>
        <v>0</v>
      </c>
    </row>
    <row r="22">
      <c r="A22" s="9" t="s">
        <v>64</v>
      </c>
      <c r="B22" s="9" t="str">
        <f t="shared" si="1"/>
        <v>Ді.</v>
      </c>
      <c r="C22" s="10" t="s">
        <v>17</v>
      </c>
      <c r="D22" s="11" t="str">
        <f t="shared" si="2"/>
        <v>20</v>
      </c>
      <c r="E22" s="9"/>
      <c r="F22" s="21" t="s">
        <v>65</v>
      </c>
      <c r="G22" s="14"/>
      <c r="H22" s="22"/>
      <c r="I22" s="16" t="s">
        <v>24</v>
      </c>
      <c r="J22" s="23" t="s">
        <v>57</v>
      </c>
      <c r="K22" s="17"/>
      <c r="L22" s="16">
        <v>4.0</v>
      </c>
      <c r="M22" s="18">
        <f>IFNA( VLOOKUP(LEFT(F22, IFERROR(FIND(" ", F22, 1),1) - 1), lists!$A$31:$B$37, 2, FALSE),"")</f>
        <v>4</v>
      </c>
      <c r="N22" s="18" t="str">
        <f>IFERROR(__xludf.DUMMYFUNCTION("IFNA(VLOOKUP(IFNA(REGEXEXTRACT(F22, ""(Пасхи|50-ці|посту)""),""""),lists!$A$39:$B$41,2,FALSE),"""")"),"pascha")</f>
        <v>pascha</v>
      </c>
      <c r="O22" s="19" t="str">
        <f>IFERROR(__xludf.DUMMYFUNCTION("IFNA(REGEXEXTRACT(F22, ""\d{1,2}""),"""")"),"3")</f>
        <v>3</v>
      </c>
      <c r="P22" s="20" t="b">
        <f t="shared" si="3"/>
        <v>0</v>
      </c>
    </row>
    <row r="23">
      <c r="A23" s="9" t="s">
        <v>66</v>
      </c>
      <c r="B23" s="9" t="str">
        <f t="shared" si="1"/>
        <v>Ді.</v>
      </c>
      <c r="C23" s="10" t="s">
        <v>17</v>
      </c>
      <c r="D23" s="11" t="str">
        <f t="shared" si="2"/>
        <v>21</v>
      </c>
      <c r="E23" s="12" t="s">
        <v>18</v>
      </c>
      <c r="F23" s="21" t="s">
        <v>67</v>
      </c>
      <c r="G23" s="14"/>
      <c r="H23" s="22"/>
      <c r="I23" s="16" t="s">
        <v>24</v>
      </c>
      <c r="J23" s="23" t="s">
        <v>57</v>
      </c>
      <c r="K23" s="17"/>
      <c r="L23" s="16">
        <v>5.0</v>
      </c>
      <c r="M23" s="18">
        <f>IFNA( VLOOKUP(LEFT(F23, IFERROR(FIND(" ", F23, 1),1) - 1), lists!$A$31:$B$37, 2, FALSE),"")</f>
        <v>5</v>
      </c>
      <c r="N23" s="18" t="str">
        <f>IFERROR(__xludf.DUMMYFUNCTION("IFNA(VLOOKUP(IFNA(REGEXEXTRACT(F23, ""(Пасхи|50-ці|посту)""),""""),lists!$A$39:$B$41,2,FALSE),"""")"),"pascha")</f>
        <v>pascha</v>
      </c>
      <c r="O23" s="19" t="str">
        <f>IFERROR(__xludf.DUMMYFUNCTION("IFNA(REGEXEXTRACT(F23, ""\d{1,2}""),"""")"),"3")</f>
        <v>3</v>
      </c>
      <c r="P23" s="20" t="b">
        <f t="shared" si="3"/>
        <v>0</v>
      </c>
    </row>
    <row r="24">
      <c r="A24" s="12" t="s">
        <v>68</v>
      </c>
      <c r="B24" s="9" t="str">
        <f t="shared" si="1"/>
        <v>Ді.</v>
      </c>
      <c r="C24" s="10" t="s">
        <v>17</v>
      </c>
      <c r="D24" s="11" t="str">
        <f t="shared" si="2"/>
        <v>21</v>
      </c>
      <c r="E24" s="12" t="s">
        <v>22</v>
      </c>
      <c r="F24" s="21" t="s">
        <v>69</v>
      </c>
      <c r="G24" s="14"/>
      <c r="H24" s="15" t="s">
        <v>70</v>
      </c>
      <c r="I24" s="16" t="s">
        <v>71</v>
      </c>
      <c r="J24" s="23" t="s">
        <v>71</v>
      </c>
      <c r="K24" s="17"/>
      <c r="L24" s="16" t="s">
        <v>71</v>
      </c>
      <c r="M24" s="18" t="str">
        <f>IFNA( VLOOKUP(LEFT(F24, IFERROR(FIND(" ", F24, 1),1) - 1), lists!$A$31:$B$37, 2, FALSE),"")</f>
        <v/>
      </c>
      <c r="N24" s="18" t="str">
        <f>IFERROR(__xludf.DUMMYFUNCTION("IFNA(VLOOKUP(IFNA(REGEXEXTRACT(F24, ""(Пасхи|50-ці|посту)""),""""),lists!$A$39:$B$41,2,FALSE),"""")"),"")</f>
        <v/>
      </c>
      <c r="O24" s="19" t="str">
        <f>IFERROR(__xludf.DUMMYFUNCTION("IFNA(REGEXEXTRACT(F24, ""\d{1,2}""),"""")"),"")</f>
        <v/>
      </c>
      <c r="P24" s="20" t="b">
        <f t="shared" si="3"/>
        <v>0</v>
      </c>
    </row>
    <row r="25">
      <c r="A25" s="9" t="s">
        <v>72</v>
      </c>
      <c r="B25" s="9" t="str">
        <f t="shared" si="1"/>
        <v>Ді.</v>
      </c>
      <c r="C25" s="10" t="s">
        <v>17</v>
      </c>
      <c r="D25" s="11" t="str">
        <f t="shared" si="2"/>
        <v>22</v>
      </c>
      <c r="E25" s="9"/>
      <c r="F25" s="21" t="s">
        <v>73</v>
      </c>
      <c r="G25" s="14"/>
      <c r="H25" s="22"/>
      <c r="I25" s="16" t="s">
        <v>24</v>
      </c>
      <c r="J25" s="23" t="s">
        <v>57</v>
      </c>
      <c r="K25" s="17"/>
      <c r="L25" s="16">
        <v>6.0</v>
      </c>
      <c r="M25" s="18">
        <f>IFNA( VLOOKUP(LEFT(F25, IFERROR(FIND(" ", F25, 1),1) - 1), lists!$A$31:$B$37, 2, FALSE),"")</f>
        <v>6</v>
      </c>
      <c r="N25" s="18" t="str">
        <f>IFERROR(__xludf.DUMMYFUNCTION("IFNA(VLOOKUP(IFNA(REGEXEXTRACT(F25, ""(Пасхи|50-ці|посту)""),""""),lists!$A$39:$B$41,2,FALSE),"""")"),"pascha")</f>
        <v>pascha</v>
      </c>
      <c r="O25" s="19" t="str">
        <f>IFERROR(__xludf.DUMMYFUNCTION("IFNA(REGEXEXTRACT(F25, ""\d{1,2}""),"""")"),"3")</f>
        <v>3</v>
      </c>
      <c r="P25" s="20" t="b">
        <f t="shared" si="3"/>
        <v>0</v>
      </c>
    </row>
    <row r="26">
      <c r="A26" s="9" t="s">
        <v>74</v>
      </c>
      <c r="B26" s="9" t="str">
        <f t="shared" si="1"/>
        <v>Ді.</v>
      </c>
      <c r="C26" s="10" t="s">
        <v>17</v>
      </c>
      <c r="D26" s="11" t="str">
        <f t="shared" si="2"/>
        <v>23</v>
      </c>
      <c r="E26" s="9"/>
      <c r="F26" s="21" t="s">
        <v>75</v>
      </c>
      <c r="G26" s="14"/>
      <c r="H26" s="22"/>
      <c r="I26" s="16" t="s">
        <v>24</v>
      </c>
      <c r="J26" s="23">
        <v>3.0</v>
      </c>
      <c r="K26" s="17"/>
      <c r="L26" s="16">
        <v>7.0</v>
      </c>
      <c r="M26" s="18">
        <f>IFNA( VLOOKUP(LEFT(F26, IFERROR(FIND(" ", F26, 1),1) - 1), lists!$A$31:$B$37, 2, FALSE),"")</f>
        <v>7</v>
      </c>
      <c r="N26" s="18" t="str">
        <f>IFERROR(__xludf.DUMMYFUNCTION("IFNA(VLOOKUP(IFNA(REGEXEXTRACT(F26, ""(Пасхи|50-ці|посту)""),""""),lists!$A$39:$B$41,2,FALSE),"""")"),"")</f>
        <v/>
      </c>
      <c r="O26" s="19" t="str">
        <f>IFERROR(__xludf.DUMMYFUNCTION("IFNA(REGEXEXTRACT(F26, ""\d{1,2}""),"""")"),"4")</f>
        <v>4</v>
      </c>
      <c r="P26" s="20" t="b">
        <f t="shared" si="3"/>
        <v>0</v>
      </c>
    </row>
    <row r="27">
      <c r="A27" s="9" t="s">
        <v>76</v>
      </c>
      <c r="B27" s="9" t="str">
        <f t="shared" si="1"/>
        <v>Ді.</v>
      </c>
      <c r="C27" s="10" t="s">
        <v>17</v>
      </c>
      <c r="D27" s="11" t="str">
        <f t="shared" si="2"/>
        <v>24</v>
      </c>
      <c r="E27" s="9"/>
      <c r="F27" s="21" t="s">
        <v>77</v>
      </c>
      <c r="G27" s="14"/>
      <c r="H27" s="22"/>
      <c r="I27" s="16" t="s">
        <v>24</v>
      </c>
      <c r="J27" s="23" t="s">
        <v>78</v>
      </c>
      <c r="K27" s="17"/>
      <c r="L27" s="16">
        <v>1.0</v>
      </c>
      <c r="M27" s="18">
        <f>IFNA( VLOOKUP(LEFT(F27, IFERROR(FIND(" ", F27, 1),1) - 1), lists!$A$31:$B$37, 2, FALSE),"")</f>
        <v>1</v>
      </c>
      <c r="N27" s="18" t="str">
        <f>IFERROR(__xludf.DUMMYFUNCTION("IFNA(VLOOKUP(IFNA(REGEXEXTRACT(F27, ""(Пасхи|50-ці|посту)""),""""),lists!$A$39:$B$41,2,FALSE),"""")"),"pascha")</f>
        <v>pascha</v>
      </c>
      <c r="O27" s="19" t="str">
        <f>IFERROR(__xludf.DUMMYFUNCTION("IFNA(REGEXEXTRACT(F27, ""\d{1,2}""),"""")"),"4")</f>
        <v>4</v>
      </c>
      <c r="P27" s="20" t="b">
        <f t="shared" si="3"/>
        <v>0</v>
      </c>
    </row>
    <row r="28">
      <c r="A28" s="9" t="s">
        <v>79</v>
      </c>
      <c r="B28" s="9" t="str">
        <f t="shared" si="1"/>
        <v>Ді.</v>
      </c>
      <c r="C28" s="10" t="s">
        <v>17</v>
      </c>
      <c r="D28" s="11" t="str">
        <f t="shared" si="2"/>
        <v>25</v>
      </c>
      <c r="E28" s="9"/>
      <c r="F28" s="21" t="s">
        <v>80</v>
      </c>
      <c r="G28" s="14"/>
      <c r="H28" s="22"/>
      <c r="I28" s="16" t="s">
        <v>24</v>
      </c>
      <c r="J28" s="23" t="s">
        <v>78</v>
      </c>
      <c r="K28" s="17"/>
      <c r="L28" s="16">
        <v>2.0</v>
      </c>
      <c r="M28" s="18">
        <f>IFNA( VLOOKUP(LEFT(F28, IFERROR(FIND(" ", F28, 1),1) - 1), lists!$A$31:$B$37, 2, FALSE),"")</f>
        <v>2</v>
      </c>
      <c r="N28" s="18" t="str">
        <f>IFERROR(__xludf.DUMMYFUNCTION("IFNA(VLOOKUP(IFNA(REGEXEXTRACT(F28, ""(Пасхи|50-ці|посту)""),""""),lists!$A$39:$B$41,2,FALSE),"""")"),"pascha")</f>
        <v>pascha</v>
      </c>
      <c r="O28" s="19" t="str">
        <f>IFERROR(__xludf.DUMMYFUNCTION("IFNA(REGEXEXTRACT(F28, ""\d{1,2}""),"""")"),"4")</f>
        <v>4</v>
      </c>
      <c r="P28" s="20" t="b">
        <f t="shared" si="3"/>
        <v>0</v>
      </c>
    </row>
    <row r="29">
      <c r="A29" s="9" t="s">
        <v>81</v>
      </c>
      <c r="B29" s="9" t="str">
        <f t="shared" si="1"/>
        <v>Ді.</v>
      </c>
      <c r="C29" s="10" t="s">
        <v>17</v>
      </c>
      <c r="D29" s="11" t="str">
        <f t="shared" si="2"/>
        <v>26</v>
      </c>
      <c r="E29" s="9"/>
      <c r="F29" s="21" t="s">
        <v>82</v>
      </c>
      <c r="G29" s="14"/>
      <c r="H29" s="22"/>
      <c r="I29" s="16" t="s">
        <v>24</v>
      </c>
      <c r="J29" s="23" t="s">
        <v>78</v>
      </c>
      <c r="K29" s="17"/>
      <c r="L29" s="16">
        <v>4.0</v>
      </c>
      <c r="M29" s="18">
        <f>IFNA( VLOOKUP(LEFT(F29, IFERROR(FIND(" ", F29, 1),1) - 1), lists!$A$31:$B$37, 2, FALSE),"")</f>
        <v>4</v>
      </c>
      <c r="N29" s="18" t="str">
        <f>IFERROR(__xludf.DUMMYFUNCTION("IFNA(VLOOKUP(IFNA(REGEXEXTRACT(F29, ""(Пасхи|50-ці|посту)""),""""),lists!$A$39:$B$41,2,FALSE),"""")"),"pascha")</f>
        <v>pascha</v>
      </c>
      <c r="O29" s="19" t="str">
        <f>IFERROR(__xludf.DUMMYFUNCTION("IFNA(REGEXEXTRACT(F29, ""\d{1,2}""),"""")"),"4")</f>
        <v>4</v>
      </c>
      <c r="P29" s="20" t="b">
        <f t="shared" si="3"/>
        <v>0</v>
      </c>
    </row>
    <row r="30">
      <c r="A30" s="9" t="s">
        <v>83</v>
      </c>
      <c r="B30" s="9" t="str">
        <f t="shared" si="1"/>
        <v>Ді.</v>
      </c>
      <c r="C30" s="10" t="s">
        <v>17</v>
      </c>
      <c r="D30" s="11" t="str">
        <f t="shared" si="2"/>
        <v>27</v>
      </c>
      <c r="E30" s="9"/>
      <c r="F30" s="21" t="s">
        <v>84</v>
      </c>
      <c r="G30" s="14"/>
      <c r="H30" s="22"/>
      <c r="I30" s="16" t="s">
        <v>24</v>
      </c>
      <c r="J30" s="23" t="s">
        <v>78</v>
      </c>
      <c r="K30" s="17"/>
      <c r="L30" s="16">
        <v>5.0</v>
      </c>
      <c r="M30" s="18">
        <f>IFNA( VLOOKUP(LEFT(F30, IFERROR(FIND(" ", F30, 1),1) - 1), lists!$A$31:$B$37, 2, FALSE),"")</f>
        <v>5</v>
      </c>
      <c r="N30" s="18" t="str">
        <f>IFERROR(__xludf.DUMMYFUNCTION("IFNA(VLOOKUP(IFNA(REGEXEXTRACT(F30, ""(Пасхи|50-ці|посту)""),""""),lists!$A$39:$B$41,2,FALSE),"""")"),"pascha")</f>
        <v>pascha</v>
      </c>
      <c r="O30" s="19" t="str">
        <f>IFERROR(__xludf.DUMMYFUNCTION("IFNA(REGEXEXTRACT(F30, ""\d{1,2}""),"""")"),"4")</f>
        <v>4</v>
      </c>
      <c r="P30" s="20" t="b">
        <f t="shared" si="3"/>
        <v>0</v>
      </c>
    </row>
    <row r="31">
      <c r="A31" s="9" t="s">
        <v>85</v>
      </c>
      <c r="B31" s="9" t="str">
        <f t="shared" si="1"/>
        <v>Ді.</v>
      </c>
      <c r="C31" s="10" t="s">
        <v>17</v>
      </c>
      <c r="D31" s="11" t="str">
        <f t="shared" si="2"/>
        <v>28</v>
      </c>
      <c r="E31" s="9"/>
      <c r="F31" s="21" t="s">
        <v>86</v>
      </c>
      <c r="G31" s="14"/>
      <c r="H31" s="22"/>
      <c r="I31" s="16" t="s">
        <v>24</v>
      </c>
      <c r="J31" s="23">
        <v>4.0</v>
      </c>
      <c r="K31" s="17"/>
      <c r="L31" s="16">
        <v>7.0</v>
      </c>
      <c r="M31" s="18">
        <f>IFNA( VLOOKUP(LEFT(F31, IFERROR(FIND(" ", F31, 1),1) - 1), lists!$A$31:$B$37, 2, FALSE),"")</f>
        <v>7</v>
      </c>
      <c r="N31" s="18" t="str">
        <f>IFERROR(__xludf.DUMMYFUNCTION("IFNA(VLOOKUP(IFNA(REGEXEXTRACT(F31, ""(Пасхи|50-ці|посту)""),""""),lists!$A$39:$B$41,2,FALSE),"""")"),"")</f>
        <v/>
      </c>
      <c r="O31" s="19" t="str">
        <f>IFERROR(__xludf.DUMMYFUNCTION("IFNA(REGEXEXTRACT(F31, ""\d{1,2}""),"""")"),"5")</f>
        <v>5</v>
      </c>
      <c r="P31" s="20" t="b">
        <f t="shared" si="3"/>
        <v>0</v>
      </c>
    </row>
    <row r="32">
      <c r="A32" s="9" t="s">
        <v>87</v>
      </c>
      <c r="B32" s="9" t="str">
        <f t="shared" si="1"/>
        <v>Ді.</v>
      </c>
      <c r="C32" s="10" t="s">
        <v>17</v>
      </c>
      <c r="D32" s="11" t="str">
        <f t="shared" si="2"/>
        <v>29</v>
      </c>
      <c r="E32" s="9"/>
      <c r="F32" s="21" t="s">
        <v>88</v>
      </c>
      <c r="G32" s="14"/>
      <c r="H32" s="15" t="s">
        <v>70</v>
      </c>
      <c r="I32" s="16" t="s">
        <v>71</v>
      </c>
      <c r="J32" s="23" t="s">
        <v>78</v>
      </c>
      <c r="K32" s="17"/>
      <c r="L32" s="16">
        <v>6.0</v>
      </c>
      <c r="M32" s="18">
        <f>IFNA( VLOOKUP(LEFT(F32, IFERROR(FIND(" ", F32, 1),1) - 1), lists!$A$31:$B$37, 2, FALSE),"")</f>
        <v>6</v>
      </c>
      <c r="N32" s="18" t="str">
        <f>IFERROR(__xludf.DUMMYFUNCTION("IFNA(VLOOKUP(IFNA(REGEXEXTRACT(F32, ""(Пасхи|50-ці|посту)""),""""),lists!$A$39:$B$41,2,FALSE),"""")"),"")</f>
        <v/>
      </c>
      <c r="O32" s="19" t="str">
        <f>IFERROR(__xludf.DUMMYFUNCTION("IFNA(REGEXEXTRACT(F32, ""\d{1,2}""),"""")"),"4")</f>
        <v>4</v>
      </c>
      <c r="P32" s="20" t="b">
        <f t="shared" si="3"/>
        <v>0</v>
      </c>
    </row>
    <row r="33">
      <c r="A33" s="9" t="s">
        <v>89</v>
      </c>
      <c r="B33" s="9" t="str">
        <f t="shared" si="1"/>
        <v>Ді.</v>
      </c>
      <c r="C33" s="10" t="s">
        <v>17</v>
      </c>
      <c r="D33" s="11" t="str">
        <f t="shared" si="2"/>
        <v>30</v>
      </c>
      <c r="E33" s="9"/>
      <c r="F33" s="21" t="s">
        <v>90</v>
      </c>
      <c r="G33" s="14"/>
      <c r="H33" s="22"/>
      <c r="I33" s="16" t="s">
        <v>24</v>
      </c>
      <c r="J33" s="23" t="s">
        <v>91</v>
      </c>
      <c r="K33" s="17"/>
      <c r="L33" s="16">
        <v>1.0</v>
      </c>
      <c r="M33" s="18">
        <f>IFNA( VLOOKUP(LEFT(F33, IFERROR(FIND(" ", F33, 1),1) - 1), lists!$A$31:$B$37, 2, FALSE),"")</f>
        <v>1</v>
      </c>
      <c r="N33" s="18" t="str">
        <f>IFERROR(__xludf.DUMMYFUNCTION("IFNA(VLOOKUP(IFNA(REGEXEXTRACT(F33, ""(Пасхи|50-ці|посту)""),""""),lists!$A$39:$B$41,2,FALSE),"""")"),"pascha")</f>
        <v>pascha</v>
      </c>
      <c r="O33" s="19" t="str">
        <f>IFERROR(__xludf.DUMMYFUNCTION("IFNA(REGEXEXTRACT(F33, ""\d{1,2}""),"""")"),"5")</f>
        <v>5</v>
      </c>
      <c r="P33" s="20" t="b">
        <f t="shared" si="3"/>
        <v>0</v>
      </c>
    </row>
    <row r="34">
      <c r="A34" s="9" t="s">
        <v>92</v>
      </c>
      <c r="B34" s="9" t="str">
        <f t="shared" si="1"/>
        <v>Ді.</v>
      </c>
      <c r="C34" s="10" t="s">
        <v>17</v>
      </c>
      <c r="D34" s="11" t="str">
        <f t="shared" si="2"/>
        <v>31</v>
      </c>
      <c r="E34" s="9"/>
      <c r="F34" s="21" t="s">
        <v>93</v>
      </c>
      <c r="G34" s="14"/>
      <c r="H34" s="22"/>
      <c r="I34" s="16" t="s">
        <v>24</v>
      </c>
      <c r="J34" s="23" t="s">
        <v>91</v>
      </c>
      <c r="K34" s="17"/>
      <c r="L34" s="16">
        <v>2.0</v>
      </c>
      <c r="M34" s="18">
        <f>IFNA( VLOOKUP(LEFT(F34, IFERROR(FIND(" ", F34, 1),1) - 1), lists!$A$31:$B$37, 2, FALSE),"")</f>
        <v>2</v>
      </c>
      <c r="N34" s="18" t="str">
        <f>IFERROR(__xludf.DUMMYFUNCTION("IFNA(VLOOKUP(IFNA(REGEXEXTRACT(F34, ""(Пасхи|50-ці|посту)""),""""),lists!$A$39:$B$41,2,FALSE),"""")"),"pascha")</f>
        <v>pascha</v>
      </c>
      <c r="O34" s="19" t="str">
        <f>IFERROR(__xludf.DUMMYFUNCTION("IFNA(REGEXEXTRACT(F34, ""\d{1,2}""),"""")"),"5")</f>
        <v>5</v>
      </c>
      <c r="P34" s="20" t="b">
        <f t="shared" si="3"/>
        <v>0</v>
      </c>
    </row>
    <row r="35">
      <c r="A35" s="9" t="s">
        <v>94</v>
      </c>
      <c r="B35" s="9" t="str">
        <f t="shared" si="1"/>
        <v>Ді.</v>
      </c>
      <c r="C35" s="10" t="s">
        <v>17</v>
      </c>
      <c r="D35" s="11" t="str">
        <f t="shared" si="2"/>
        <v>32</v>
      </c>
      <c r="E35" s="9"/>
      <c r="F35" s="21" t="s">
        <v>95</v>
      </c>
      <c r="G35" s="14"/>
      <c r="H35" s="22"/>
      <c r="I35" s="16" t="s">
        <v>24</v>
      </c>
      <c r="J35" s="23" t="s">
        <v>91</v>
      </c>
      <c r="K35" s="17"/>
      <c r="L35" s="16">
        <v>3.0</v>
      </c>
      <c r="M35" s="18">
        <f>IFNA( VLOOKUP(LEFT(F35, IFERROR(FIND(" ", F35, 1),1) - 1), lists!$A$31:$B$37, 2, FALSE),"")</f>
        <v>3</v>
      </c>
      <c r="N35" s="18" t="str">
        <f>IFERROR(__xludf.DUMMYFUNCTION("IFNA(VLOOKUP(IFNA(REGEXEXTRACT(F35, ""(Пасхи|50-ці|посту)""),""""),lists!$A$39:$B$41,2,FALSE),"""")"),"pascha")</f>
        <v>pascha</v>
      </c>
      <c r="O35" s="19" t="str">
        <f>IFERROR(__xludf.DUMMYFUNCTION("IFNA(REGEXEXTRACT(F35, ""\d{1,2}""),"""")"),"5")</f>
        <v>5</v>
      </c>
      <c r="P35" s="20" t="b">
        <f t="shared" si="3"/>
        <v>0</v>
      </c>
    </row>
    <row r="36">
      <c r="A36" s="24" t="s">
        <v>96</v>
      </c>
      <c r="B36" s="9" t="str">
        <f t="shared" si="1"/>
        <v>Ді.</v>
      </c>
      <c r="C36" s="10" t="s">
        <v>17</v>
      </c>
      <c r="D36" s="11" t="str">
        <f t="shared" si="2"/>
        <v>33</v>
      </c>
      <c r="E36" s="9"/>
      <c r="F36" s="13" t="s">
        <v>97</v>
      </c>
      <c r="G36" s="14"/>
      <c r="H36" s="15" t="s">
        <v>70</v>
      </c>
      <c r="I36" s="16" t="s">
        <v>71</v>
      </c>
      <c r="J36" s="23" t="s">
        <v>71</v>
      </c>
      <c r="K36" s="17"/>
      <c r="L36" s="16" t="s">
        <v>71</v>
      </c>
      <c r="M36" s="18" t="str">
        <f>IFNA( VLOOKUP(LEFT(F36, IFERROR(FIND(" ", F36, 1),1) - 1), lists!$A$31:$B$37, 2, FALSE),"")</f>
        <v/>
      </c>
      <c r="N36" s="18" t="str">
        <f>IFERROR(__xludf.DUMMYFUNCTION("IFNA(VLOOKUP(IFNA(REGEXEXTRACT(F36, ""(Пасхи|50-ці|посту)""),""""),lists!$A$39:$B$41,2,FALSE),"""")"),"")</f>
        <v/>
      </c>
      <c r="O36" s="19" t="str">
        <f>IFERROR(__xludf.DUMMYFUNCTION("IFNA(REGEXEXTRACT(F36, ""\d{1,2}""),"""")"),"")</f>
        <v/>
      </c>
      <c r="P36" s="20" t="b">
        <f t="shared" si="3"/>
        <v>0</v>
      </c>
    </row>
    <row r="37">
      <c r="A37" s="9" t="s">
        <v>98</v>
      </c>
      <c r="B37" s="9" t="str">
        <f t="shared" si="1"/>
        <v>Ді.</v>
      </c>
      <c r="C37" s="10" t="s">
        <v>17</v>
      </c>
      <c r="D37" s="11" t="str">
        <f t="shared" si="2"/>
        <v>34</v>
      </c>
      <c r="E37" s="9"/>
      <c r="F37" s="21" t="s">
        <v>99</v>
      </c>
      <c r="G37" s="14"/>
      <c r="H37" s="22"/>
      <c r="I37" s="16" t="s">
        <v>24</v>
      </c>
      <c r="J37" s="23">
        <v>4.0</v>
      </c>
      <c r="K37" s="17"/>
      <c r="L37" s="16">
        <v>3.0</v>
      </c>
      <c r="M37" s="18">
        <f>IFNA( VLOOKUP(LEFT(F37, IFERROR(FIND(" ", F37, 1),1) - 1), lists!$A$31:$B$37, 2, FALSE),"")</f>
        <v>3</v>
      </c>
      <c r="N37" s="18" t="str">
        <f>IFERROR(__xludf.DUMMYFUNCTION("IFNA(VLOOKUP(IFNA(REGEXEXTRACT(F37, ""(Пасхи|50-ці|посту)""),""""),lists!$A$39:$B$41,2,FALSE),"""")"),"")</f>
        <v/>
      </c>
      <c r="O37" s="19" t="str">
        <f>IFERROR(__xludf.DUMMYFUNCTION("IFNA(REGEXEXTRACT(F37, ""\d{1,2}""),"""")"),"")</f>
        <v/>
      </c>
      <c r="P37" s="20" t="b">
        <f t="shared" si="3"/>
        <v>0</v>
      </c>
    </row>
    <row r="38">
      <c r="A38" s="9" t="s">
        <v>100</v>
      </c>
      <c r="B38" s="9" t="str">
        <f t="shared" si="1"/>
        <v>Ді.</v>
      </c>
      <c r="C38" s="10" t="s">
        <v>17</v>
      </c>
      <c r="D38" s="11" t="str">
        <f t="shared" si="2"/>
        <v>35</v>
      </c>
      <c r="E38" s="9"/>
      <c r="F38" s="21" t="s">
        <v>101</v>
      </c>
      <c r="G38" s="14"/>
      <c r="H38" s="22"/>
      <c r="I38" s="16" t="s">
        <v>24</v>
      </c>
      <c r="J38" s="23" t="s">
        <v>91</v>
      </c>
      <c r="K38" s="17"/>
      <c r="L38" s="16">
        <v>4.0</v>
      </c>
      <c r="M38" s="18">
        <f>IFNA( VLOOKUP(LEFT(F38, IFERROR(FIND(" ", F38, 1),1) - 1), lists!$A$31:$B$37, 2, FALSE),"")</f>
        <v>4</v>
      </c>
      <c r="N38" s="18" t="str">
        <f>IFERROR(__xludf.DUMMYFUNCTION("IFNA(VLOOKUP(IFNA(REGEXEXTRACT(F38, ""(Пасхи|50-ці|посту)""),""""),lists!$A$39:$B$41,2,FALSE),"""")"),"pascha")</f>
        <v>pascha</v>
      </c>
      <c r="O38" s="19" t="str">
        <f>IFERROR(__xludf.DUMMYFUNCTION("IFNA(REGEXEXTRACT(F38, ""\d{1,2}""),"""")"),"5")</f>
        <v>5</v>
      </c>
      <c r="P38" s="20" t="b">
        <f t="shared" si="3"/>
        <v>0</v>
      </c>
    </row>
    <row r="39">
      <c r="A39" s="9" t="s">
        <v>102</v>
      </c>
      <c r="B39" s="9" t="str">
        <f t="shared" si="1"/>
        <v>Ді.</v>
      </c>
      <c r="C39" s="10" t="s">
        <v>17</v>
      </c>
      <c r="D39" s="11" t="str">
        <f t="shared" si="2"/>
        <v>36</v>
      </c>
      <c r="E39" s="9"/>
      <c r="F39" s="21" t="s">
        <v>103</v>
      </c>
      <c r="G39" s="14"/>
      <c r="H39" s="22"/>
      <c r="I39" s="16" t="s">
        <v>24</v>
      </c>
      <c r="J39" s="23" t="s">
        <v>91</v>
      </c>
      <c r="K39" s="17"/>
      <c r="L39" s="16">
        <v>5.0</v>
      </c>
      <c r="M39" s="18">
        <f>IFNA( VLOOKUP(LEFT(F39, IFERROR(FIND(" ", F39, 1),1) - 1), lists!$A$31:$B$37, 2, FALSE),"")</f>
        <v>5</v>
      </c>
      <c r="N39" s="18" t="str">
        <f>IFERROR(__xludf.DUMMYFUNCTION("IFNA(VLOOKUP(IFNA(REGEXEXTRACT(F39, ""(Пасхи|50-ці|посту)""),""""),lists!$A$39:$B$41,2,FALSE),"""")"),"pascha")</f>
        <v>pascha</v>
      </c>
      <c r="O39" s="19" t="str">
        <f>IFERROR(__xludf.DUMMYFUNCTION("IFNA(REGEXEXTRACT(F39, ""\d{1,2}""),"""")"),"5")</f>
        <v>5</v>
      </c>
      <c r="P39" s="20" t="b">
        <f t="shared" si="3"/>
        <v>0</v>
      </c>
    </row>
    <row r="40">
      <c r="A40" s="9" t="s">
        <v>104</v>
      </c>
      <c r="B40" s="9" t="str">
        <f t="shared" si="1"/>
        <v>Ді.</v>
      </c>
      <c r="C40" s="10" t="s">
        <v>17</v>
      </c>
      <c r="D40" s="11" t="str">
        <f t="shared" si="2"/>
        <v>37</v>
      </c>
      <c r="E40" s="9"/>
      <c r="F40" s="21" t="s">
        <v>105</v>
      </c>
      <c r="G40" s="14"/>
      <c r="H40" s="22"/>
      <c r="I40" s="16" t="s">
        <v>24</v>
      </c>
      <c r="J40" s="23" t="s">
        <v>91</v>
      </c>
      <c r="K40" s="17"/>
      <c r="L40" s="16">
        <v>6.0</v>
      </c>
      <c r="M40" s="18">
        <f>IFNA( VLOOKUP(LEFT(F40, IFERROR(FIND(" ", F40, 1),1) - 1), lists!$A$31:$B$37, 2, FALSE),"")</f>
        <v>6</v>
      </c>
      <c r="N40" s="18" t="str">
        <f>IFERROR(__xludf.DUMMYFUNCTION("IFNA(VLOOKUP(IFNA(REGEXEXTRACT(F40, ""(Пасхи|50-ці|посту)""),""""),lists!$A$39:$B$41,2,FALSE),"""")"),"pascha")</f>
        <v>pascha</v>
      </c>
      <c r="O40" s="19" t="str">
        <f>IFERROR(__xludf.DUMMYFUNCTION("IFNA(REGEXEXTRACT(F40, ""\d{1,2}""),"""")"),"5")</f>
        <v>5</v>
      </c>
      <c r="P40" s="20" t="b">
        <f t="shared" si="3"/>
        <v>0</v>
      </c>
    </row>
    <row r="41">
      <c r="A41" s="9" t="s">
        <v>106</v>
      </c>
      <c r="B41" s="9" t="str">
        <f t="shared" si="1"/>
        <v>Ді.</v>
      </c>
      <c r="C41" s="10" t="s">
        <v>17</v>
      </c>
      <c r="D41" s="11" t="str">
        <f t="shared" si="2"/>
        <v>38</v>
      </c>
      <c r="E41" s="9"/>
      <c r="F41" s="21" t="s">
        <v>107</v>
      </c>
      <c r="G41" s="14"/>
      <c r="H41" s="22"/>
      <c r="I41" s="16" t="s">
        <v>24</v>
      </c>
      <c r="J41" s="23">
        <v>5.0</v>
      </c>
      <c r="K41" s="17"/>
      <c r="L41" s="16">
        <v>7.0</v>
      </c>
      <c r="M41" s="18">
        <f>IFNA( VLOOKUP(LEFT(F41, IFERROR(FIND(" ", F41, 1),1) - 1), lists!$A$31:$B$37, 2, FALSE),"")</f>
        <v>7</v>
      </c>
      <c r="N41" s="18" t="str">
        <f>IFERROR(__xludf.DUMMYFUNCTION("IFNA(VLOOKUP(IFNA(REGEXEXTRACT(F41, ""(Пасхи|50-ці|посту)""),""""),lists!$A$39:$B$41,2,FALSE),"""")"),"")</f>
        <v/>
      </c>
      <c r="O41" s="19" t="str">
        <f>IFERROR(__xludf.DUMMYFUNCTION("IFNA(REGEXEXTRACT(F41, ""\d{1,2}""),"""")"),"6")</f>
        <v>6</v>
      </c>
      <c r="P41" s="20" t="b">
        <f t="shared" si="3"/>
        <v>0</v>
      </c>
    </row>
    <row r="42">
      <c r="A42" s="9" t="s">
        <v>108</v>
      </c>
      <c r="B42" s="9" t="str">
        <f t="shared" si="1"/>
        <v>Ді.</v>
      </c>
      <c r="C42" s="10" t="s">
        <v>17</v>
      </c>
      <c r="D42" s="11" t="str">
        <f t="shared" si="2"/>
        <v>39</v>
      </c>
      <c r="E42" s="9"/>
      <c r="F42" s="21" t="s">
        <v>109</v>
      </c>
      <c r="G42" s="14"/>
      <c r="H42" s="22"/>
      <c r="I42" s="16" t="s">
        <v>24</v>
      </c>
      <c r="J42" s="23" t="s">
        <v>110</v>
      </c>
      <c r="K42" s="17"/>
      <c r="L42" s="16">
        <v>1.0</v>
      </c>
      <c r="M42" s="18">
        <f>IFNA( VLOOKUP(LEFT(F42, IFERROR(FIND(" ", F42, 1),1) - 1), lists!$A$31:$B$37, 2, FALSE),"")</f>
        <v>1</v>
      </c>
      <c r="N42" s="18" t="str">
        <f>IFERROR(__xludf.DUMMYFUNCTION("IFNA(VLOOKUP(IFNA(REGEXEXTRACT(F42, ""(Пасхи|50-ці|посту)""),""""),lists!$A$39:$B$41,2,FALSE),"""")"),"pascha")</f>
        <v>pascha</v>
      </c>
      <c r="O42" s="19" t="str">
        <f>IFERROR(__xludf.DUMMYFUNCTION("IFNA(REGEXEXTRACT(F42, ""\d{1,2}""),"""")"),"6")</f>
        <v>6</v>
      </c>
      <c r="P42" s="20" t="b">
        <f t="shared" si="3"/>
        <v>0</v>
      </c>
    </row>
    <row r="43">
      <c r="A43" s="9" t="s">
        <v>111</v>
      </c>
      <c r="B43" s="9" t="str">
        <f t="shared" si="1"/>
        <v>Ді.</v>
      </c>
      <c r="C43" s="10" t="s">
        <v>17</v>
      </c>
      <c r="D43" s="11" t="str">
        <f t="shared" si="2"/>
        <v>40</v>
      </c>
      <c r="E43" s="12" t="s">
        <v>18</v>
      </c>
      <c r="F43" s="21" t="s">
        <v>112</v>
      </c>
      <c r="G43" s="14"/>
      <c r="H43" s="22"/>
      <c r="I43" s="16" t="s">
        <v>24</v>
      </c>
      <c r="J43" s="23" t="s">
        <v>110</v>
      </c>
      <c r="K43" s="17"/>
      <c r="L43" s="16">
        <v>2.0</v>
      </c>
      <c r="M43" s="18">
        <f>IFNA( VLOOKUP(LEFT(F43, IFERROR(FIND(" ", F43, 1),1) - 1), lists!$A$31:$B$37, 2, FALSE),"")</f>
        <v>2</v>
      </c>
      <c r="N43" s="18" t="str">
        <f>IFERROR(__xludf.DUMMYFUNCTION("IFNA(VLOOKUP(IFNA(REGEXEXTRACT(F43, ""(Пасхи|50-ці|посту)""),""""),lists!$A$39:$B$41,2,FALSE),"""")"),"pascha")</f>
        <v>pascha</v>
      </c>
      <c r="O43" s="19" t="str">
        <f>IFERROR(__xludf.DUMMYFUNCTION("IFNA(REGEXEXTRACT(F43, ""\d{1,2}""),"""")"),"6")</f>
        <v>6</v>
      </c>
      <c r="P43" s="20" t="b">
        <f t="shared" si="3"/>
        <v>0</v>
      </c>
    </row>
    <row r="44">
      <c r="A44" s="12" t="s">
        <v>113</v>
      </c>
      <c r="B44" s="9" t="str">
        <f t="shared" si="1"/>
        <v>Ді.</v>
      </c>
      <c r="C44" s="10" t="s">
        <v>17</v>
      </c>
      <c r="D44" s="11" t="str">
        <f t="shared" si="2"/>
        <v>40</v>
      </c>
      <c r="E44" s="12" t="s">
        <v>22</v>
      </c>
      <c r="F44" s="21" t="s">
        <v>114</v>
      </c>
      <c r="G44" s="14"/>
      <c r="H44" s="15" t="s">
        <v>70</v>
      </c>
      <c r="I44" s="16" t="s">
        <v>71</v>
      </c>
      <c r="J44" s="23" t="s">
        <v>71</v>
      </c>
      <c r="K44" s="17"/>
      <c r="L44" s="16" t="s">
        <v>71</v>
      </c>
      <c r="M44" s="18" t="str">
        <f>IFNA( VLOOKUP(LEFT(F44, IFERROR(FIND(" ", F44, 1),1) - 1), lists!$A$31:$B$37, 2, FALSE),"")</f>
        <v/>
      </c>
      <c r="N44" s="18" t="str">
        <f>IFERROR(__xludf.DUMMYFUNCTION("IFNA(VLOOKUP(IFNA(REGEXEXTRACT(F44, ""(Пасхи|50-ці|посту)""),""""),lists!$A$39:$B$41,2,FALSE),"""")"),"")</f>
        <v/>
      </c>
      <c r="O44" s="19" t="str">
        <f>IFERROR(__xludf.DUMMYFUNCTION("IFNA(REGEXEXTRACT(F44, ""\d{1,2}""),"""")"),"")</f>
        <v/>
      </c>
      <c r="P44" s="20" t="b">
        <f t="shared" si="3"/>
        <v>0</v>
      </c>
    </row>
    <row r="45">
      <c r="A45" s="12" t="s">
        <v>115</v>
      </c>
      <c r="B45" s="9" t="str">
        <f t="shared" si="1"/>
        <v>Ді.</v>
      </c>
      <c r="C45" s="10" t="s">
        <v>17</v>
      </c>
      <c r="D45" s="11" t="str">
        <f t="shared" si="2"/>
        <v>40</v>
      </c>
      <c r="E45" s="12" t="s">
        <v>116</v>
      </c>
      <c r="F45" s="21" t="s">
        <v>117</v>
      </c>
      <c r="G45" s="14"/>
      <c r="H45" s="15" t="s">
        <v>70</v>
      </c>
      <c r="I45" s="16" t="s">
        <v>71</v>
      </c>
      <c r="J45" s="23" t="s">
        <v>71</v>
      </c>
      <c r="K45" s="17"/>
      <c r="L45" s="16" t="s">
        <v>71</v>
      </c>
      <c r="M45" s="18" t="str">
        <f>IFNA( VLOOKUP(LEFT(F45, IFERROR(FIND(" ", F45, 1),1) - 1), lists!$A$31:$B$37, 2, FALSE),"")</f>
        <v/>
      </c>
      <c r="N45" s="18" t="str">
        <f>IFERROR(__xludf.DUMMYFUNCTION("IFNA(VLOOKUP(IFNA(REGEXEXTRACT(F45, ""(Пасхи|50-ці|посту)""),""""),lists!$A$39:$B$41,2,FALSE),"""")"),"")</f>
        <v/>
      </c>
      <c r="O45" s="19" t="str">
        <f>IFERROR(__xludf.DUMMYFUNCTION("IFNA(REGEXEXTRACT(F45, ""\d{1,2}""),"""")"),"")</f>
        <v/>
      </c>
      <c r="P45" s="20" t="b">
        <f t="shared" si="3"/>
        <v>0</v>
      </c>
    </row>
    <row r="46">
      <c r="A46" s="9" t="s">
        <v>118</v>
      </c>
      <c r="B46" s="9" t="str">
        <f t="shared" si="1"/>
        <v>Ді.</v>
      </c>
      <c r="C46" s="10" t="s">
        <v>17</v>
      </c>
      <c r="D46" s="11" t="str">
        <f t="shared" si="2"/>
        <v>41</v>
      </c>
      <c r="E46" s="9"/>
      <c r="F46" s="21" t="s">
        <v>119</v>
      </c>
      <c r="G46" s="14"/>
      <c r="H46" s="22"/>
      <c r="I46" s="16" t="s">
        <v>24</v>
      </c>
      <c r="J46" s="23" t="s">
        <v>110</v>
      </c>
      <c r="K46" s="17"/>
      <c r="L46" s="16">
        <v>3.0</v>
      </c>
      <c r="M46" s="18">
        <f>IFNA( VLOOKUP(LEFT(F46, IFERROR(FIND(" ", F46, 1),1) - 1), lists!$A$31:$B$37, 2, FALSE),"")</f>
        <v>3</v>
      </c>
      <c r="N46" s="18" t="str">
        <f>IFERROR(__xludf.DUMMYFUNCTION("IFNA(VLOOKUP(IFNA(REGEXEXTRACT(F46, ""(Пасхи|50-ці|посту)""),""""),lists!$A$39:$B$41,2,FALSE),"""")"),"pascha")</f>
        <v>pascha</v>
      </c>
      <c r="O46" s="19" t="str">
        <f>IFERROR(__xludf.DUMMYFUNCTION("IFNA(REGEXEXTRACT(F46, ""\d{1,2}""),"""")"),"6")</f>
        <v>6</v>
      </c>
      <c r="P46" s="20" t="b">
        <f t="shared" si="3"/>
        <v>0</v>
      </c>
    </row>
    <row r="47">
      <c r="A47" s="9" t="s">
        <v>120</v>
      </c>
      <c r="B47" s="9" t="str">
        <f t="shared" si="1"/>
        <v>Ді.</v>
      </c>
      <c r="C47" s="10" t="s">
        <v>17</v>
      </c>
      <c r="D47" s="11" t="str">
        <f t="shared" si="2"/>
        <v>42</v>
      </c>
      <c r="E47" s="9"/>
      <c r="F47" s="21" t="s">
        <v>121</v>
      </c>
      <c r="G47" s="14"/>
      <c r="H47" s="15" t="s">
        <v>122</v>
      </c>
      <c r="I47" s="16" t="s">
        <v>24</v>
      </c>
      <c r="J47" s="23" t="s">
        <v>110</v>
      </c>
      <c r="K47" s="17"/>
      <c r="L47" s="16">
        <v>5.0</v>
      </c>
      <c r="M47" s="18">
        <f>IFNA( VLOOKUP(LEFT(F47, IFERROR(FIND(" ", F47, 1),1) - 1), lists!$A$31:$B$37, 2, FALSE),"")</f>
        <v>5</v>
      </c>
      <c r="N47" s="18" t="str">
        <f>IFERROR(__xludf.DUMMYFUNCTION("IFNA(VLOOKUP(IFNA(REGEXEXTRACT(F47, ""(Пасхи|50-ці|посту)""),""""),lists!$A$39:$B$41,2,FALSE),"""")"),"pascha")</f>
        <v>pascha</v>
      </c>
      <c r="O47" s="19" t="str">
        <f>IFERROR(__xludf.DUMMYFUNCTION("IFNA(REGEXEXTRACT(F47, ""\d{1,2}""),"""")"),"6")</f>
        <v>6</v>
      </c>
      <c r="P47" s="20" t="b">
        <f t="shared" si="3"/>
        <v>0</v>
      </c>
    </row>
    <row r="48">
      <c r="A48" s="9" t="s">
        <v>123</v>
      </c>
      <c r="B48" s="9" t="str">
        <f t="shared" si="1"/>
        <v>Ді.</v>
      </c>
      <c r="C48" s="10" t="s">
        <v>17</v>
      </c>
      <c r="D48" s="11" t="str">
        <f t="shared" si="2"/>
        <v>43</v>
      </c>
      <c r="E48" s="9"/>
      <c r="F48" s="21" t="s">
        <v>124</v>
      </c>
      <c r="G48" s="14"/>
      <c r="H48" s="22"/>
      <c r="I48" s="16" t="s">
        <v>24</v>
      </c>
      <c r="J48" s="23" t="s">
        <v>110</v>
      </c>
      <c r="K48" s="17"/>
      <c r="L48" s="16">
        <v>6.0</v>
      </c>
      <c r="M48" s="18">
        <f>IFNA( VLOOKUP(LEFT(F48, IFERROR(FIND(" ", F48, 1),1) - 1), lists!$A$31:$B$37, 2, FALSE),"")</f>
        <v>6</v>
      </c>
      <c r="N48" s="18" t="str">
        <f>IFERROR(__xludf.DUMMYFUNCTION("IFNA(VLOOKUP(IFNA(REGEXEXTRACT(F48, ""(Пасхи|50-ці|посту)""),""""),lists!$A$39:$B$41,2,FALSE),"""")"),"pascha")</f>
        <v>pascha</v>
      </c>
      <c r="O48" s="19" t="str">
        <f>IFERROR(__xludf.DUMMYFUNCTION("IFNA(REGEXEXTRACT(F48, ""\d{1,2}""),"""")"),"6")</f>
        <v>6</v>
      </c>
      <c r="P48" s="20" t="b">
        <f t="shared" si="3"/>
        <v>0</v>
      </c>
    </row>
    <row r="49">
      <c r="A49" s="9" t="s">
        <v>125</v>
      </c>
      <c r="B49" s="9" t="str">
        <f t="shared" si="1"/>
        <v>Ді.</v>
      </c>
      <c r="C49" s="10" t="s">
        <v>17</v>
      </c>
      <c r="D49" s="11" t="str">
        <f t="shared" si="2"/>
        <v>44</v>
      </c>
      <c r="E49" s="9"/>
      <c r="F49" s="21" t="s">
        <v>126</v>
      </c>
      <c r="G49" s="14"/>
      <c r="H49" s="22"/>
      <c r="I49" s="16" t="s">
        <v>24</v>
      </c>
      <c r="J49" s="23">
        <v>6.0</v>
      </c>
      <c r="K49" s="17"/>
      <c r="L49" s="16">
        <v>7.0</v>
      </c>
      <c r="M49" s="18">
        <f>IFNA( VLOOKUP(LEFT(F49, IFERROR(FIND(" ", F49, 1),1) - 1), lists!$A$31:$B$37, 2, FALSE),"")</f>
        <v>7</v>
      </c>
      <c r="N49" s="18" t="str">
        <f>IFERROR(__xludf.DUMMYFUNCTION("IFNA(VLOOKUP(IFNA(REGEXEXTRACT(F49, ""(Пасхи|50-ці|посту)""),""""),lists!$A$39:$B$41,2,FALSE),"""")"),"")</f>
        <v/>
      </c>
      <c r="O49" s="19" t="str">
        <f>IFERROR(__xludf.DUMMYFUNCTION("IFNA(REGEXEXTRACT(F49, ""\d{1,2}""),"""")"),"7")</f>
        <v>7</v>
      </c>
      <c r="P49" s="20" t="b">
        <f t="shared" si="3"/>
        <v>0</v>
      </c>
    </row>
    <row r="50">
      <c r="A50" s="9" t="s">
        <v>127</v>
      </c>
      <c r="B50" s="9" t="str">
        <f t="shared" si="1"/>
        <v>Ді.</v>
      </c>
      <c r="C50" s="10" t="s">
        <v>17</v>
      </c>
      <c r="D50" s="11" t="str">
        <f t="shared" si="2"/>
        <v>45</v>
      </c>
      <c r="E50" s="9"/>
      <c r="F50" s="21" t="s">
        <v>128</v>
      </c>
      <c r="G50" s="14"/>
      <c r="H50" s="22"/>
      <c r="I50" s="16" t="s">
        <v>24</v>
      </c>
      <c r="J50" s="23" t="s">
        <v>129</v>
      </c>
      <c r="K50" s="17"/>
      <c r="L50" s="16">
        <v>1.0</v>
      </c>
      <c r="M50" s="18">
        <f>IFNA( VLOOKUP(LEFT(F50, IFERROR(FIND(" ", F50, 1),1) - 1), lists!$A$31:$B$37, 2, FALSE),"")</f>
        <v>1</v>
      </c>
      <c r="N50" s="18" t="str">
        <f>IFERROR(__xludf.DUMMYFUNCTION("IFNA(VLOOKUP(IFNA(REGEXEXTRACT(F50, ""(Пасхи|50-ці|посту)""),""""),lists!$A$39:$B$41,2,FALSE),"""")"),"pascha")</f>
        <v>pascha</v>
      </c>
      <c r="O50" s="19" t="str">
        <f>IFERROR(__xludf.DUMMYFUNCTION("IFNA(REGEXEXTRACT(F50, ""\d{1,2}""),"""")"),"7")</f>
        <v>7</v>
      </c>
      <c r="P50" s="20" t="b">
        <f t="shared" si="3"/>
        <v>0</v>
      </c>
    </row>
    <row r="51">
      <c r="A51" s="9" t="s">
        <v>130</v>
      </c>
      <c r="B51" s="9" t="str">
        <f t="shared" si="1"/>
        <v>Ді.</v>
      </c>
      <c r="C51" s="10" t="s">
        <v>17</v>
      </c>
      <c r="D51" s="11" t="str">
        <f t="shared" si="2"/>
        <v>46</v>
      </c>
      <c r="E51" s="9"/>
      <c r="F51" s="25" t="s">
        <v>131</v>
      </c>
      <c r="G51" s="14"/>
      <c r="H51" s="22"/>
      <c r="I51" s="16" t="s">
        <v>24</v>
      </c>
      <c r="J51" s="23" t="s">
        <v>129</v>
      </c>
      <c r="K51" s="17"/>
      <c r="L51" s="16">
        <v>2.0</v>
      </c>
      <c r="M51" s="18">
        <f>IFNA( VLOOKUP(LEFT(F51, IFERROR(FIND(" ", F51, 1),1) - 1), lists!$A$31:$B$37, 2, FALSE),"")</f>
        <v>2</v>
      </c>
      <c r="N51" s="18" t="str">
        <f>IFERROR(__xludf.DUMMYFUNCTION("IFNA(VLOOKUP(IFNA(REGEXEXTRACT(F51, ""(Пасхи|50-ці|посту)""),""""),lists!$A$39:$B$41,2,FALSE),"""")"),"pascha")</f>
        <v>pascha</v>
      </c>
      <c r="O51" s="19" t="str">
        <f>IFERROR(__xludf.DUMMYFUNCTION("IFNA(REGEXEXTRACT(F51, ""\d{1,2}""),"""")"),"7")</f>
        <v>7</v>
      </c>
      <c r="P51" s="20" t="b">
        <f t="shared" si="3"/>
        <v>0</v>
      </c>
    </row>
    <row r="52">
      <c r="A52" s="9" t="s">
        <v>132</v>
      </c>
      <c r="B52" s="9" t="str">
        <f t="shared" si="1"/>
        <v>Ді.</v>
      </c>
      <c r="C52" s="10" t="s">
        <v>17</v>
      </c>
      <c r="D52" s="11" t="str">
        <f t="shared" si="2"/>
        <v>47</v>
      </c>
      <c r="E52" s="9"/>
      <c r="F52" s="25" t="s">
        <v>133</v>
      </c>
      <c r="G52" s="14"/>
      <c r="H52" s="22"/>
      <c r="I52" s="16" t="s">
        <v>24</v>
      </c>
      <c r="J52" s="23" t="s">
        <v>129</v>
      </c>
      <c r="K52" s="17"/>
      <c r="L52" s="16">
        <v>3.0</v>
      </c>
      <c r="M52" s="18">
        <f>IFNA( VLOOKUP(LEFT(F52, IFERROR(FIND(" ", F52, 1),1) - 1), lists!$A$31:$B$37, 2, FALSE),"")</f>
        <v>3</v>
      </c>
      <c r="N52" s="18" t="str">
        <f>IFERROR(__xludf.DUMMYFUNCTION("IFNA(VLOOKUP(IFNA(REGEXEXTRACT(F52, ""(Пасхи|50-ці|посту)""),""""),lists!$A$39:$B$41,2,FALSE),"""")"),"pascha")</f>
        <v>pascha</v>
      </c>
      <c r="O52" s="19" t="str">
        <f>IFERROR(__xludf.DUMMYFUNCTION("IFNA(REGEXEXTRACT(F52, ""\d{1,2}""),"""")"),"7")</f>
        <v>7</v>
      </c>
      <c r="P52" s="20" t="b">
        <f t="shared" si="3"/>
        <v>0</v>
      </c>
    </row>
    <row r="53">
      <c r="A53" s="9" t="s">
        <v>134</v>
      </c>
      <c r="B53" s="9" t="str">
        <f t="shared" si="1"/>
        <v>Ді.</v>
      </c>
      <c r="C53" s="10" t="s">
        <v>17</v>
      </c>
      <c r="D53" s="11" t="str">
        <f t="shared" si="2"/>
        <v>48</v>
      </c>
      <c r="E53" s="9"/>
      <c r="F53" s="25" t="s">
        <v>135</v>
      </c>
      <c r="G53" s="14"/>
      <c r="H53" s="22"/>
      <c r="I53" s="16" t="s">
        <v>24</v>
      </c>
      <c r="J53" s="23" t="s">
        <v>129</v>
      </c>
      <c r="K53" s="17"/>
      <c r="L53" s="16">
        <v>4.0</v>
      </c>
      <c r="M53" s="18">
        <f>IFNA( VLOOKUP(LEFT(F53, IFERROR(FIND(" ", F53, 1),1) - 1), lists!$A$31:$B$37, 2, FALSE),"")</f>
        <v>4</v>
      </c>
      <c r="N53" s="18" t="str">
        <f>IFERROR(__xludf.DUMMYFUNCTION("IFNA(VLOOKUP(IFNA(REGEXEXTRACT(F53, ""(Пасхи|50-ці|посту)""),""""),lists!$A$39:$B$41,2,FALSE),"""")"),"pascha")</f>
        <v>pascha</v>
      </c>
      <c r="O53" s="19" t="str">
        <f>IFERROR(__xludf.DUMMYFUNCTION("IFNA(REGEXEXTRACT(F53, ""\d{1,2}""),"""")"),"7")</f>
        <v>7</v>
      </c>
      <c r="P53" s="20" t="b">
        <f t="shared" si="3"/>
        <v>0</v>
      </c>
    </row>
    <row r="54">
      <c r="A54" s="9" t="s">
        <v>136</v>
      </c>
      <c r="B54" s="9" t="str">
        <f t="shared" si="1"/>
        <v>Ді.</v>
      </c>
      <c r="C54" s="10" t="s">
        <v>17</v>
      </c>
      <c r="D54" s="11" t="str">
        <f t="shared" si="2"/>
        <v>49</v>
      </c>
      <c r="E54" s="9"/>
      <c r="F54" s="21" t="s">
        <v>137</v>
      </c>
      <c r="G54" s="14"/>
      <c r="H54" s="15" t="s">
        <v>70</v>
      </c>
      <c r="I54" s="16" t="s">
        <v>71</v>
      </c>
      <c r="J54" s="23" t="s">
        <v>138</v>
      </c>
      <c r="K54" s="17"/>
      <c r="L54" s="16" t="s">
        <v>71</v>
      </c>
      <c r="M54" s="18" t="str">
        <f>IFNA( VLOOKUP(LEFT(F54, IFERROR(FIND(" ", F54, 1),1) - 1), lists!$A$31:$B$37, 2, FALSE),"")</f>
        <v/>
      </c>
      <c r="N54" s="18" t="str">
        <f>IFERROR(__xludf.DUMMYFUNCTION("IFNA(VLOOKUP(IFNA(REGEXEXTRACT(F54, ""(Пасхи|50-ці|посту)""),""""),lists!$A$39:$B$41,2,FALSE),"""")"),"")</f>
        <v/>
      </c>
      <c r="O54" s="19" t="str">
        <f>IFERROR(__xludf.DUMMYFUNCTION("IFNA(REGEXEXTRACT(F54, ""\d{1,2}""),"""")"),"21")</f>
        <v>21</v>
      </c>
      <c r="P54" s="20" t="b">
        <f t="shared" si="3"/>
        <v>0</v>
      </c>
    </row>
    <row r="55">
      <c r="A55" s="9" t="s">
        <v>139</v>
      </c>
      <c r="B55" s="9" t="str">
        <f t="shared" si="1"/>
        <v>Ді.</v>
      </c>
      <c r="C55" s="10" t="s">
        <v>17</v>
      </c>
      <c r="D55" s="11" t="str">
        <f t="shared" si="2"/>
        <v>50</v>
      </c>
      <c r="E55" s="12" t="s">
        <v>18</v>
      </c>
      <c r="F55" s="21" t="s">
        <v>140</v>
      </c>
      <c r="G55" s="14"/>
      <c r="H55" s="22"/>
      <c r="I55" s="16" t="s">
        <v>24</v>
      </c>
      <c r="J55" s="23" t="s">
        <v>129</v>
      </c>
      <c r="K55" s="17"/>
      <c r="L55" s="16">
        <v>5.0</v>
      </c>
      <c r="M55" s="18">
        <f>IFNA( VLOOKUP(LEFT(F55, IFERROR(FIND(" ", F55, 1),1) - 1), lists!$A$31:$B$37, 2, FALSE),"")</f>
        <v>5</v>
      </c>
      <c r="N55" s="18" t="str">
        <f>IFERROR(__xludf.DUMMYFUNCTION("IFNA(VLOOKUP(IFNA(REGEXEXTRACT(F55, ""(Пасхи|50-ці|посту)""),""""),lists!$A$39:$B$41,2,FALSE),"""")"),"pascha")</f>
        <v>pascha</v>
      </c>
      <c r="O55" s="19" t="str">
        <f>IFERROR(__xludf.DUMMYFUNCTION("IFNA(REGEXEXTRACT(F55, ""\d{1,2}""),"""")"),"7")</f>
        <v>7</v>
      </c>
      <c r="P55" s="20" t="b">
        <f t="shared" si="3"/>
        <v>0</v>
      </c>
    </row>
    <row r="56">
      <c r="A56" s="9" t="s">
        <v>141</v>
      </c>
      <c r="B56" s="9" t="str">
        <f t="shared" si="1"/>
        <v>Як.</v>
      </c>
      <c r="C56" s="10" t="s">
        <v>17</v>
      </c>
      <c r="D56" s="11" t="str">
        <f t="shared" si="2"/>
        <v>50</v>
      </c>
      <c r="E56" s="12" t="s">
        <v>22</v>
      </c>
      <c r="F56" s="21" t="s">
        <v>142</v>
      </c>
      <c r="G56" s="14"/>
      <c r="H56" s="22"/>
      <c r="I56" s="16" t="s">
        <v>29</v>
      </c>
      <c r="J56" s="23" t="s">
        <v>143</v>
      </c>
      <c r="K56" s="17"/>
      <c r="L56" s="16">
        <v>3.0</v>
      </c>
      <c r="M56" s="18">
        <f>IFNA( VLOOKUP(LEFT(F56, IFERROR(FIND(" ", F56, 1),1) - 1), lists!$A$31:$B$37, 2, FALSE),"")</f>
        <v>3</v>
      </c>
      <c r="N56" s="18" t="str">
        <f>IFERROR(__xludf.DUMMYFUNCTION("IFNA(VLOOKUP(IFNA(REGEXEXTRACT(F56, ""(Пасхи|50-ці|посту)""),""""),lists!$A$39:$B$41,2,FALSE),"""")"),"pentecost")</f>
        <v>pentecost</v>
      </c>
      <c r="O56" s="19" t="str">
        <f>IFERROR(__xludf.DUMMYFUNCTION("IFNA(REGEXEXTRACT(F56, ""\d{1,2}""),"""")"),"31")</f>
        <v>31</v>
      </c>
      <c r="P56" s="20" t="b">
        <f t="shared" si="3"/>
        <v>0</v>
      </c>
    </row>
    <row r="57">
      <c r="A57" s="24" t="s">
        <v>144</v>
      </c>
      <c r="B57" s="9" t="str">
        <f t="shared" si="1"/>
        <v>Ді.</v>
      </c>
      <c r="C57" s="10" t="s">
        <v>17</v>
      </c>
      <c r="D57" s="11" t="str">
        <f t="shared" si="2"/>
        <v>51</v>
      </c>
      <c r="E57" s="12" t="s">
        <v>18</v>
      </c>
      <c r="F57" s="21" t="s">
        <v>145</v>
      </c>
      <c r="G57" s="14"/>
      <c r="H57" s="22"/>
      <c r="I57" s="16" t="s">
        <v>24</v>
      </c>
      <c r="J57" s="23" t="s">
        <v>129</v>
      </c>
      <c r="K57" s="17"/>
      <c r="L57" s="16">
        <v>6.0</v>
      </c>
      <c r="M57" s="18">
        <f>IFNA( VLOOKUP(LEFT(F57, IFERROR(FIND(" ", F57, 1),1) - 1), lists!$A$31:$B$37, 2, FALSE),"")</f>
        <v>6</v>
      </c>
      <c r="N57" s="18" t="str">
        <f>IFERROR(__xludf.DUMMYFUNCTION("IFNA(VLOOKUP(IFNA(REGEXEXTRACT(F57, ""(Пасхи|50-ці|посту)""),""""),lists!$A$39:$B$41,2,FALSE),"""")"),"pascha")</f>
        <v>pascha</v>
      </c>
      <c r="O57" s="19" t="str">
        <f>IFERROR(__xludf.DUMMYFUNCTION("IFNA(REGEXEXTRACT(F57, ""\d{1,2}""),"""")"),"7")</f>
        <v>7</v>
      </c>
      <c r="P57" s="20" t="b">
        <f t="shared" si="3"/>
        <v>0</v>
      </c>
    </row>
    <row r="58">
      <c r="A58" s="9" t="s">
        <v>146</v>
      </c>
      <c r="B58" s="9" t="str">
        <f t="shared" si="1"/>
        <v>Як.</v>
      </c>
      <c r="C58" s="10" t="s">
        <v>17</v>
      </c>
      <c r="D58" s="11" t="str">
        <f t="shared" si="2"/>
        <v>51</v>
      </c>
      <c r="E58" s="12" t="s">
        <v>22</v>
      </c>
      <c r="F58" s="21" t="s">
        <v>147</v>
      </c>
      <c r="G58" s="14"/>
      <c r="H58" s="22"/>
      <c r="I58" s="16" t="s">
        <v>29</v>
      </c>
      <c r="J58" s="23" t="s">
        <v>143</v>
      </c>
      <c r="K58" s="17"/>
      <c r="L58" s="16">
        <v>4.0</v>
      </c>
      <c r="M58" s="18">
        <f>IFNA( VLOOKUP(LEFT(F58, IFERROR(FIND(" ", F58, 1),1) - 1), lists!$A$31:$B$37, 2, FALSE),"")</f>
        <v>4</v>
      </c>
      <c r="N58" s="18" t="str">
        <f>IFERROR(__xludf.DUMMYFUNCTION("IFNA(VLOOKUP(IFNA(REGEXEXTRACT(F58, ""(Пасхи|50-ці|посту)""),""""),lists!$A$39:$B$41,2,FALSE),"""")"),"pentecost")</f>
        <v>pentecost</v>
      </c>
      <c r="O58" s="19" t="str">
        <f>IFERROR(__xludf.DUMMYFUNCTION("IFNA(REGEXEXTRACT(F58, ""\d{1,2}""),"""")"),"31")</f>
        <v>31</v>
      </c>
      <c r="P58" s="20" t="b">
        <f t="shared" si="3"/>
        <v>0</v>
      </c>
    </row>
    <row r="59">
      <c r="A59" s="9" t="s">
        <v>148</v>
      </c>
      <c r="B59" s="9" t="str">
        <f t="shared" si="1"/>
        <v>Як.</v>
      </c>
      <c r="C59" s="10" t="s">
        <v>17</v>
      </c>
      <c r="D59" s="11" t="str">
        <f t="shared" si="2"/>
        <v>52</v>
      </c>
      <c r="E59" s="9"/>
      <c r="F59" s="21" t="s">
        <v>149</v>
      </c>
      <c r="G59" s="14"/>
      <c r="H59" s="22"/>
      <c r="I59" s="16" t="s">
        <v>29</v>
      </c>
      <c r="J59" s="23" t="s">
        <v>143</v>
      </c>
      <c r="K59" s="17"/>
      <c r="L59" s="16">
        <v>5.0</v>
      </c>
      <c r="M59" s="18">
        <f>IFNA( VLOOKUP(LEFT(F59, IFERROR(FIND(" ", F59, 1),1) - 1), lists!$A$31:$B$37, 2, FALSE),"")</f>
        <v>5</v>
      </c>
      <c r="N59" s="18" t="str">
        <f>IFERROR(__xludf.DUMMYFUNCTION("IFNA(VLOOKUP(IFNA(REGEXEXTRACT(F59, ""(Пасхи|50-ці|посту)""),""""),lists!$A$39:$B$41,2,FALSE),"""")"),"pentecost")</f>
        <v>pentecost</v>
      </c>
      <c r="O59" s="19" t="str">
        <f>IFERROR(__xludf.DUMMYFUNCTION("IFNA(REGEXEXTRACT(F59, ""\d{1,2}""),"""")"),"31")</f>
        <v>31</v>
      </c>
      <c r="P59" s="20" t="b">
        <f t="shared" si="3"/>
        <v>0</v>
      </c>
    </row>
    <row r="60">
      <c r="A60" s="9" t="s">
        <v>150</v>
      </c>
      <c r="B60" s="9" t="str">
        <f t="shared" si="1"/>
        <v>Як.</v>
      </c>
      <c r="C60" s="10" t="s">
        <v>17</v>
      </c>
      <c r="D60" s="11" t="str">
        <f t="shared" si="2"/>
        <v>53</v>
      </c>
      <c r="E60" s="9"/>
      <c r="F60" s="21" t="s">
        <v>151</v>
      </c>
      <c r="G60" s="14"/>
      <c r="H60" s="22"/>
      <c r="I60" s="16" t="s">
        <v>29</v>
      </c>
      <c r="J60" s="23" t="s">
        <v>152</v>
      </c>
      <c r="K60" s="17"/>
      <c r="L60" s="16">
        <v>1.0</v>
      </c>
      <c r="M60" s="18">
        <f>IFNA( VLOOKUP(LEFT(F60, IFERROR(FIND(" ", F60, 1),1) - 1), lists!$A$31:$B$37, 2, FALSE),"")</f>
        <v>1</v>
      </c>
      <c r="N60" s="18" t="str">
        <f>IFERROR(__xludf.DUMMYFUNCTION("IFNA(VLOOKUP(IFNA(REGEXEXTRACT(F60, ""(Пасхи|50-ці|посту)""),""""),lists!$A$39:$B$41,2,FALSE),"""")"),"pentecost")</f>
        <v>pentecost</v>
      </c>
      <c r="O60" s="19" t="str">
        <f>IFERROR(__xludf.DUMMYFUNCTION("IFNA(REGEXEXTRACT(F60, ""\d{1,2}""),"""")"),"32")</f>
        <v>32</v>
      </c>
      <c r="P60" s="20" t="b">
        <f t="shared" si="3"/>
        <v>0</v>
      </c>
    </row>
    <row r="61">
      <c r="A61" s="9" t="s">
        <v>153</v>
      </c>
      <c r="B61" s="9" t="str">
        <f t="shared" si="1"/>
        <v>Як.</v>
      </c>
      <c r="C61" s="10" t="s">
        <v>17</v>
      </c>
      <c r="D61" s="11" t="str">
        <f t="shared" si="2"/>
        <v>54</v>
      </c>
      <c r="E61" s="9"/>
      <c r="F61" s="21" t="s">
        <v>154</v>
      </c>
      <c r="G61" s="14"/>
      <c r="H61" s="22"/>
      <c r="I61" s="16" t="s">
        <v>29</v>
      </c>
      <c r="J61" s="23" t="s">
        <v>152</v>
      </c>
      <c r="K61" s="17"/>
      <c r="L61" s="16">
        <v>2.0</v>
      </c>
      <c r="M61" s="18">
        <f>IFNA( VLOOKUP(LEFT(F61, IFERROR(FIND(" ", F61, 1),1) - 1), lists!$A$31:$B$37, 2, FALSE),"")</f>
        <v>2</v>
      </c>
      <c r="N61" s="18" t="str">
        <f>IFERROR(__xludf.DUMMYFUNCTION("IFNA(VLOOKUP(IFNA(REGEXEXTRACT(F61, ""(Пасхи|50-ці|посту)""),""""),lists!$A$39:$B$41,2,FALSE),"""")"),"pentecost")</f>
        <v>pentecost</v>
      </c>
      <c r="O61" s="19" t="str">
        <f>IFERROR(__xludf.DUMMYFUNCTION("IFNA(REGEXEXTRACT(F61, ""\d{1,2}""),"""")"),"32")</f>
        <v>32</v>
      </c>
      <c r="P61" s="20" t="b">
        <f t="shared" si="3"/>
        <v>0</v>
      </c>
    </row>
    <row r="62">
      <c r="A62" s="9" t="s">
        <v>155</v>
      </c>
      <c r="B62" s="9" t="str">
        <f t="shared" si="1"/>
        <v>Як.</v>
      </c>
      <c r="C62" s="10" t="s">
        <v>17</v>
      </c>
      <c r="D62" s="11" t="str">
        <f t="shared" si="2"/>
        <v>55</v>
      </c>
      <c r="E62" s="9"/>
      <c r="F62" s="21" t="s">
        <v>156</v>
      </c>
      <c r="G62" s="14"/>
      <c r="H62" s="22"/>
      <c r="I62" s="16" t="s">
        <v>29</v>
      </c>
      <c r="J62" s="23" t="s">
        <v>152</v>
      </c>
      <c r="K62" s="17"/>
      <c r="L62" s="16">
        <v>3.0</v>
      </c>
      <c r="M62" s="18">
        <f>IFNA( VLOOKUP(LEFT(F62, IFERROR(FIND(" ", F62, 1),1) - 1), lists!$A$31:$B$37, 2, FALSE),"")</f>
        <v>3</v>
      </c>
      <c r="N62" s="18" t="str">
        <f>IFERROR(__xludf.DUMMYFUNCTION("IFNA(VLOOKUP(IFNA(REGEXEXTRACT(F62, ""(Пасхи|50-ці|посту)""),""""),lists!$A$39:$B$41,2,FALSE),"""")"),"pentecost")</f>
        <v>pentecost</v>
      </c>
      <c r="O62" s="19" t="str">
        <f>IFERROR(__xludf.DUMMYFUNCTION("IFNA(REGEXEXTRACT(F62, ""\d{1,2}""),"""")"),"32")</f>
        <v>32</v>
      </c>
      <c r="P62" s="20" t="b">
        <f t="shared" si="3"/>
        <v>0</v>
      </c>
    </row>
    <row r="63">
      <c r="A63" s="9" t="s">
        <v>157</v>
      </c>
      <c r="B63" s="9" t="str">
        <f t="shared" si="1"/>
        <v>Як.</v>
      </c>
      <c r="C63" s="10" t="s">
        <v>17</v>
      </c>
      <c r="D63" s="11" t="str">
        <f t="shared" si="2"/>
        <v>56</v>
      </c>
      <c r="E63" s="9"/>
      <c r="F63" s="21" t="s">
        <v>158</v>
      </c>
      <c r="G63" s="14"/>
      <c r="H63" s="22"/>
      <c r="I63" s="16" t="s">
        <v>29</v>
      </c>
      <c r="J63" s="23" t="s">
        <v>152</v>
      </c>
      <c r="K63" s="17"/>
      <c r="L63" s="16">
        <v>4.0</v>
      </c>
      <c r="M63" s="18">
        <f>IFNA( VLOOKUP(LEFT(F63, IFERROR(FIND(" ", F63, 1),1) - 1), lists!$A$31:$B$37, 2, FALSE),"")</f>
        <v>4</v>
      </c>
      <c r="N63" s="18" t="str">
        <f>IFERROR(__xludf.DUMMYFUNCTION("IFNA(VLOOKUP(IFNA(REGEXEXTRACT(F63, ""(Пасхи|50-ці|посту)""),""""),lists!$A$39:$B$41,2,FALSE),"""")"),"pentecost")</f>
        <v>pentecost</v>
      </c>
      <c r="O63" s="19" t="str">
        <f>IFERROR(__xludf.DUMMYFUNCTION("IFNA(REGEXEXTRACT(F63, ""\d{1,2}""),"""")"),"32")</f>
        <v>32</v>
      </c>
      <c r="P63" s="20" t="b">
        <f t="shared" si="3"/>
        <v>0</v>
      </c>
    </row>
    <row r="64">
      <c r="A64" s="9" t="s">
        <v>159</v>
      </c>
      <c r="B64" s="9" t="str">
        <f t="shared" si="1"/>
        <v>Як.</v>
      </c>
      <c r="C64" s="10" t="s">
        <v>17</v>
      </c>
      <c r="D64" s="11" t="str">
        <f t="shared" si="2"/>
        <v>57</v>
      </c>
      <c r="E64" s="9"/>
      <c r="F64" s="21" t="s">
        <v>160</v>
      </c>
      <c r="G64" s="14"/>
      <c r="H64" s="15" t="s">
        <v>70</v>
      </c>
      <c r="I64" s="16" t="s">
        <v>71</v>
      </c>
      <c r="J64" s="23" t="s">
        <v>161</v>
      </c>
      <c r="K64" s="17"/>
      <c r="L64" s="16" t="s">
        <v>71</v>
      </c>
      <c r="M64" s="18" t="str">
        <f>IFNA( VLOOKUP(LEFT(F64, IFERROR(FIND(" ", F64, 1),1) - 1), lists!$A$31:$B$37, 2, FALSE),"")</f>
        <v/>
      </c>
      <c r="N64" s="18" t="str">
        <f>IFERROR(__xludf.DUMMYFUNCTION("IFNA(VLOOKUP(IFNA(REGEXEXTRACT(F64, ""(Пасхи|50-ці|посту)""),""""),lists!$A$39:$B$41,2,FALSE),"""")"),"")</f>
        <v/>
      </c>
      <c r="O64" s="19" t="str">
        <f>IFERROR(__xludf.DUMMYFUNCTION("IFNA(REGEXEXTRACT(F64, ""\d{1,2}""),"""")"),"20")</f>
        <v>20</v>
      </c>
      <c r="P64" s="20" t="b">
        <f t="shared" si="3"/>
        <v>0</v>
      </c>
    </row>
    <row r="65">
      <c r="A65" s="24" t="s">
        <v>162</v>
      </c>
      <c r="B65" s="9" t="str">
        <f t="shared" si="1"/>
        <v>1 Пт.</v>
      </c>
      <c r="C65" s="10" t="s">
        <v>17</v>
      </c>
      <c r="D65" s="11" t="str">
        <f t="shared" si="2"/>
        <v>58</v>
      </c>
      <c r="E65" s="26" t="s">
        <v>18</v>
      </c>
      <c r="F65" s="13" t="s">
        <v>163</v>
      </c>
      <c r="G65" s="14"/>
      <c r="H65" s="22"/>
      <c r="I65" s="16" t="s">
        <v>29</v>
      </c>
      <c r="J65" s="23" t="s">
        <v>152</v>
      </c>
      <c r="K65" s="17"/>
      <c r="L65" s="16">
        <v>5.0</v>
      </c>
      <c r="M65" s="18">
        <f>IFNA( VLOOKUP(LEFT(F65, IFERROR(FIND(" ", F65, 1),1) - 1), lists!$A$31:$B$37, 2, FALSE),"")</f>
        <v>5</v>
      </c>
      <c r="N65" s="18" t="str">
        <f>IFERROR(__xludf.DUMMYFUNCTION("IFNA(VLOOKUP(IFNA(REGEXEXTRACT(F65, ""(Пасхи|50-ці|посту)""),""""),lists!$A$39:$B$41,2,FALSE),"""")"),"pentecost")</f>
        <v>pentecost</v>
      </c>
      <c r="O65" s="19" t="str">
        <f>IFERROR(__xludf.DUMMYFUNCTION("IFNA(REGEXEXTRACT(F65, ""\d{1,2}""),"""")"),"32")</f>
        <v>32</v>
      </c>
      <c r="P65" s="20" t="b">
        <f t="shared" si="3"/>
        <v>0</v>
      </c>
    </row>
    <row r="66">
      <c r="A66" s="9" t="s">
        <v>164</v>
      </c>
      <c r="B66" s="9" t="str">
        <f t="shared" si="1"/>
        <v>1 Пт.</v>
      </c>
      <c r="C66" s="10" t="s">
        <v>17</v>
      </c>
      <c r="D66" s="11" t="str">
        <f t="shared" si="2"/>
        <v>58</v>
      </c>
      <c r="E66" s="26" t="s">
        <v>22</v>
      </c>
      <c r="F66" s="21" t="s">
        <v>165</v>
      </c>
      <c r="G66" s="14"/>
      <c r="H66" s="15" t="s">
        <v>70</v>
      </c>
      <c r="I66" s="16" t="s">
        <v>71</v>
      </c>
      <c r="J66" s="23" t="s">
        <v>166</v>
      </c>
      <c r="K66" s="17"/>
      <c r="L66" s="16" t="s">
        <v>71</v>
      </c>
      <c r="M66" s="18" t="str">
        <f>IFNA( VLOOKUP(LEFT(F66, IFERROR(FIND(" ", F66, 1),1) - 1), lists!$A$31:$B$37, 2, FALSE),"")</f>
        <v/>
      </c>
      <c r="N66" s="18" t="str">
        <f>IFERROR(__xludf.DUMMYFUNCTION("IFNA(VLOOKUP(IFNA(REGEXEXTRACT(F66, ""(Пасхи|50-ці|посту)""),""""),lists!$A$39:$B$41,2,FALSE),"""")"),"")</f>
        <v/>
      </c>
      <c r="O66" s="19" t="str">
        <f>IFERROR(__xludf.DUMMYFUNCTION("IFNA(REGEXEXTRACT(F66, ""\d{1,2}""),"""")"),"1")</f>
        <v>1</v>
      </c>
      <c r="P66" s="20" t="b">
        <f t="shared" si="3"/>
        <v>0</v>
      </c>
    </row>
    <row r="67">
      <c r="A67" s="12" t="s">
        <v>167</v>
      </c>
      <c r="B67" s="9" t="str">
        <f t="shared" si="1"/>
        <v>1 Пт.</v>
      </c>
      <c r="C67" s="10" t="s">
        <v>17</v>
      </c>
      <c r="D67" s="11" t="str">
        <f t="shared" si="2"/>
        <v>58</v>
      </c>
      <c r="E67" s="26" t="s">
        <v>116</v>
      </c>
      <c r="F67" s="21" t="s">
        <v>168</v>
      </c>
      <c r="G67" s="14"/>
      <c r="H67" s="15" t="s">
        <v>70</v>
      </c>
      <c r="I67" s="16" t="s">
        <v>71</v>
      </c>
      <c r="J67" s="23" t="s">
        <v>54</v>
      </c>
      <c r="K67" s="17"/>
      <c r="L67" s="16" t="s">
        <v>71</v>
      </c>
      <c r="M67" s="18" t="str">
        <f>IFNA( VLOOKUP(LEFT(F67, IFERROR(FIND(" ", F67, 1),1) - 1), lists!$A$31:$B$37, 2, FALSE),"")</f>
        <v/>
      </c>
      <c r="N67" s="18" t="str">
        <f>IFERROR(__xludf.DUMMYFUNCTION("IFNA(VLOOKUP(IFNA(REGEXEXTRACT(F67, ""(Пасхи|50-ці|посту)""),""""),lists!$A$39:$B$41,2,FALSE),"""")"),"")</f>
        <v/>
      </c>
      <c r="O67" s="19" t="str">
        <f>IFERROR(__xludf.DUMMYFUNCTION("IFNA(REGEXEXTRACT(F67, ""\d{1,2}""),"""")"),"2")</f>
        <v>2</v>
      </c>
      <c r="P67" s="20" t="b">
        <f t="shared" si="3"/>
        <v>0</v>
      </c>
    </row>
    <row r="68">
      <c r="A68" s="12" t="s">
        <v>169</v>
      </c>
      <c r="B68" s="9" t="str">
        <f t="shared" si="1"/>
        <v>1 Пт.</v>
      </c>
      <c r="C68" s="10" t="s">
        <v>17</v>
      </c>
      <c r="D68" s="11" t="str">
        <f t="shared" si="2"/>
        <v>58</v>
      </c>
      <c r="E68" s="26" t="s">
        <v>170</v>
      </c>
      <c r="F68" s="27" t="s">
        <v>171</v>
      </c>
      <c r="G68" s="14"/>
      <c r="H68" s="15" t="s">
        <v>70</v>
      </c>
      <c r="I68" s="16" t="s">
        <v>71</v>
      </c>
      <c r="J68" s="23" t="s">
        <v>57</v>
      </c>
      <c r="K68" s="17"/>
      <c r="L68" s="16" t="s">
        <v>71</v>
      </c>
      <c r="M68" s="18" t="str">
        <f>IFNA( VLOOKUP(LEFT(F68, IFERROR(FIND(" ", F68, 1),1) - 1), lists!$A$31:$B$37, 2, FALSE),"")</f>
        <v/>
      </c>
      <c r="N68" s="18" t="str">
        <f>IFERROR(__xludf.DUMMYFUNCTION("IFNA(VLOOKUP(IFNA(REGEXEXTRACT(F68, ""(Пасхи|50-ці|посту)""),""""),lists!$A$39:$B$41,2,FALSE),"""")"),"")</f>
        <v/>
      </c>
      <c r="O68" s="19" t="str">
        <f>IFERROR(__xludf.DUMMYFUNCTION("IFNA(REGEXEXTRACT(F68, ""\d{1,2}""),"""")"),"3")</f>
        <v>3</v>
      </c>
      <c r="P68" s="20" t="b">
        <f t="shared" si="3"/>
        <v>0</v>
      </c>
    </row>
    <row r="69">
      <c r="A69" s="9" t="s">
        <v>172</v>
      </c>
      <c r="B69" s="9" t="str">
        <f t="shared" si="1"/>
        <v>1 Пт.</v>
      </c>
      <c r="C69" s="10" t="s">
        <v>17</v>
      </c>
      <c r="D69" s="11" t="str">
        <f t="shared" si="2"/>
        <v>59</v>
      </c>
      <c r="E69" s="9"/>
      <c r="F69" s="27" t="s">
        <v>173</v>
      </c>
      <c r="G69" s="14"/>
      <c r="H69" s="22"/>
      <c r="I69" s="16" t="s">
        <v>29</v>
      </c>
      <c r="J69" s="23" t="s">
        <v>174</v>
      </c>
      <c r="K69" s="16">
        <v>4.0</v>
      </c>
      <c r="L69" s="16">
        <v>1.0</v>
      </c>
      <c r="M69" s="18">
        <f>IFNA( VLOOKUP(LEFT(F69, IFERROR(FIND(" ", F69, 1),1) - 1), lists!$A$31:$B$37, 2, FALSE),"")</f>
        <v>1</v>
      </c>
      <c r="N69" s="18" t="str">
        <f>IFERROR(__xludf.DUMMYFUNCTION("IFNA(VLOOKUP(IFNA(REGEXEXTRACT(F69, ""(Пасхи|50-ці|посту)""),""""),lists!$A$39:$B$41,2,FALSE),"""")"),"pentecost")</f>
        <v>pentecost</v>
      </c>
      <c r="O69" s="19" t="str">
        <f>IFERROR(__xludf.DUMMYFUNCTION("IFNA(REGEXEXTRACT(F69, ""\d{1,2}""),"""")"),"33")</f>
        <v>33</v>
      </c>
      <c r="P69" s="20" t="b">
        <f t="shared" si="3"/>
        <v>0</v>
      </c>
    </row>
    <row r="70">
      <c r="A70" s="9" t="s">
        <v>175</v>
      </c>
      <c r="B70" s="9" t="str">
        <f t="shared" si="1"/>
        <v>1 Пт.</v>
      </c>
      <c r="C70" s="10" t="s">
        <v>17</v>
      </c>
      <c r="D70" s="11" t="str">
        <f t="shared" si="2"/>
        <v>60</v>
      </c>
      <c r="E70" s="9"/>
      <c r="F70" s="21" t="s">
        <v>176</v>
      </c>
      <c r="G70" s="14"/>
      <c r="H70" s="22"/>
      <c r="I70" s="16" t="s">
        <v>29</v>
      </c>
      <c r="J70" s="23" t="s">
        <v>174</v>
      </c>
      <c r="K70" s="16">
        <v>4.0</v>
      </c>
      <c r="L70" s="16">
        <v>2.0</v>
      </c>
      <c r="M70" s="18">
        <f>IFNA( VLOOKUP(LEFT(F70, IFERROR(FIND(" ", F70, 1),1) - 1), lists!$A$31:$B$37, 2, FALSE),"")</f>
        <v>2</v>
      </c>
      <c r="N70" s="18" t="str">
        <f>IFERROR(__xludf.DUMMYFUNCTION("IFNA(VLOOKUP(IFNA(REGEXEXTRACT(F70, ""(Пасхи|50-ці|посту)""),""""),lists!$A$39:$B$41,2,FALSE),"""")"),"pentecost")</f>
        <v>pentecost</v>
      </c>
      <c r="O70" s="19" t="str">
        <f>IFERROR(__xludf.DUMMYFUNCTION("IFNA(REGEXEXTRACT(F70, ""\d{1,2}""),"""")"),"33")</f>
        <v>33</v>
      </c>
      <c r="P70" s="20" t="b">
        <f t="shared" si="3"/>
        <v>0</v>
      </c>
    </row>
    <row r="71">
      <c r="A71" s="9" t="s">
        <v>177</v>
      </c>
      <c r="B71" s="9" t="str">
        <f t="shared" si="1"/>
        <v>1 Пт.</v>
      </c>
      <c r="C71" s="10" t="s">
        <v>17</v>
      </c>
      <c r="D71" s="11" t="str">
        <f t="shared" si="2"/>
        <v>61</v>
      </c>
      <c r="E71" s="9"/>
      <c r="F71" s="21" t="s">
        <v>178</v>
      </c>
      <c r="G71" s="14"/>
      <c r="H71" s="22"/>
      <c r="I71" s="16" t="s">
        <v>29</v>
      </c>
      <c r="J71" s="23" t="s">
        <v>174</v>
      </c>
      <c r="K71" s="16">
        <v>4.0</v>
      </c>
      <c r="L71" s="16">
        <v>3.0</v>
      </c>
      <c r="M71" s="18">
        <f>IFNA( VLOOKUP(LEFT(F71, IFERROR(FIND(" ", F71, 1),1) - 1), lists!$A$31:$B$37, 2, FALSE),"")</f>
        <v>3</v>
      </c>
      <c r="N71" s="18" t="str">
        <f>IFERROR(__xludf.DUMMYFUNCTION("IFNA(VLOOKUP(IFNA(REGEXEXTRACT(F71, ""(Пасхи|50-ці|посту)""),""""),lists!$A$39:$B$41,2,FALSE),"""")"),"pentecost")</f>
        <v>pentecost</v>
      </c>
      <c r="O71" s="19" t="str">
        <f>IFERROR(__xludf.DUMMYFUNCTION("IFNA(REGEXEXTRACT(F71, ""\d{1,2}""),"""")"),"33")</f>
        <v>33</v>
      </c>
      <c r="P71" s="20" t="b">
        <f t="shared" si="3"/>
        <v>0</v>
      </c>
    </row>
    <row r="72">
      <c r="A72" s="9" t="s">
        <v>179</v>
      </c>
      <c r="B72" s="9" t="str">
        <f t="shared" si="1"/>
        <v>1 Пт.</v>
      </c>
      <c r="C72" s="10" t="s">
        <v>17</v>
      </c>
      <c r="D72" s="11" t="str">
        <f t="shared" si="2"/>
        <v>62</v>
      </c>
      <c r="E72" s="9"/>
      <c r="F72" s="21" t="s">
        <v>180</v>
      </c>
      <c r="G72" s="14"/>
      <c r="H72" s="22"/>
      <c r="I72" s="16" t="s">
        <v>29</v>
      </c>
      <c r="J72" s="23" t="s">
        <v>174</v>
      </c>
      <c r="K72" s="16">
        <v>4.0</v>
      </c>
      <c r="L72" s="16">
        <v>4.0</v>
      </c>
      <c r="M72" s="18">
        <f>IFNA( VLOOKUP(LEFT(F72, IFERROR(FIND(" ", F72, 1),1) - 1), lists!$A$31:$B$37, 2, FALSE),"")</f>
        <v>4</v>
      </c>
      <c r="N72" s="18" t="str">
        <f>IFERROR(__xludf.DUMMYFUNCTION("IFNA(VLOOKUP(IFNA(REGEXEXTRACT(F72, ""(Пасхи|50-ці|посту)""),""""),lists!$A$39:$B$41,2,FALSE),"""")"),"pentecost")</f>
        <v>pentecost</v>
      </c>
      <c r="O72" s="19" t="str">
        <f>IFERROR(__xludf.DUMMYFUNCTION("IFNA(REGEXEXTRACT(F72, ""\d{1,2}""),"""")"),"33")</f>
        <v>33</v>
      </c>
      <c r="P72" s="20" t="b">
        <f t="shared" si="3"/>
        <v>0</v>
      </c>
    </row>
    <row r="73">
      <c r="A73" s="9" t="s">
        <v>181</v>
      </c>
      <c r="B73" s="9" t="str">
        <f t="shared" si="1"/>
        <v>1 Пт.</v>
      </c>
      <c r="C73" s="10" t="s">
        <v>17</v>
      </c>
      <c r="D73" s="11" t="str">
        <f t="shared" si="2"/>
        <v>63</v>
      </c>
      <c r="E73" s="9"/>
      <c r="F73" s="21" t="s">
        <v>182</v>
      </c>
      <c r="G73" s="14"/>
      <c r="H73" s="15" t="s">
        <v>70</v>
      </c>
      <c r="I73" s="16" t="s">
        <v>71</v>
      </c>
      <c r="J73" s="23" t="s">
        <v>71</v>
      </c>
      <c r="K73" s="17"/>
      <c r="L73" s="16" t="s">
        <v>71</v>
      </c>
      <c r="M73" s="18" t="str">
        <f>IFNA( VLOOKUP(LEFT(F73, IFERROR(FIND(" ", F73, 1),1) - 1), lists!$A$31:$B$37, 2, FALSE),"")</f>
        <v/>
      </c>
      <c r="N73" s="18" t="str">
        <f>IFERROR(__xludf.DUMMYFUNCTION("IFNA(VLOOKUP(IFNA(REGEXEXTRACT(F73, ""(Пасхи|50-ці|посту)""),""""),lists!$A$39:$B$41,2,FALSE),"""")"),"")</f>
        <v/>
      </c>
      <c r="O73" s="19" t="str">
        <f>IFERROR(__xludf.DUMMYFUNCTION("IFNA(REGEXEXTRACT(F73, ""\d{1,2}""),"""")"),"")</f>
        <v/>
      </c>
      <c r="P73" s="20" t="b">
        <f t="shared" si="3"/>
        <v>0</v>
      </c>
    </row>
    <row r="74">
      <c r="A74" s="9" t="s">
        <v>183</v>
      </c>
      <c r="B74" s="9" t="str">
        <f t="shared" si="1"/>
        <v>2 Пт.</v>
      </c>
      <c r="C74" s="10" t="s">
        <v>17</v>
      </c>
      <c r="D74" s="11" t="str">
        <f t="shared" si="2"/>
        <v>64</v>
      </c>
      <c r="E74" s="9"/>
      <c r="F74" s="21" t="s">
        <v>184</v>
      </c>
      <c r="G74" s="14"/>
      <c r="H74" s="22"/>
      <c r="I74" s="16" t="s">
        <v>29</v>
      </c>
      <c r="J74" s="23" t="s">
        <v>174</v>
      </c>
      <c r="K74" s="16">
        <v>4.0</v>
      </c>
      <c r="L74" s="16">
        <v>5.0</v>
      </c>
      <c r="M74" s="18">
        <f>IFNA( VLOOKUP(LEFT(F74, IFERROR(FIND(" ", F74, 1),1) - 1), lists!$A$31:$B$37, 2, FALSE),"")</f>
        <v>5</v>
      </c>
      <c r="N74" s="18" t="str">
        <f>IFERROR(__xludf.DUMMYFUNCTION("IFNA(VLOOKUP(IFNA(REGEXEXTRACT(F74, ""(Пасхи|50-ці|посту)""),""""),lists!$A$39:$B$41,2,FALSE),"""")"),"pentecost")</f>
        <v>pentecost</v>
      </c>
      <c r="O74" s="19" t="str">
        <f>IFERROR(__xludf.DUMMYFUNCTION("IFNA(REGEXEXTRACT(F74, ""\d{1,2}""),"""")"),"33")</f>
        <v>33</v>
      </c>
      <c r="P74" s="20" t="b">
        <f t="shared" si="3"/>
        <v>0</v>
      </c>
    </row>
    <row r="75">
      <c r="A75" s="9" t="s">
        <v>185</v>
      </c>
      <c r="B75" s="9" t="str">
        <f t="shared" si="1"/>
        <v>2 Пт.</v>
      </c>
      <c r="C75" s="10" t="s">
        <v>17</v>
      </c>
      <c r="D75" s="11" t="str">
        <f t="shared" si="2"/>
        <v>65</v>
      </c>
      <c r="E75" s="9"/>
      <c r="F75" s="21" t="s">
        <v>186</v>
      </c>
      <c r="G75" s="14"/>
      <c r="H75" s="15" t="s">
        <v>70</v>
      </c>
      <c r="I75" s="16" t="s">
        <v>71</v>
      </c>
      <c r="J75" s="23" t="s">
        <v>71</v>
      </c>
      <c r="K75" s="17"/>
      <c r="L75" s="16" t="s">
        <v>71</v>
      </c>
      <c r="M75" s="18" t="str">
        <f>IFNA( VLOOKUP(LEFT(F75, IFERROR(FIND(" ", F75, 1),1) - 1), lists!$A$31:$B$37, 2, FALSE),"")</f>
        <v/>
      </c>
      <c r="N75" s="18" t="str">
        <f>IFERROR(__xludf.DUMMYFUNCTION("IFNA(VLOOKUP(IFNA(REGEXEXTRACT(F75, ""(Пасхи|50-ці|посту)""),""""),lists!$A$39:$B$41,2,FALSE),"""")"),"")</f>
        <v/>
      </c>
      <c r="O75" s="19" t="str">
        <f>IFERROR(__xludf.DUMMYFUNCTION("IFNA(REGEXEXTRACT(F75, ""\d{1,2}""),"""")"),"")</f>
        <v/>
      </c>
      <c r="P75" s="20" t="b">
        <f t="shared" si="3"/>
        <v>0</v>
      </c>
    </row>
    <row r="76">
      <c r="A76" s="9" t="s">
        <v>187</v>
      </c>
      <c r="B76" s="9" t="str">
        <f t="shared" si="1"/>
        <v>2 Пт.</v>
      </c>
      <c r="C76" s="10" t="s">
        <v>17</v>
      </c>
      <c r="D76" s="11" t="str">
        <f t="shared" si="2"/>
        <v>66</v>
      </c>
      <c r="E76" s="9"/>
      <c r="F76" s="27" t="s">
        <v>188</v>
      </c>
      <c r="G76" s="14"/>
      <c r="H76" s="22"/>
      <c r="I76" s="16" t="s">
        <v>29</v>
      </c>
      <c r="J76" s="23" t="s">
        <v>189</v>
      </c>
      <c r="K76" s="16">
        <v>3.0</v>
      </c>
      <c r="L76" s="16">
        <v>1.0</v>
      </c>
      <c r="M76" s="18">
        <f>IFNA( VLOOKUP(LEFT(F76, IFERROR(FIND(" ", F76, 1),1) - 1), lists!$A$31:$B$37, 2, FALSE),"")</f>
        <v>1</v>
      </c>
      <c r="N76" s="18" t="str">
        <f>IFERROR(__xludf.DUMMYFUNCTION("IFNA(VLOOKUP(IFNA(REGEXEXTRACT(F76, ""(Пасхи|50-ці|посту)""),""""),lists!$A$39:$B$41,2,FALSE),"""")"),"pentecost")</f>
        <v>pentecost</v>
      </c>
      <c r="O76" s="19" t="str">
        <f>IFERROR(__xludf.DUMMYFUNCTION("IFNA(REGEXEXTRACT(F76, ""\d{1,2}""),"""")"),"34")</f>
        <v>34</v>
      </c>
      <c r="P76" s="20" t="b">
        <f t="shared" si="3"/>
        <v>0</v>
      </c>
    </row>
    <row r="77">
      <c r="A77" s="9" t="s">
        <v>190</v>
      </c>
      <c r="B77" s="9" t="str">
        <f t="shared" si="1"/>
        <v>2 Пт.</v>
      </c>
      <c r="C77" s="10" t="s">
        <v>17</v>
      </c>
      <c r="D77" s="11" t="str">
        <f t="shared" si="2"/>
        <v>67</v>
      </c>
      <c r="E77" s="9"/>
      <c r="F77" s="21" t="s">
        <v>191</v>
      </c>
      <c r="G77" s="14"/>
      <c r="H77" s="22"/>
      <c r="I77" s="16" t="s">
        <v>29</v>
      </c>
      <c r="J77" s="23" t="s">
        <v>189</v>
      </c>
      <c r="K77" s="16">
        <v>3.0</v>
      </c>
      <c r="L77" s="16">
        <v>2.0</v>
      </c>
      <c r="M77" s="18">
        <f>IFNA( VLOOKUP(LEFT(F77, IFERROR(FIND(" ", F77, 1),1) - 1), lists!$A$31:$B$37, 2, FALSE),"")</f>
        <v>2</v>
      </c>
      <c r="N77" s="18" t="str">
        <f>IFERROR(__xludf.DUMMYFUNCTION("IFNA(VLOOKUP(IFNA(REGEXEXTRACT(F77, ""(Пасхи|50-ці|посту)""),""""),lists!$A$39:$B$41,2,FALSE),"""")"),"pentecost")</f>
        <v>pentecost</v>
      </c>
      <c r="O77" s="19" t="str">
        <f>IFERROR(__xludf.DUMMYFUNCTION("IFNA(REGEXEXTRACT(F77, ""\d{1,2}""),"""")"),"34")</f>
        <v>34</v>
      </c>
      <c r="P77" s="20" t="b">
        <f t="shared" si="3"/>
        <v>0</v>
      </c>
    </row>
    <row r="78">
      <c r="A78" s="9" t="s">
        <v>192</v>
      </c>
      <c r="B78" s="9" t="str">
        <f t="shared" si="1"/>
        <v>2 Пт.</v>
      </c>
      <c r="C78" s="10" t="s">
        <v>17</v>
      </c>
      <c r="D78" s="11" t="str">
        <f t="shared" si="2"/>
        <v>68</v>
      </c>
      <c r="E78" s="12" t="s">
        <v>18</v>
      </c>
      <c r="F78" s="21" t="s">
        <v>193</v>
      </c>
      <c r="G78" s="14"/>
      <c r="H78" s="22"/>
      <c r="I78" s="16" t="s">
        <v>29</v>
      </c>
      <c r="J78" s="23" t="s">
        <v>189</v>
      </c>
      <c r="K78" s="16">
        <v>3.0</v>
      </c>
      <c r="L78" s="16">
        <v>3.0</v>
      </c>
      <c r="M78" s="18">
        <f>IFNA( VLOOKUP(LEFT(F78, IFERROR(FIND(" ", F78, 1),1) - 1), lists!$A$31:$B$37, 2, FALSE),"")</f>
        <v>3</v>
      </c>
      <c r="N78" s="18" t="str">
        <f>IFERROR(__xludf.DUMMYFUNCTION("IFNA(VLOOKUP(IFNA(REGEXEXTRACT(F78, ""(Пасхи|50-ці|посту)""),""""),lists!$A$39:$B$41,2,FALSE),"""")"),"pentecost")</f>
        <v>pentecost</v>
      </c>
      <c r="O78" s="19" t="str">
        <f>IFERROR(__xludf.DUMMYFUNCTION("IFNA(REGEXEXTRACT(F78, ""\d{1,2}""),"""")"),"34")</f>
        <v>34</v>
      </c>
      <c r="P78" s="20" t="b">
        <f t="shared" si="3"/>
        <v>0</v>
      </c>
    </row>
    <row r="79">
      <c r="A79" s="24" t="s">
        <v>194</v>
      </c>
      <c r="B79" s="24" t="str">
        <f t="shared" si="1"/>
        <v>1 Йо.</v>
      </c>
      <c r="C79" s="10" t="s">
        <v>17</v>
      </c>
      <c r="D79" s="28" t="str">
        <f t="shared" si="2"/>
        <v>68</v>
      </c>
      <c r="E79" s="29" t="s">
        <v>22</v>
      </c>
      <c r="F79" s="30" t="s">
        <v>195</v>
      </c>
      <c r="G79" s="14"/>
      <c r="H79" s="15" t="s">
        <v>70</v>
      </c>
      <c r="I79" s="16" t="s">
        <v>71</v>
      </c>
      <c r="J79" s="23" t="s">
        <v>196</v>
      </c>
      <c r="K79" s="17"/>
      <c r="L79" s="16" t="s">
        <v>71</v>
      </c>
      <c r="M79" s="18" t="str">
        <f>IFNA( VLOOKUP(LEFT(F79, IFERROR(FIND(" ", F79, 1),1) - 1), lists!$A$31:$B$37, 2, FALSE),"")</f>
        <v/>
      </c>
      <c r="N79" s="18" t="str">
        <f>IFERROR(__xludf.DUMMYFUNCTION("IFNA(VLOOKUP(IFNA(REGEXEXTRACT(F79, ""(Пасхи|50-ці|посту)""),""""),lists!$A$39:$B$41,2,FALSE),"""")"),"")</f>
        <v/>
      </c>
      <c r="O79" s="19" t="str">
        <f>IFERROR(__xludf.DUMMYFUNCTION("IFNA(REGEXEXTRACT(F79, ""\d{1,2}""),"""")"),"8")</f>
        <v>8</v>
      </c>
      <c r="P79" s="20" t="b">
        <f t="shared" si="3"/>
        <v>0</v>
      </c>
    </row>
    <row r="80">
      <c r="A80" s="24" t="s">
        <v>197</v>
      </c>
      <c r="B80" s="24" t="str">
        <f t="shared" si="1"/>
        <v>1 Йо.</v>
      </c>
      <c r="C80" s="10" t="s">
        <v>17</v>
      </c>
      <c r="D80" s="28" t="str">
        <f t="shared" si="2"/>
        <v>69</v>
      </c>
      <c r="E80" s="24"/>
      <c r="F80" s="31" t="s">
        <v>198</v>
      </c>
      <c r="G80" s="14"/>
      <c r="H80" s="22"/>
      <c r="I80" s="16" t="s">
        <v>29</v>
      </c>
      <c r="J80" s="23" t="s">
        <v>189</v>
      </c>
      <c r="K80" s="16">
        <v>3.0</v>
      </c>
      <c r="L80" s="16">
        <v>4.0</v>
      </c>
      <c r="M80" s="18">
        <f>IFNA( VLOOKUP(LEFT(F80, IFERROR(FIND(" ", F80, 1),1) - 1), lists!$A$31:$B$37, 2, FALSE),"")</f>
        <v>4</v>
      </c>
      <c r="N80" s="18" t="str">
        <f>IFERROR(__xludf.DUMMYFUNCTION("IFNA(VLOOKUP(IFNA(REGEXEXTRACT(F80, ""(Пасхи|50-ці|посту)""),""""),lists!$A$39:$B$41,2,FALSE),"""")"),"pentecost")</f>
        <v>pentecost</v>
      </c>
      <c r="O80" s="19" t="str">
        <f>IFERROR(__xludf.DUMMYFUNCTION("IFNA(REGEXEXTRACT(F80, ""\d{1,2}""),"""")"),"34")</f>
        <v>34</v>
      </c>
      <c r="P80" s="20" t="b">
        <f t="shared" si="3"/>
        <v>0</v>
      </c>
    </row>
    <row r="81">
      <c r="A81" s="24" t="s">
        <v>199</v>
      </c>
      <c r="B81" s="24" t="str">
        <f t="shared" si="1"/>
        <v>1 Йо.</v>
      </c>
      <c r="C81" s="10" t="s">
        <v>17</v>
      </c>
      <c r="D81" s="28" t="str">
        <f t="shared" si="2"/>
        <v>70</v>
      </c>
      <c r="E81" s="24"/>
      <c r="F81" s="31" t="s">
        <v>200</v>
      </c>
      <c r="G81" s="14"/>
      <c r="H81" s="22"/>
      <c r="I81" s="16" t="s">
        <v>29</v>
      </c>
      <c r="J81" s="23" t="s">
        <v>189</v>
      </c>
      <c r="K81" s="16">
        <v>3.0</v>
      </c>
      <c r="L81" s="16">
        <v>5.0</v>
      </c>
      <c r="M81" s="18">
        <f>IFNA( VLOOKUP(LEFT(F81, IFERROR(FIND(" ", F81, 1),1) - 1), lists!$A$31:$B$37, 2, FALSE),"")</f>
        <v>5</v>
      </c>
      <c r="N81" s="18" t="str">
        <f>IFERROR(__xludf.DUMMYFUNCTION("IFNA(VLOOKUP(IFNA(REGEXEXTRACT(F81, ""(Пасхи|50-ці|посту)""),""""),lists!$A$39:$B$41,2,FALSE),"""")"),"pentecost")</f>
        <v>pentecost</v>
      </c>
      <c r="O81" s="19" t="str">
        <f>IFERROR(__xludf.DUMMYFUNCTION("IFNA(REGEXEXTRACT(F81, ""\d{1,2}""),"""")"),"34")</f>
        <v>34</v>
      </c>
      <c r="P81" s="20" t="b">
        <f t="shared" si="3"/>
        <v>0</v>
      </c>
    </row>
    <row r="82">
      <c r="A82" s="24" t="s">
        <v>201</v>
      </c>
      <c r="B82" s="24" t="str">
        <f t="shared" si="1"/>
        <v>1 Йо.</v>
      </c>
      <c r="C82" s="10" t="s">
        <v>17</v>
      </c>
      <c r="D82" s="28" t="str">
        <f t="shared" si="2"/>
        <v>71</v>
      </c>
      <c r="E82" s="24"/>
      <c r="F82" s="32" t="s">
        <v>202</v>
      </c>
      <c r="G82" s="14"/>
      <c r="H82" s="22"/>
      <c r="I82" s="16" t="s">
        <v>29</v>
      </c>
      <c r="J82" s="23" t="s">
        <v>203</v>
      </c>
      <c r="K82" s="16">
        <v>2.0</v>
      </c>
      <c r="L82" s="16">
        <v>1.0</v>
      </c>
      <c r="M82" s="18">
        <f>IFNA( VLOOKUP(LEFT(F82, IFERROR(FIND(" ", F82, 1),1) - 1), lists!$A$31:$B$37, 2, FALSE),"")</f>
        <v>1</v>
      </c>
      <c r="N82" s="18" t="str">
        <f>IFERROR(__xludf.DUMMYFUNCTION("IFNA(VLOOKUP(IFNA(REGEXEXTRACT(F82, ""(Пасхи|50-ці|посту)""),""""),lists!$A$39:$B$41,2,FALSE),"""")"),"pentecost")</f>
        <v>pentecost</v>
      </c>
      <c r="O82" s="19" t="str">
        <f>IFERROR(__xludf.DUMMYFUNCTION("IFNA(REGEXEXTRACT(F82, ""\d{1,2}""),"""")"),"35")</f>
        <v>35</v>
      </c>
      <c r="P82" s="20" t="b">
        <f t="shared" si="3"/>
        <v>0</v>
      </c>
    </row>
    <row r="83">
      <c r="A83" s="24" t="s">
        <v>204</v>
      </c>
      <c r="B83" s="24" t="str">
        <f t="shared" si="1"/>
        <v>1 Йо.</v>
      </c>
      <c r="C83" s="10" t="s">
        <v>17</v>
      </c>
      <c r="D83" s="28" t="str">
        <f t="shared" si="2"/>
        <v>72</v>
      </c>
      <c r="E83" s="24"/>
      <c r="F83" s="30" t="s">
        <v>205</v>
      </c>
      <c r="G83" s="14"/>
      <c r="H83" s="22"/>
      <c r="I83" s="16" t="s">
        <v>29</v>
      </c>
      <c r="J83" s="23" t="s">
        <v>203</v>
      </c>
      <c r="K83" s="16">
        <v>2.0</v>
      </c>
      <c r="L83" s="16">
        <v>2.0</v>
      </c>
      <c r="M83" s="18">
        <f>IFNA( VLOOKUP(LEFT(F83, IFERROR(FIND(" ", F83, 1),1) - 1), lists!$A$31:$B$37, 2, FALSE),"")</f>
        <v>2</v>
      </c>
      <c r="N83" s="18" t="str">
        <f>IFERROR(__xludf.DUMMYFUNCTION("IFNA(VLOOKUP(IFNA(REGEXEXTRACT(F83, ""(Пасхи|50-ці|посту)""),""""),lists!$A$39:$B$41,2,FALSE),"""")"),"pentecost")</f>
        <v>pentecost</v>
      </c>
      <c r="O83" s="19" t="str">
        <f>IFERROR(__xludf.DUMMYFUNCTION("IFNA(REGEXEXTRACT(F83, ""\d{1,2}""),"""")"),"35")</f>
        <v>35</v>
      </c>
      <c r="P83" s="20" t="b">
        <f t="shared" si="3"/>
        <v>0</v>
      </c>
    </row>
    <row r="84">
      <c r="A84" s="24" t="s">
        <v>206</v>
      </c>
      <c r="B84" s="24" t="str">
        <f t="shared" si="1"/>
        <v>1 Йо.</v>
      </c>
      <c r="C84" s="10" t="s">
        <v>17</v>
      </c>
      <c r="D84" s="28" t="str">
        <f t="shared" si="2"/>
        <v>73</v>
      </c>
      <c r="E84" s="29" t="s">
        <v>18</v>
      </c>
      <c r="F84" s="30" t="s">
        <v>207</v>
      </c>
      <c r="G84" s="14"/>
      <c r="H84" s="15" t="s">
        <v>70</v>
      </c>
      <c r="I84" s="16" t="s">
        <v>71</v>
      </c>
      <c r="J84" s="23" t="s">
        <v>208</v>
      </c>
      <c r="K84" s="17"/>
      <c r="L84" s="16" t="s">
        <v>71</v>
      </c>
      <c r="M84" s="18" t="str">
        <f>IFNA( VLOOKUP(LEFT(F84, IFERROR(FIND(" ", F84, 1),1) - 1), lists!$A$31:$B$37, 2, FALSE),"")</f>
        <v/>
      </c>
      <c r="N84" s="18" t="str">
        <f>IFERROR(__xludf.DUMMYFUNCTION("IFNA(VLOOKUP(IFNA(REGEXEXTRACT(F84, ""(Пасхи|50-ці|посту)""),""""),lists!$A$39:$B$41,2,FALSE),"""")"),"")</f>
        <v/>
      </c>
      <c r="O84" s="19" t="str">
        <f>IFERROR(__xludf.DUMMYFUNCTION("IFNA(REGEXEXTRACT(F84, ""\d{1,2}""),"""")"),"26")</f>
        <v>26</v>
      </c>
      <c r="P84" s="20" t="b">
        <f t="shared" si="3"/>
        <v>0</v>
      </c>
    </row>
    <row r="85">
      <c r="A85" s="24" t="s">
        <v>209</v>
      </c>
      <c r="B85" s="24" t="str">
        <f t="shared" si="1"/>
        <v>1 Йо.</v>
      </c>
      <c r="C85" s="10" t="s">
        <v>17</v>
      </c>
      <c r="D85" s="28" t="str">
        <f t="shared" si="2"/>
        <v>73</v>
      </c>
      <c r="E85" s="29" t="s">
        <v>22</v>
      </c>
      <c r="F85" s="30" t="s">
        <v>210</v>
      </c>
      <c r="G85" s="14"/>
      <c r="H85" s="22"/>
      <c r="I85" s="16" t="s">
        <v>29</v>
      </c>
      <c r="J85" s="23" t="s">
        <v>203</v>
      </c>
      <c r="K85" s="16">
        <v>2.0</v>
      </c>
      <c r="L85" s="16">
        <v>3.0</v>
      </c>
      <c r="M85" s="18">
        <f>IFNA( VLOOKUP(LEFT(F85, IFERROR(FIND(" ", F85, 1),1) - 1), lists!$A$31:$B$37, 2, FALSE),"")</f>
        <v>3</v>
      </c>
      <c r="N85" s="18" t="str">
        <f>IFERROR(__xludf.DUMMYFUNCTION("IFNA(VLOOKUP(IFNA(REGEXEXTRACT(F85, ""(Пасхи|50-ці|посту)""),""""),lists!$A$39:$B$41,2,FALSE),"""")"),"pentecost")</f>
        <v>pentecost</v>
      </c>
      <c r="O85" s="19" t="str">
        <f>IFERROR(__xludf.DUMMYFUNCTION("IFNA(REGEXEXTRACT(F85, ""\d{1,2}""),"""")"),"35")</f>
        <v>35</v>
      </c>
      <c r="P85" s="20" t="b">
        <f t="shared" si="3"/>
        <v>0</v>
      </c>
    </row>
    <row r="86">
      <c r="A86" s="29" t="s">
        <v>211</v>
      </c>
      <c r="B86" s="24" t="str">
        <f t="shared" si="1"/>
        <v>1 Йо.</v>
      </c>
      <c r="C86" s="10" t="s">
        <v>17</v>
      </c>
      <c r="D86" s="28" t="str">
        <f t="shared" si="2"/>
        <v>73</v>
      </c>
      <c r="E86" s="29" t="s">
        <v>116</v>
      </c>
      <c r="F86" s="30" t="s">
        <v>212</v>
      </c>
      <c r="G86" s="14"/>
      <c r="H86" s="15" t="s">
        <v>70</v>
      </c>
      <c r="I86" s="16" t="s">
        <v>71</v>
      </c>
      <c r="J86" s="23" t="s">
        <v>71</v>
      </c>
      <c r="K86" s="17"/>
      <c r="L86" s="16" t="s">
        <v>71</v>
      </c>
      <c r="M86" s="18" t="str">
        <f>IFNA( VLOOKUP(LEFT(F86, IFERROR(FIND(" ", F86, 1),1) - 1), lists!$A$31:$B$37, 2, FALSE),"")</f>
        <v/>
      </c>
      <c r="N86" s="18" t="str">
        <f>IFERROR(__xludf.DUMMYFUNCTION("IFNA(VLOOKUP(IFNA(REGEXEXTRACT(F86, ""(Пасхи|50-ці|посту)""),""""),lists!$A$39:$B$41,2,FALSE),"""")"),"")</f>
        <v/>
      </c>
      <c r="O86" s="19" t="str">
        <f>IFERROR(__xludf.DUMMYFUNCTION("IFNA(REGEXEXTRACT(F86, ""\d{1,2}""),"""")"),"")</f>
        <v/>
      </c>
      <c r="P86" s="20" t="b">
        <f t="shared" si="3"/>
        <v>0</v>
      </c>
    </row>
    <row r="87">
      <c r="A87" s="24" t="s">
        <v>213</v>
      </c>
      <c r="B87" s="24" t="str">
        <f t="shared" si="1"/>
        <v>1 Йо.</v>
      </c>
      <c r="C87" s="10" t="s">
        <v>17</v>
      </c>
      <c r="D87" s="28" t="str">
        <f t="shared" si="2"/>
        <v>74</v>
      </c>
      <c r="E87" s="24"/>
      <c r="F87" s="30" t="s">
        <v>214</v>
      </c>
      <c r="G87" s="14"/>
      <c r="H87" s="22"/>
      <c r="I87" s="16" t="s">
        <v>29</v>
      </c>
      <c r="J87" s="23" t="s">
        <v>203</v>
      </c>
      <c r="K87" s="16">
        <v>2.0</v>
      </c>
      <c r="L87" s="16">
        <v>4.0</v>
      </c>
      <c r="M87" s="18">
        <f>IFNA( VLOOKUP(LEFT(F87, IFERROR(FIND(" ", F87, 1),1) - 1), lists!$A$31:$B$37, 2, FALSE),"")</f>
        <v>4</v>
      </c>
      <c r="N87" s="18" t="str">
        <f>IFERROR(__xludf.DUMMYFUNCTION("IFNA(VLOOKUP(IFNA(REGEXEXTRACT(F87, ""(Пасхи|50-ці|посту)""),""""),lists!$A$39:$B$41,2,FALSE),"""")"),"pentecost")</f>
        <v>pentecost</v>
      </c>
      <c r="O87" s="19" t="str">
        <f>IFERROR(__xludf.DUMMYFUNCTION("IFNA(REGEXEXTRACT(F87, ""\d{1,2}""),"""")"),"35")</f>
        <v>35</v>
      </c>
      <c r="P87" s="20" t="b">
        <f t="shared" si="3"/>
        <v>0</v>
      </c>
    </row>
    <row r="88">
      <c r="A88" s="24" t="s">
        <v>215</v>
      </c>
      <c r="B88" s="24" t="str">
        <f t="shared" si="1"/>
        <v>2 Йо.</v>
      </c>
      <c r="C88" s="10" t="s">
        <v>17</v>
      </c>
      <c r="D88" s="28" t="str">
        <f t="shared" si="2"/>
        <v>75</v>
      </c>
      <c r="E88" s="24"/>
      <c r="F88" s="30" t="s">
        <v>216</v>
      </c>
      <c r="G88" s="14"/>
      <c r="H88" s="22"/>
      <c r="I88" s="16" t="s">
        <v>29</v>
      </c>
      <c r="J88" s="23" t="s">
        <v>203</v>
      </c>
      <c r="K88" s="16">
        <v>2.0</v>
      </c>
      <c r="L88" s="16">
        <v>5.0</v>
      </c>
      <c r="M88" s="18">
        <f>IFNA( VLOOKUP(LEFT(F88, IFERROR(FIND(" ", F88, 1),1) - 1), lists!$A$31:$B$37, 2, FALSE),"")</f>
        <v>5</v>
      </c>
      <c r="N88" s="18" t="str">
        <f>IFERROR(__xludf.DUMMYFUNCTION("IFNA(VLOOKUP(IFNA(REGEXEXTRACT(F88, ""(Пасхи|50-ці|посту)""),""""),lists!$A$39:$B$41,2,FALSE),"""")"),"pentecost")</f>
        <v>pentecost</v>
      </c>
      <c r="O88" s="19" t="str">
        <f>IFERROR(__xludf.DUMMYFUNCTION("IFNA(REGEXEXTRACT(F88, ""\d{1,2}""),"""")"),"35")</f>
        <v>35</v>
      </c>
      <c r="P88" s="20" t="b">
        <f t="shared" si="3"/>
        <v>0</v>
      </c>
    </row>
    <row r="89">
      <c r="A89" s="24" t="s">
        <v>217</v>
      </c>
      <c r="B89" s="24" t="str">
        <f t="shared" si="1"/>
        <v>3 Йо.</v>
      </c>
      <c r="C89" s="10" t="s">
        <v>17</v>
      </c>
      <c r="D89" s="28" t="str">
        <f t="shared" si="2"/>
        <v>76</v>
      </c>
      <c r="E89" s="24"/>
      <c r="F89" s="30" t="s">
        <v>218</v>
      </c>
      <c r="G89" s="14"/>
      <c r="H89" s="22"/>
      <c r="I89" s="16" t="s">
        <v>29</v>
      </c>
      <c r="J89" s="23">
        <v>36.0</v>
      </c>
      <c r="K89" s="16">
        <v>1.0</v>
      </c>
      <c r="L89" s="16">
        <v>1.0</v>
      </c>
      <c r="M89" s="18">
        <f>IFNA( VLOOKUP(LEFT(F89, IFERROR(FIND(" ", F89, 1),1) - 1), lists!$A$31:$B$37, 2, FALSE),"")</f>
        <v>1</v>
      </c>
      <c r="N89" s="18" t="str">
        <f>IFERROR(__xludf.DUMMYFUNCTION("IFNA(VLOOKUP(IFNA(REGEXEXTRACT(F89, ""(Пасхи|50-ці|посту)""),""""),lists!$A$39:$B$41,2,FALSE),"""")"),"")</f>
        <v/>
      </c>
      <c r="O89" s="19" t="str">
        <f>IFERROR(__xludf.DUMMYFUNCTION("IFNA(REGEXEXTRACT(F89, ""\d{1,2}""),"""")"),"")</f>
        <v/>
      </c>
      <c r="P89" s="20" t="b">
        <f t="shared" si="3"/>
        <v>0</v>
      </c>
    </row>
    <row r="90">
      <c r="A90" s="12" t="s">
        <v>219</v>
      </c>
      <c r="B90" s="9" t="str">
        <f t="shared" si="1"/>
        <v>1 Ів.</v>
      </c>
      <c r="C90" s="10" t="s">
        <v>17</v>
      </c>
      <c r="D90" s="11" t="str">
        <f t="shared" si="2"/>
        <v>68</v>
      </c>
      <c r="E90" s="12" t="s">
        <v>22</v>
      </c>
      <c r="F90" s="21" t="s">
        <v>195</v>
      </c>
      <c r="G90" s="14"/>
      <c r="H90" s="15" t="s">
        <v>70</v>
      </c>
      <c r="I90" s="16" t="s">
        <v>71</v>
      </c>
      <c r="J90" s="23" t="s">
        <v>196</v>
      </c>
      <c r="K90" s="17"/>
      <c r="L90" s="16" t="s">
        <v>71</v>
      </c>
      <c r="M90" s="18" t="str">
        <f>IFNA( VLOOKUP(LEFT(F90, IFERROR(FIND(" ", F90, 1),1) - 1), lists!$A$31:$B$37, 2, FALSE),"")</f>
        <v/>
      </c>
      <c r="N90" s="18" t="str">
        <f>IFERROR(__xludf.DUMMYFUNCTION("IFNA(VLOOKUP(IFNA(REGEXEXTRACT(F90, ""(Пасхи|50-ці|посту)""),""""),lists!$A$39:$B$41,2,FALSE),"""")"),"")</f>
        <v/>
      </c>
      <c r="O90" s="19" t="str">
        <f>IFERROR(__xludf.DUMMYFUNCTION("IFNA(REGEXEXTRACT(F90, ""\d{1,2}""),"""")"),"8")</f>
        <v>8</v>
      </c>
      <c r="P90" s="20" t="b">
        <f t="shared" si="3"/>
        <v>0</v>
      </c>
    </row>
    <row r="91">
      <c r="A91" s="12" t="s">
        <v>220</v>
      </c>
      <c r="B91" s="9" t="str">
        <f t="shared" si="1"/>
        <v>1 Ів.</v>
      </c>
      <c r="C91" s="10" t="s">
        <v>17</v>
      </c>
      <c r="D91" s="11" t="str">
        <f t="shared" si="2"/>
        <v>69</v>
      </c>
      <c r="E91" s="9"/>
      <c r="F91" s="25" t="s">
        <v>198</v>
      </c>
      <c r="G91" s="14"/>
      <c r="H91" s="22"/>
      <c r="I91" s="16" t="s">
        <v>29</v>
      </c>
      <c r="J91" s="23" t="s">
        <v>189</v>
      </c>
      <c r="K91" s="16">
        <v>3.0</v>
      </c>
      <c r="L91" s="16">
        <v>4.0</v>
      </c>
      <c r="M91" s="18">
        <f>IFNA( VLOOKUP(LEFT(F91, IFERROR(FIND(" ", F91, 1),1) - 1), lists!$A$31:$B$37, 2, FALSE),"")</f>
        <v>4</v>
      </c>
      <c r="N91" s="18" t="str">
        <f>IFERROR(__xludf.DUMMYFUNCTION("IFNA(VLOOKUP(IFNA(REGEXEXTRACT(F91, ""(Пасхи|50-ці|посту)""),""""),lists!$A$39:$B$41,2,FALSE),"""")"),"pentecost")</f>
        <v>pentecost</v>
      </c>
      <c r="O91" s="19" t="str">
        <f>IFERROR(__xludf.DUMMYFUNCTION("IFNA(REGEXEXTRACT(F91, ""\d{1,2}""),"""")"),"34")</f>
        <v>34</v>
      </c>
      <c r="P91" s="20" t="b">
        <f t="shared" si="3"/>
        <v>0</v>
      </c>
    </row>
    <row r="92">
      <c r="A92" s="12" t="s">
        <v>221</v>
      </c>
      <c r="B92" s="9" t="str">
        <f t="shared" si="1"/>
        <v>1 Ів.</v>
      </c>
      <c r="C92" s="10" t="s">
        <v>17</v>
      </c>
      <c r="D92" s="11" t="str">
        <f t="shared" si="2"/>
        <v>70</v>
      </c>
      <c r="E92" s="9"/>
      <c r="F92" s="25" t="s">
        <v>200</v>
      </c>
      <c r="G92" s="14"/>
      <c r="H92" s="22"/>
      <c r="I92" s="16" t="s">
        <v>29</v>
      </c>
      <c r="J92" s="23" t="s">
        <v>189</v>
      </c>
      <c r="K92" s="16">
        <v>3.0</v>
      </c>
      <c r="L92" s="16">
        <v>5.0</v>
      </c>
      <c r="M92" s="18">
        <f>IFNA( VLOOKUP(LEFT(F92, IFERROR(FIND(" ", F92, 1),1) - 1), lists!$A$31:$B$37, 2, FALSE),"")</f>
        <v>5</v>
      </c>
      <c r="N92" s="18" t="str">
        <f>IFERROR(__xludf.DUMMYFUNCTION("IFNA(VLOOKUP(IFNA(REGEXEXTRACT(F92, ""(Пасхи|50-ці|посту)""),""""),lists!$A$39:$B$41,2,FALSE),"""")"),"pentecost")</f>
        <v>pentecost</v>
      </c>
      <c r="O92" s="19" t="str">
        <f>IFERROR(__xludf.DUMMYFUNCTION("IFNA(REGEXEXTRACT(F92, ""\d{1,2}""),"""")"),"34")</f>
        <v>34</v>
      </c>
      <c r="P92" s="20" t="b">
        <f t="shared" si="3"/>
        <v>0</v>
      </c>
    </row>
    <row r="93">
      <c r="A93" s="12" t="s">
        <v>222</v>
      </c>
      <c r="B93" s="9" t="str">
        <f t="shared" si="1"/>
        <v>1 Ів.</v>
      </c>
      <c r="C93" s="10" t="s">
        <v>17</v>
      </c>
      <c r="D93" s="11" t="str">
        <f t="shared" si="2"/>
        <v>71</v>
      </c>
      <c r="E93" s="9"/>
      <c r="F93" s="27" t="s">
        <v>202</v>
      </c>
      <c r="G93" s="14"/>
      <c r="H93" s="22"/>
      <c r="I93" s="16" t="s">
        <v>29</v>
      </c>
      <c r="J93" s="23" t="s">
        <v>203</v>
      </c>
      <c r="K93" s="16">
        <v>2.0</v>
      </c>
      <c r="L93" s="16">
        <v>1.0</v>
      </c>
      <c r="M93" s="18">
        <f>IFNA( VLOOKUP(LEFT(F93, IFERROR(FIND(" ", F93, 1),1) - 1), lists!$A$31:$B$37, 2, FALSE),"")</f>
        <v>1</v>
      </c>
      <c r="N93" s="18" t="str">
        <f>IFERROR(__xludf.DUMMYFUNCTION("IFNA(VLOOKUP(IFNA(REGEXEXTRACT(F93, ""(Пасхи|50-ці|посту)""),""""),lists!$A$39:$B$41,2,FALSE),"""")"),"pentecost")</f>
        <v>pentecost</v>
      </c>
      <c r="O93" s="19" t="str">
        <f>IFERROR(__xludf.DUMMYFUNCTION("IFNA(REGEXEXTRACT(F93, ""\d{1,2}""),"""")"),"35")</f>
        <v>35</v>
      </c>
      <c r="P93" s="20" t="b">
        <f t="shared" si="3"/>
        <v>0</v>
      </c>
    </row>
    <row r="94">
      <c r="A94" s="12" t="s">
        <v>223</v>
      </c>
      <c r="B94" s="9" t="str">
        <f t="shared" si="1"/>
        <v>1 Ів.</v>
      </c>
      <c r="C94" s="10" t="s">
        <v>17</v>
      </c>
      <c r="D94" s="11" t="str">
        <f t="shared" si="2"/>
        <v>72</v>
      </c>
      <c r="E94" s="9"/>
      <c r="F94" s="21" t="s">
        <v>205</v>
      </c>
      <c r="G94" s="14"/>
      <c r="H94" s="22"/>
      <c r="I94" s="16" t="s">
        <v>29</v>
      </c>
      <c r="J94" s="23" t="s">
        <v>203</v>
      </c>
      <c r="K94" s="16">
        <v>2.0</v>
      </c>
      <c r="L94" s="16">
        <v>2.0</v>
      </c>
      <c r="M94" s="18">
        <f>IFNA( VLOOKUP(LEFT(F94, IFERROR(FIND(" ", F94, 1),1) - 1), lists!$A$31:$B$37, 2, FALSE),"")</f>
        <v>2</v>
      </c>
      <c r="N94" s="18" t="str">
        <f>IFERROR(__xludf.DUMMYFUNCTION("IFNA(VLOOKUP(IFNA(REGEXEXTRACT(F94, ""(Пасхи|50-ці|посту)""),""""),lists!$A$39:$B$41,2,FALSE),"""")"),"pentecost")</f>
        <v>pentecost</v>
      </c>
      <c r="O94" s="19" t="str">
        <f>IFERROR(__xludf.DUMMYFUNCTION("IFNA(REGEXEXTRACT(F94, ""\d{1,2}""),"""")"),"35")</f>
        <v>35</v>
      </c>
      <c r="P94" s="20" t="b">
        <f t="shared" si="3"/>
        <v>0</v>
      </c>
    </row>
    <row r="95">
      <c r="A95" s="12" t="s">
        <v>224</v>
      </c>
      <c r="B95" s="9" t="str">
        <f t="shared" si="1"/>
        <v>1 Ів.</v>
      </c>
      <c r="C95" s="10" t="s">
        <v>17</v>
      </c>
      <c r="D95" s="11" t="str">
        <f t="shared" si="2"/>
        <v>73</v>
      </c>
      <c r="E95" s="12" t="s">
        <v>18</v>
      </c>
      <c r="F95" s="21" t="s">
        <v>207</v>
      </c>
      <c r="G95" s="14"/>
      <c r="H95" s="15" t="s">
        <v>70</v>
      </c>
      <c r="I95" s="16" t="s">
        <v>71</v>
      </c>
      <c r="J95" s="23" t="s">
        <v>208</v>
      </c>
      <c r="K95" s="17"/>
      <c r="L95" s="16" t="s">
        <v>71</v>
      </c>
      <c r="M95" s="18" t="str">
        <f>IFNA( VLOOKUP(LEFT(F95, IFERROR(FIND(" ", F95, 1),1) - 1), lists!$A$31:$B$37, 2, FALSE),"")</f>
        <v/>
      </c>
      <c r="N95" s="18" t="str">
        <f>IFERROR(__xludf.DUMMYFUNCTION("IFNA(VLOOKUP(IFNA(REGEXEXTRACT(F95, ""(Пасхи|50-ці|посту)""),""""),lists!$A$39:$B$41,2,FALSE),"""")"),"")</f>
        <v/>
      </c>
      <c r="O95" s="19" t="str">
        <f>IFERROR(__xludf.DUMMYFUNCTION("IFNA(REGEXEXTRACT(F95, ""\d{1,2}""),"""")"),"26")</f>
        <v>26</v>
      </c>
      <c r="P95" s="20" t="b">
        <f t="shared" si="3"/>
        <v>0</v>
      </c>
    </row>
    <row r="96">
      <c r="A96" s="12" t="s">
        <v>225</v>
      </c>
      <c r="B96" s="9" t="str">
        <f t="shared" si="1"/>
        <v>1 Ів.</v>
      </c>
      <c r="C96" s="10" t="s">
        <v>17</v>
      </c>
      <c r="D96" s="11" t="str">
        <f t="shared" si="2"/>
        <v>73</v>
      </c>
      <c r="E96" s="12" t="s">
        <v>22</v>
      </c>
      <c r="F96" s="21" t="s">
        <v>210</v>
      </c>
      <c r="G96" s="14"/>
      <c r="H96" s="22"/>
      <c r="I96" s="16" t="s">
        <v>29</v>
      </c>
      <c r="J96" s="23" t="s">
        <v>203</v>
      </c>
      <c r="K96" s="16">
        <v>2.0</v>
      </c>
      <c r="L96" s="16">
        <v>3.0</v>
      </c>
      <c r="M96" s="18">
        <f>IFNA( VLOOKUP(LEFT(F96, IFERROR(FIND(" ", F96, 1),1) - 1), lists!$A$31:$B$37, 2, FALSE),"")</f>
        <v>3</v>
      </c>
      <c r="N96" s="18" t="str">
        <f>IFERROR(__xludf.DUMMYFUNCTION("IFNA(VLOOKUP(IFNA(REGEXEXTRACT(F96, ""(Пасхи|50-ці|посту)""),""""),lists!$A$39:$B$41,2,FALSE),"""")"),"pentecost")</f>
        <v>pentecost</v>
      </c>
      <c r="O96" s="19" t="str">
        <f>IFERROR(__xludf.DUMMYFUNCTION("IFNA(REGEXEXTRACT(F96, ""\d{1,2}""),"""")"),"35")</f>
        <v>35</v>
      </c>
      <c r="P96" s="20" t="b">
        <f t="shared" si="3"/>
        <v>0</v>
      </c>
    </row>
    <row r="97">
      <c r="A97" s="12" t="s">
        <v>226</v>
      </c>
      <c r="B97" s="33" t="str">
        <f t="shared" si="1"/>
        <v>1 Ів.</v>
      </c>
      <c r="C97" s="10" t="s">
        <v>17</v>
      </c>
      <c r="D97" s="34" t="str">
        <f t="shared" si="2"/>
        <v>73</v>
      </c>
      <c r="E97" s="12" t="s">
        <v>116</v>
      </c>
      <c r="F97" s="21" t="s">
        <v>212</v>
      </c>
      <c r="G97" s="14"/>
      <c r="H97" s="15" t="s">
        <v>70</v>
      </c>
      <c r="I97" s="16" t="s">
        <v>71</v>
      </c>
      <c r="J97" s="23" t="s">
        <v>71</v>
      </c>
      <c r="K97" s="17"/>
      <c r="L97" s="16" t="s">
        <v>71</v>
      </c>
      <c r="M97" s="18" t="str">
        <f>IFNA( VLOOKUP(LEFT(F97, IFERROR(FIND(" ", F97, 1),1) - 1), lists!$A$31:$B$37, 2, FALSE),"")</f>
        <v/>
      </c>
      <c r="N97" s="18" t="str">
        <f>IFERROR(__xludf.DUMMYFUNCTION("IFNA(VLOOKUP(IFNA(REGEXEXTRACT(F97, ""(Пасхи|50-ці|посту)""),""""),lists!$A$39:$B$41,2,FALSE),"""")"),"")</f>
        <v/>
      </c>
      <c r="O97" s="19" t="str">
        <f>IFERROR(__xludf.DUMMYFUNCTION("IFNA(REGEXEXTRACT(F97, ""\d{1,2}""),"""")"),"")</f>
        <v/>
      </c>
      <c r="P97" s="20" t="b">
        <f t="shared" si="3"/>
        <v>0</v>
      </c>
    </row>
    <row r="98">
      <c r="A98" s="12" t="s">
        <v>227</v>
      </c>
      <c r="B98" s="9" t="str">
        <f t="shared" si="1"/>
        <v>1 Ів.</v>
      </c>
      <c r="C98" s="10" t="s">
        <v>17</v>
      </c>
      <c r="D98" s="11" t="str">
        <f t="shared" si="2"/>
        <v>74</v>
      </c>
      <c r="E98" s="9"/>
      <c r="F98" s="21" t="s">
        <v>214</v>
      </c>
      <c r="G98" s="14"/>
      <c r="H98" s="22"/>
      <c r="I98" s="16" t="s">
        <v>29</v>
      </c>
      <c r="J98" s="23" t="s">
        <v>203</v>
      </c>
      <c r="K98" s="16">
        <v>2.0</v>
      </c>
      <c r="L98" s="16">
        <v>4.0</v>
      </c>
      <c r="M98" s="18">
        <f>IFNA( VLOOKUP(LEFT(F98, IFERROR(FIND(" ", F98, 1),1) - 1), lists!$A$31:$B$37, 2, FALSE),"")</f>
        <v>4</v>
      </c>
      <c r="N98" s="18" t="str">
        <f>IFERROR(__xludf.DUMMYFUNCTION("IFNA(VLOOKUP(IFNA(REGEXEXTRACT(F98, ""(Пасхи|50-ці|посту)""),""""),lists!$A$39:$B$41,2,FALSE),"""")"),"pentecost")</f>
        <v>pentecost</v>
      </c>
      <c r="O98" s="19" t="str">
        <f>IFERROR(__xludf.DUMMYFUNCTION("IFNA(REGEXEXTRACT(F98, ""\d{1,2}""),"""")"),"35")</f>
        <v>35</v>
      </c>
      <c r="P98" s="20" t="b">
        <f t="shared" si="3"/>
        <v>0</v>
      </c>
    </row>
    <row r="99">
      <c r="A99" s="12" t="s">
        <v>228</v>
      </c>
      <c r="B99" s="9" t="str">
        <f t="shared" si="1"/>
        <v>2 Ів.</v>
      </c>
      <c r="C99" s="10" t="s">
        <v>17</v>
      </c>
      <c r="D99" s="11" t="str">
        <f t="shared" si="2"/>
        <v>75</v>
      </c>
      <c r="E99" s="9"/>
      <c r="F99" s="21" t="s">
        <v>216</v>
      </c>
      <c r="G99" s="14"/>
      <c r="H99" s="22"/>
      <c r="I99" s="16" t="s">
        <v>29</v>
      </c>
      <c r="J99" s="23" t="s">
        <v>203</v>
      </c>
      <c r="K99" s="16">
        <v>2.0</v>
      </c>
      <c r="L99" s="16">
        <v>5.0</v>
      </c>
      <c r="M99" s="18">
        <f>IFNA( VLOOKUP(LEFT(F99, IFERROR(FIND(" ", F99, 1),1) - 1), lists!$A$31:$B$37, 2, FALSE),"")</f>
        <v>5</v>
      </c>
      <c r="N99" s="18" t="str">
        <f>IFERROR(__xludf.DUMMYFUNCTION("IFNA(VLOOKUP(IFNA(REGEXEXTRACT(F99, ""(Пасхи|50-ці|посту)""),""""),lists!$A$39:$B$41,2,FALSE),"""")"),"pentecost")</f>
        <v>pentecost</v>
      </c>
      <c r="O99" s="19" t="str">
        <f>IFERROR(__xludf.DUMMYFUNCTION("IFNA(REGEXEXTRACT(F99, ""\d{1,2}""),"""")"),"35")</f>
        <v>35</v>
      </c>
      <c r="P99" s="20" t="b">
        <f t="shared" si="3"/>
        <v>0</v>
      </c>
    </row>
    <row r="100">
      <c r="A100" s="12" t="s">
        <v>229</v>
      </c>
      <c r="B100" s="9" t="str">
        <f t="shared" si="1"/>
        <v>3 Ів.</v>
      </c>
      <c r="C100" s="10" t="s">
        <v>17</v>
      </c>
      <c r="D100" s="11" t="str">
        <f t="shared" si="2"/>
        <v>76</v>
      </c>
      <c r="E100" s="9"/>
      <c r="F100" s="21" t="s">
        <v>218</v>
      </c>
      <c r="G100" s="14"/>
      <c r="H100" s="22"/>
      <c r="I100" s="16" t="s">
        <v>29</v>
      </c>
      <c r="J100" s="23">
        <v>36.0</v>
      </c>
      <c r="K100" s="16">
        <v>1.0</v>
      </c>
      <c r="L100" s="16">
        <v>1.0</v>
      </c>
      <c r="M100" s="18">
        <f>IFNA( VLOOKUP(LEFT(F100, IFERROR(FIND(" ", F100, 1),1) - 1), lists!$A$31:$B$37, 2, FALSE),"")</f>
        <v>1</v>
      </c>
      <c r="N100" s="18" t="str">
        <f>IFERROR(__xludf.DUMMYFUNCTION("IFNA(VLOOKUP(IFNA(REGEXEXTRACT(F100, ""(Пасхи|50-ці|посту)""),""""),lists!$A$39:$B$41,2,FALSE),"""")"),"")</f>
        <v/>
      </c>
      <c r="O100" s="19" t="str">
        <f>IFERROR(__xludf.DUMMYFUNCTION("IFNA(REGEXEXTRACT(F100, ""\d{1,2}""),"""")"),"")</f>
        <v/>
      </c>
      <c r="P100" s="20" t="b">
        <f t="shared" si="3"/>
        <v>0</v>
      </c>
    </row>
    <row r="101">
      <c r="A101" s="9" t="s">
        <v>230</v>
      </c>
      <c r="B101" s="9" t="str">
        <f t="shared" si="1"/>
        <v>Юд.</v>
      </c>
      <c r="C101" s="10" t="s">
        <v>17</v>
      </c>
      <c r="D101" s="11" t="str">
        <f t="shared" si="2"/>
        <v>77</v>
      </c>
      <c r="E101" s="9"/>
      <c r="F101" s="21" t="s">
        <v>231</v>
      </c>
      <c r="G101" s="14"/>
      <c r="H101" s="22"/>
      <c r="I101" s="16" t="s">
        <v>29</v>
      </c>
      <c r="J101" s="23">
        <v>36.0</v>
      </c>
      <c r="K101" s="16">
        <v>1.0</v>
      </c>
      <c r="L101" s="16">
        <v>2.0</v>
      </c>
      <c r="M101" s="18" t="str">
        <f>IFNA( VLOOKUP(LEFT(F101, IFERROR(FIND(" ", F101, 1),1) - 1), lists!$A$31:$B$37, 2, FALSE),"")</f>
        <v/>
      </c>
      <c r="N101" s="18" t="str">
        <f>IFERROR(__xludf.DUMMYFUNCTION("IFNA(VLOOKUP(IFNA(REGEXEXTRACT(F101, ""(Пасхи|50-ці|посту)""),""""),lists!$A$39:$B$41,2,FALSE),"""")"),"")</f>
        <v/>
      </c>
      <c r="O101" s="19" t="str">
        <f>IFERROR(__xludf.DUMMYFUNCTION("IFNA(REGEXEXTRACT(F101, ""\d{1,2}""),"""")"),"")</f>
        <v/>
      </c>
      <c r="P101" s="20" t="b">
        <f t="shared" si="3"/>
        <v>0</v>
      </c>
    </row>
    <row r="102">
      <c r="A102" s="9" t="s">
        <v>232</v>
      </c>
      <c r="B102" s="9" t="str">
        <f t="shared" si="1"/>
        <v>Юд.</v>
      </c>
      <c r="C102" s="10" t="s">
        <v>17</v>
      </c>
      <c r="D102" s="11" t="str">
        <f t="shared" si="2"/>
        <v>78</v>
      </c>
      <c r="E102" s="9"/>
      <c r="F102" s="21" t="s">
        <v>233</v>
      </c>
      <c r="G102" s="14"/>
      <c r="H102" s="22"/>
      <c r="I102" s="16" t="s">
        <v>29</v>
      </c>
      <c r="J102" s="23">
        <v>36.0</v>
      </c>
      <c r="K102" s="16">
        <v>1.0</v>
      </c>
      <c r="L102" s="16">
        <v>4.0</v>
      </c>
      <c r="M102" s="18" t="str">
        <f>IFNA( VLOOKUP(LEFT(F102, IFERROR(FIND(" ", F102, 1),1) - 1), lists!$A$31:$B$37, 2, FALSE),"")</f>
        <v/>
      </c>
      <c r="N102" s="18" t="str">
        <f>IFERROR(__xludf.DUMMYFUNCTION("IFNA(VLOOKUP(IFNA(REGEXEXTRACT(F102, ""(Пасхи|50-ці|посту)""),""""),lists!$A$39:$B$41,2,FALSE),"""")"),"")</f>
        <v/>
      </c>
      <c r="O102" s="19" t="str">
        <f>IFERROR(__xludf.DUMMYFUNCTION("IFNA(REGEXEXTRACT(F102, ""\d{1,2}""),"""")"),"")</f>
        <v/>
      </c>
      <c r="P102" s="20" t="b">
        <f t="shared" si="3"/>
        <v>0</v>
      </c>
    </row>
    <row r="103">
      <c r="A103" s="24" t="s">
        <v>234</v>
      </c>
      <c r="B103" s="9" t="str">
        <f t="shared" si="1"/>
        <v>Рим.</v>
      </c>
      <c r="C103" s="10" t="s">
        <v>17</v>
      </c>
      <c r="D103" s="11" t="str">
        <f t="shared" si="2"/>
        <v>79</v>
      </c>
      <c r="E103" s="12" t="s">
        <v>18</v>
      </c>
      <c r="F103" s="13" t="s">
        <v>235</v>
      </c>
      <c r="G103" s="14"/>
      <c r="H103" s="22"/>
      <c r="I103" s="16" t="s">
        <v>29</v>
      </c>
      <c r="J103" s="23" t="s">
        <v>166</v>
      </c>
      <c r="K103" s="17"/>
      <c r="L103" s="16">
        <v>2.0</v>
      </c>
      <c r="M103" s="18">
        <f>IFNA( VLOOKUP(LEFT(F103, IFERROR(FIND(" ", F103, 1),1) - 1), lists!$A$31:$B$37, 2, FALSE),"")</f>
        <v>2</v>
      </c>
      <c r="N103" s="18" t="str">
        <f>IFERROR(__xludf.DUMMYFUNCTION("IFNA(VLOOKUP(IFNA(REGEXEXTRACT(F103, ""(Пасхи|50-ці|посту)""),""""),lists!$A$39:$B$41,2,FALSE),"""")"),"pentecost")</f>
        <v>pentecost</v>
      </c>
      <c r="O103" s="19" t="str">
        <f>IFERROR(__xludf.DUMMYFUNCTION("IFNA(REGEXEXTRACT(F103, ""\d{1,2}""),"""")"),"1")</f>
        <v>1</v>
      </c>
      <c r="P103" s="20" t="b">
        <f t="shared" si="3"/>
        <v>0</v>
      </c>
    </row>
    <row r="104">
      <c r="A104" s="9" t="s">
        <v>236</v>
      </c>
      <c r="B104" s="9" t="str">
        <f t="shared" si="1"/>
        <v>Рим.</v>
      </c>
      <c r="C104" s="10" t="s">
        <v>17</v>
      </c>
      <c r="D104" s="11" t="str">
        <f t="shared" si="2"/>
        <v>79</v>
      </c>
      <c r="E104" s="12" t="s">
        <v>22</v>
      </c>
      <c r="F104" s="13" t="s">
        <v>237</v>
      </c>
      <c r="G104" s="14"/>
      <c r="H104" s="22"/>
      <c r="I104" s="16" t="s">
        <v>29</v>
      </c>
      <c r="J104" s="23" t="s">
        <v>166</v>
      </c>
      <c r="K104" s="17"/>
      <c r="L104" s="16">
        <v>6.0</v>
      </c>
      <c r="M104" s="18">
        <f>IFNA( VLOOKUP(LEFT(F104, IFERROR(FIND(" ", F104, 1),1) - 1), lists!$A$31:$B$37, 2, FALSE),"")</f>
        <v>6</v>
      </c>
      <c r="N104" s="18" t="str">
        <f>IFERROR(__xludf.DUMMYFUNCTION("IFNA(VLOOKUP(IFNA(REGEXEXTRACT(F104, ""(Пасхи|50-ці|посту)""),""""),lists!$A$39:$B$41,2,FALSE),"""")"),"pentecost")</f>
        <v>pentecost</v>
      </c>
      <c r="O104" s="19" t="str">
        <f>IFERROR(__xludf.DUMMYFUNCTION("IFNA(REGEXEXTRACT(F104, ""\d{1,2}""),"""")"),"1")</f>
        <v>1</v>
      </c>
      <c r="P104" s="20" t="b">
        <f t="shared" si="3"/>
        <v>0</v>
      </c>
    </row>
    <row r="105">
      <c r="A105" s="9" t="s">
        <v>238</v>
      </c>
      <c r="B105" s="9" t="str">
        <f t="shared" si="1"/>
        <v>Рим.</v>
      </c>
      <c r="C105" s="10" t="s">
        <v>17</v>
      </c>
      <c r="D105" s="11" t="str">
        <f t="shared" si="2"/>
        <v>80</v>
      </c>
      <c r="E105" s="9"/>
      <c r="F105" s="13" t="s">
        <v>239</v>
      </c>
      <c r="G105" s="14"/>
      <c r="H105" s="22"/>
      <c r="I105" s="16" t="s">
        <v>29</v>
      </c>
      <c r="J105" s="23" t="s">
        <v>166</v>
      </c>
      <c r="K105" s="17"/>
      <c r="L105" s="16">
        <v>3.0</v>
      </c>
      <c r="M105" s="18">
        <f>IFNA( VLOOKUP(LEFT(F105, IFERROR(FIND(" ", F105, 1),1) - 1), lists!$A$31:$B$37, 2, FALSE),"")</f>
        <v>3</v>
      </c>
      <c r="N105" s="18" t="str">
        <f>IFERROR(__xludf.DUMMYFUNCTION("IFNA(VLOOKUP(IFNA(REGEXEXTRACT(F105, ""(Пасхи|50-ці|посту)""),""""),lists!$A$39:$B$41,2,FALSE),"""")"),"pentecost")</f>
        <v>pentecost</v>
      </c>
      <c r="O105" s="19" t="str">
        <f>IFERROR(__xludf.DUMMYFUNCTION("IFNA(REGEXEXTRACT(F105, ""\d{1,2}""),"""")"),"1")</f>
        <v>1</v>
      </c>
      <c r="P105" s="20" t="b">
        <f t="shared" si="3"/>
        <v>0</v>
      </c>
    </row>
    <row r="106">
      <c r="A106" s="9" t="s">
        <v>240</v>
      </c>
      <c r="B106" s="9" t="str">
        <f t="shared" si="1"/>
        <v>Рим.</v>
      </c>
      <c r="C106" s="10" t="s">
        <v>17</v>
      </c>
      <c r="D106" s="11" t="str">
        <f t="shared" si="2"/>
        <v>81</v>
      </c>
      <c r="E106" s="12" t="s">
        <v>18</v>
      </c>
      <c r="F106" s="13" t="s">
        <v>241</v>
      </c>
      <c r="G106" s="14"/>
      <c r="H106" s="22"/>
      <c r="I106" s="16" t="s">
        <v>29</v>
      </c>
      <c r="J106" s="23" t="s">
        <v>166</v>
      </c>
      <c r="K106" s="17"/>
      <c r="L106" s="16">
        <v>4.0</v>
      </c>
      <c r="M106" s="18">
        <f>IFNA( VLOOKUP(LEFT(F106, IFERROR(FIND(" ", F106, 1),1) - 1), lists!$A$31:$B$37, 2, FALSE),"")</f>
        <v>4</v>
      </c>
      <c r="N106" s="18" t="str">
        <f>IFERROR(__xludf.DUMMYFUNCTION("IFNA(VLOOKUP(IFNA(REGEXEXTRACT(F106, ""(Пасхи|50-ці|посту)""),""""),lists!$A$39:$B$41,2,FALSE),"""")"),"pentecost")</f>
        <v>pentecost</v>
      </c>
      <c r="O106" s="19" t="str">
        <f>IFERROR(__xludf.DUMMYFUNCTION("IFNA(REGEXEXTRACT(F106, ""\d{1,2}""),"""")"),"1")</f>
        <v>1</v>
      </c>
      <c r="P106" s="20" t="b">
        <f t="shared" si="3"/>
        <v>0</v>
      </c>
    </row>
    <row r="107">
      <c r="A107" s="9" t="s">
        <v>242</v>
      </c>
      <c r="B107" s="9" t="str">
        <f t="shared" si="1"/>
        <v>Рим.</v>
      </c>
      <c r="C107" s="10" t="s">
        <v>17</v>
      </c>
      <c r="D107" s="11" t="str">
        <f t="shared" si="2"/>
        <v>81</v>
      </c>
      <c r="E107" s="12" t="s">
        <v>22</v>
      </c>
      <c r="F107" s="13" t="s">
        <v>243</v>
      </c>
      <c r="G107" s="14"/>
      <c r="H107" s="22"/>
      <c r="I107" s="16" t="s">
        <v>29</v>
      </c>
      <c r="J107" s="23" t="s">
        <v>54</v>
      </c>
      <c r="K107" s="17"/>
      <c r="L107" s="16">
        <v>7.0</v>
      </c>
      <c r="M107" s="18">
        <f>IFNA( VLOOKUP(LEFT(F107, IFERROR(FIND(" ", F107, 1),1) - 1), lists!$A$31:$B$37, 2, FALSE),"")</f>
        <v>7</v>
      </c>
      <c r="N107" s="18" t="str">
        <f>IFERROR(__xludf.DUMMYFUNCTION("IFNA(VLOOKUP(IFNA(REGEXEXTRACT(F107, ""(Пасхи|50-ці|посту)""),""""),lists!$A$39:$B$41,2,FALSE),"""")"),"pentecost")</f>
        <v>pentecost</v>
      </c>
      <c r="O107" s="19" t="str">
        <f>IFERROR(__xludf.DUMMYFUNCTION("IFNA(REGEXEXTRACT(F107, ""\d{1,2}""),"""")"),"2")</f>
        <v>2</v>
      </c>
      <c r="P107" s="20" t="b">
        <f t="shared" si="3"/>
        <v>0</v>
      </c>
    </row>
    <row r="108">
      <c r="A108" s="9" t="s">
        <v>244</v>
      </c>
      <c r="B108" s="9" t="str">
        <f t="shared" si="1"/>
        <v>Рим.</v>
      </c>
      <c r="C108" s="10" t="s">
        <v>17</v>
      </c>
      <c r="D108" s="11" t="str">
        <f t="shared" si="2"/>
        <v>82</v>
      </c>
      <c r="E108" s="9"/>
      <c r="F108" s="13" t="s">
        <v>245</v>
      </c>
      <c r="G108" s="14"/>
      <c r="H108" s="22"/>
      <c r="I108" s="16" t="s">
        <v>29</v>
      </c>
      <c r="J108" s="23" t="s">
        <v>166</v>
      </c>
      <c r="K108" s="17"/>
      <c r="L108" s="16">
        <v>5.0</v>
      </c>
      <c r="M108" s="18">
        <f>IFNA( VLOOKUP(LEFT(F108, IFERROR(FIND(" ", F108, 1),1) - 1), lists!$A$31:$B$37, 2, FALSE),"")</f>
        <v>5</v>
      </c>
      <c r="N108" s="18" t="str">
        <f>IFERROR(__xludf.DUMMYFUNCTION("IFNA(VLOOKUP(IFNA(REGEXEXTRACT(F108, ""(Пасхи|50-ці|посту)""),""""),lists!$A$39:$B$41,2,FALSE),"""")"),"pentecost")</f>
        <v>pentecost</v>
      </c>
      <c r="O108" s="19" t="str">
        <f>IFERROR(__xludf.DUMMYFUNCTION("IFNA(REGEXEXTRACT(F108, ""\d{1,2}""),"""")"),"1")</f>
        <v>1</v>
      </c>
      <c r="P108" s="20" t="b">
        <f t="shared" si="3"/>
        <v>0</v>
      </c>
    </row>
    <row r="109">
      <c r="A109" s="9" t="s">
        <v>246</v>
      </c>
      <c r="B109" s="9" t="str">
        <f t="shared" si="1"/>
        <v>Рим.</v>
      </c>
      <c r="C109" s="10" t="s">
        <v>17</v>
      </c>
      <c r="D109" s="11" t="str">
        <f t="shared" si="2"/>
        <v>83</v>
      </c>
      <c r="E109" s="9"/>
      <c r="F109" s="21" t="s">
        <v>247</v>
      </c>
      <c r="G109" s="14"/>
      <c r="H109" s="22"/>
      <c r="I109" s="16" t="s">
        <v>29</v>
      </c>
      <c r="J109" s="23" t="s">
        <v>54</v>
      </c>
      <c r="K109" s="17"/>
      <c r="L109" s="16">
        <v>1.0</v>
      </c>
      <c r="M109" s="18">
        <f>IFNA( VLOOKUP(LEFT(F109, IFERROR(FIND(" ", F109, 1),1) - 1), lists!$A$31:$B$37, 2, FALSE),"")</f>
        <v>1</v>
      </c>
      <c r="N109" s="18" t="str">
        <f>IFERROR(__xludf.DUMMYFUNCTION("IFNA(VLOOKUP(IFNA(REGEXEXTRACT(F109, ""(Пасхи|50-ці|посту)""),""""),lists!$A$39:$B$41,2,FALSE),"""")"),"pentecost")</f>
        <v>pentecost</v>
      </c>
      <c r="O109" s="19" t="str">
        <f>IFERROR(__xludf.DUMMYFUNCTION("IFNA(REGEXEXTRACT(F109, ""\d{1,2}""),"""")"),"2")</f>
        <v>2</v>
      </c>
      <c r="P109" s="20" t="b">
        <f t="shared" si="3"/>
        <v>0</v>
      </c>
    </row>
    <row r="110">
      <c r="A110" s="9" t="s">
        <v>248</v>
      </c>
      <c r="B110" s="9" t="str">
        <f t="shared" si="1"/>
        <v>Рим.</v>
      </c>
      <c r="C110" s="10" t="s">
        <v>17</v>
      </c>
      <c r="D110" s="11" t="str">
        <f t="shared" si="2"/>
        <v>84</v>
      </c>
      <c r="E110" s="9"/>
      <c r="F110" s="21" t="s">
        <v>249</v>
      </c>
      <c r="G110" s="14"/>
      <c r="H110" s="22"/>
      <c r="I110" s="16" t="s">
        <v>29</v>
      </c>
      <c r="J110" s="23" t="s">
        <v>54</v>
      </c>
      <c r="K110" s="17"/>
      <c r="L110" s="16">
        <v>6.0</v>
      </c>
      <c r="M110" s="18">
        <f>IFNA( VLOOKUP(LEFT(F110, IFERROR(FIND(" ", F110, 1),1) - 1), lists!$A$31:$B$37, 2, FALSE),"")</f>
        <v>6</v>
      </c>
      <c r="N110" s="18" t="str">
        <f>IFERROR(__xludf.DUMMYFUNCTION("IFNA(VLOOKUP(IFNA(REGEXEXTRACT(F110, ""(Пасхи|50-ці|посту)""),""""),lists!$A$39:$B$41,2,FALSE),"""")"),"pentecost")</f>
        <v>pentecost</v>
      </c>
      <c r="O110" s="19" t="str">
        <f>IFERROR(__xludf.DUMMYFUNCTION("IFNA(REGEXEXTRACT(F110, ""\d{1,2}""),"""")"),"2")</f>
        <v>2</v>
      </c>
      <c r="P110" s="20" t="b">
        <f t="shared" si="3"/>
        <v>0</v>
      </c>
    </row>
    <row r="111">
      <c r="A111" s="9" t="s">
        <v>250</v>
      </c>
      <c r="B111" s="9" t="str">
        <f t="shared" si="1"/>
        <v>Рим.</v>
      </c>
      <c r="C111" s="10" t="s">
        <v>17</v>
      </c>
      <c r="D111" s="11" t="str">
        <f t="shared" si="2"/>
        <v>85</v>
      </c>
      <c r="E111" s="9"/>
      <c r="F111" s="21" t="s">
        <v>251</v>
      </c>
      <c r="G111" s="14"/>
      <c r="H111" s="22"/>
      <c r="I111" s="16" t="s">
        <v>29</v>
      </c>
      <c r="J111" s="23" t="s">
        <v>57</v>
      </c>
      <c r="K111" s="17"/>
      <c r="L111" s="16">
        <v>6.0</v>
      </c>
      <c r="M111" s="18">
        <f>IFNA( VLOOKUP(LEFT(F111, IFERROR(FIND(" ", F111, 1),1) - 1), lists!$A$31:$B$37, 2, FALSE),"")</f>
        <v>6</v>
      </c>
      <c r="N111" s="18" t="str">
        <f>IFERROR(__xludf.DUMMYFUNCTION("IFNA(VLOOKUP(IFNA(REGEXEXTRACT(F111, ""(Пасхи|50-ці|посту)""),""""),lists!$A$39:$B$41,2,FALSE),"""")"),"pentecost")</f>
        <v>pentecost</v>
      </c>
      <c r="O111" s="19" t="str">
        <f>IFERROR(__xludf.DUMMYFUNCTION("IFNA(REGEXEXTRACT(F111, ""\d{1,2}""),"""")"),"3")</f>
        <v>3</v>
      </c>
      <c r="P111" s="20" t="b">
        <f t="shared" si="3"/>
        <v>0</v>
      </c>
    </row>
    <row r="112">
      <c r="A112" s="9" t="s">
        <v>252</v>
      </c>
      <c r="B112" s="9" t="str">
        <f t="shared" si="1"/>
        <v>Рим.</v>
      </c>
      <c r="C112" s="10" t="s">
        <v>17</v>
      </c>
      <c r="D112" s="11" t="str">
        <f t="shared" si="2"/>
        <v>86</v>
      </c>
      <c r="E112" s="9"/>
      <c r="F112" s="21" t="s">
        <v>253</v>
      </c>
      <c r="G112" s="14"/>
      <c r="H112" s="22"/>
      <c r="I112" s="16" t="s">
        <v>29</v>
      </c>
      <c r="J112" s="23" t="s">
        <v>54</v>
      </c>
      <c r="K112" s="17"/>
      <c r="L112" s="16">
        <v>2.0</v>
      </c>
      <c r="M112" s="18">
        <f>IFNA( VLOOKUP(LEFT(F112, IFERROR(FIND(" ", F112, 1),1) - 1), lists!$A$31:$B$37, 2, FALSE),"")</f>
        <v>2</v>
      </c>
      <c r="N112" s="18" t="str">
        <f>IFERROR(__xludf.DUMMYFUNCTION("IFNA(VLOOKUP(IFNA(REGEXEXTRACT(F112, ""(Пасхи|50-ці|посту)""),""""),lists!$A$39:$B$41,2,FALSE),"""")"),"pentecost")</f>
        <v>pentecost</v>
      </c>
      <c r="O112" s="19" t="str">
        <f>IFERROR(__xludf.DUMMYFUNCTION("IFNA(REGEXEXTRACT(F112, ""\d{1,2}""),"""")"),"2")</f>
        <v>2</v>
      </c>
      <c r="P112" s="20" t="b">
        <f t="shared" si="3"/>
        <v>0</v>
      </c>
    </row>
    <row r="113">
      <c r="A113" s="9" t="s">
        <v>254</v>
      </c>
      <c r="B113" s="9" t="str">
        <f t="shared" si="1"/>
        <v>Рим.</v>
      </c>
      <c r="C113" s="10" t="s">
        <v>17</v>
      </c>
      <c r="D113" s="11" t="str">
        <f t="shared" si="2"/>
        <v>87</v>
      </c>
      <c r="E113" s="9"/>
      <c r="F113" s="21" t="s">
        <v>255</v>
      </c>
      <c r="G113" s="14"/>
      <c r="H113" s="22"/>
      <c r="I113" s="16" t="s">
        <v>29</v>
      </c>
      <c r="J113" s="23" t="s">
        <v>54</v>
      </c>
      <c r="K113" s="17"/>
      <c r="L113" s="16">
        <v>3.0</v>
      </c>
      <c r="M113" s="18">
        <f>IFNA( VLOOKUP(LEFT(F113, IFERROR(FIND(" ", F113, 1),1) - 1), lists!$A$31:$B$37, 2, FALSE),"")</f>
        <v>3</v>
      </c>
      <c r="N113" s="18" t="str">
        <f>IFERROR(__xludf.DUMMYFUNCTION("IFNA(VLOOKUP(IFNA(REGEXEXTRACT(F113, ""(Пасхи|50-ці|посту)""),""""),lists!$A$39:$B$41,2,FALSE),"""")"),"pentecost")</f>
        <v>pentecost</v>
      </c>
      <c r="O113" s="19" t="str">
        <f>IFERROR(__xludf.DUMMYFUNCTION("IFNA(REGEXEXTRACT(F113, ""\d{1,2}""),"""")"),"2")</f>
        <v>2</v>
      </c>
      <c r="P113" s="20" t="b">
        <f t="shared" si="3"/>
        <v>0</v>
      </c>
    </row>
    <row r="114">
      <c r="A114" s="9" t="s">
        <v>256</v>
      </c>
      <c r="B114" s="9" t="str">
        <f t="shared" si="1"/>
        <v>Рим.</v>
      </c>
      <c r="C114" s="10" t="s">
        <v>17</v>
      </c>
      <c r="D114" s="11" t="str">
        <f t="shared" si="2"/>
        <v>88</v>
      </c>
      <c r="E114" s="26" t="s">
        <v>18</v>
      </c>
      <c r="F114" s="21" t="s">
        <v>257</v>
      </c>
      <c r="G114" s="14"/>
      <c r="H114" s="22"/>
      <c r="I114" s="16" t="s">
        <v>29</v>
      </c>
      <c r="J114" s="23" t="s">
        <v>57</v>
      </c>
      <c r="K114" s="17"/>
      <c r="L114" s="16">
        <v>7.0</v>
      </c>
      <c r="M114" s="18">
        <f>IFNA( VLOOKUP(LEFT(F114, IFERROR(FIND(" ", F114, 1),1) - 1), lists!$A$31:$B$37, 2, FALSE),"")</f>
        <v>7</v>
      </c>
      <c r="N114" s="18" t="str">
        <f>IFERROR(__xludf.DUMMYFUNCTION("IFNA(VLOOKUP(IFNA(REGEXEXTRACT(F114, ""(Пасхи|50-ці|посту)""),""""),lists!$A$39:$B$41,2,FALSE),"""")"),"pentecost")</f>
        <v>pentecost</v>
      </c>
      <c r="O114" s="19" t="str">
        <f>IFERROR(__xludf.DUMMYFUNCTION("IFNA(REGEXEXTRACT(F114, ""\d{1,2}""),"""")"),"3")</f>
        <v>3</v>
      </c>
      <c r="P114" s="20" t="b">
        <f t="shared" si="3"/>
        <v>0</v>
      </c>
    </row>
    <row r="115">
      <c r="A115" s="9" t="s">
        <v>258</v>
      </c>
      <c r="B115" s="33" t="str">
        <f t="shared" si="1"/>
        <v>Рим.</v>
      </c>
      <c r="C115" s="10" t="s">
        <v>17</v>
      </c>
      <c r="D115" s="34" t="str">
        <f t="shared" si="2"/>
        <v>88</v>
      </c>
      <c r="E115" s="26" t="s">
        <v>22</v>
      </c>
      <c r="F115" s="21" t="s">
        <v>259</v>
      </c>
      <c r="G115" s="14"/>
      <c r="H115" s="15" t="s">
        <v>70</v>
      </c>
      <c r="I115" s="16" t="s">
        <v>71</v>
      </c>
      <c r="J115" s="23" t="s">
        <v>57</v>
      </c>
      <c r="K115" s="17"/>
      <c r="L115" s="16" t="s">
        <v>71</v>
      </c>
      <c r="M115" s="18" t="str">
        <f>IFNA( VLOOKUP(LEFT(F115, IFERROR(FIND(" ", F115, 1),1) - 1), lists!$A$31:$B$37, 2, FALSE),"")</f>
        <v/>
      </c>
      <c r="N115" s="18" t="str">
        <f>IFERROR(__xludf.DUMMYFUNCTION("IFNA(VLOOKUP(IFNA(REGEXEXTRACT(F115, ""(Пасхи|50-ці|посту)""),""""),lists!$A$39:$B$41,2,FALSE),"""")"),"")</f>
        <v/>
      </c>
      <c r="O115" s="19" t="str">
        <f>IFERROR(__xludf.DUMMYFUNCTION("IFNA(REGEXEXTRACT(F115, ""\d{1,2}""),"""")"),"3")</f>
        <v>3</v>
      </c>
      <c r="P115" s="20" t="b">
        <f t="shared" si="3"/>
        <v>0</v>
      </c>
    </row>
    <row r="116">
      <c r="A116" s="9" t="s">
        <v>260</v>
      </c>
      <c r="B116" s="9" t="str">
        <f t="shared" si="1"/>
        <v>Рим.</v>
      </c>
      <c r="C116" s="10" t="s">
        <v>17</v>
      </c>
      <c r="D116" s="11" t="str">
        <f t="shared" si="2"/>
        <v>89</v>
      </c>
      <c r="E116" s="9"/>
      <c r="F116" s="21" t="s">
        <v>261</v>
      </c>
      <c r="G116" s="14"/>
      <c r="H116" s="22"/>
      <c r="I116" s="16" t="s">
        <v>29</v>
      </c>
      <c r="J116" s="23" t="s">
        <v>54</v>
      </c>
      <c r="K116" s="17"/>
      <c r="L116" s="16">
        <v>4.0</v>
      </c>
      <c r="M116" s="18">
        <f>IFNA( VLOOKUP(LEFT(F116, IFERROR(FIND(" ", F116, 1),1) - 1), lists!$A$31:$B$37, 2, FALSE),"")</f>
        <v>4</v>
      </c>
      <c r="N116" s="18" t="str">
        <f>IFERROR(__xludf.DUMMYFUNCTION("IFNA(VLOOKUP(IFNA(REGEXEXTRACT(F116, ""(Пасхи|50-ці|посту)""),""""),lists!$A$39:$B$41,2,FALSE),"""")"),"pentecost")</f>
        <v>pentecost</v>
      </c>
      <c r="O116" s="19" t="str">
        <f>IFERROR(__xludf.DUMMYFUNCTION("IFNA(REGEXEXTRACT(F116, ""\d{1,2}""),"""")"),"2")</f>
        <v>2</v>
      </c>
      <c r="P116" s="20" t="b">
        <f t="shared" si="3"/>
        <v>0</v>
      </c>
    </row>
    <row r="117">
      <c r="A117" s="9" t="s">
        <v>262</v>
      </c>
      <c r="B117" s="9" t="str">
        <f t="shared" si="1"/>
        <v>Рим.</v>
      </c>
      <c r="C117" s="10" t="s">
        <v>17</v>
      </c>
      <c r="D117" s="11" t="str">
        <f t="shared" si="2"/>
        <v>90</v>
      </c>
      <c r="E117" s="9"/>
      <c r="F117" s="21" t="s">
        <v>263</v>
      </c>
      <c r="G117" s="14"/>
      <c r="H117" s="22"/>
      <c r="I117" s="16" t="s">
        <v>29</v>
      </c>
      <c r="J117" s="23" t="s">
        <v>54</v>
      </c>
      <c r="K117" s="17"/>
      <c r="L117" s="16">
        <v>5.0</v>
      </c>
      <c r="M117" s="18">
        <f>IFNA( VLOOKUP(LEFT(F117, IFERROR(FIND(" ", F117, 1),1) - 1), lists!$A$31:$B$37, 2, FALSE),"")</f>
        <v>5</v>
      </c>
      <c r="N117" s="18" t="str">
        <f>IFERROR(__xludf.DUMMYFUNCTION("IFNA(VLOOKUP(IFNA(REGEXEXTRACT(F117, ""(Пасхи|50-ці|посту)""),""""),lists!$A$39:$B$41,2,FALSE),"""")"),"pentecost")</f>
        <v>pentecost</v>
      </c>
      <c r="O117" s="19" t="str">
        <f>IFERROR(__xludf.DUMMYFUNCTION("IFNA(REGEXEXTRACT(F117, ""\d{1,2}""),"""")"),"2")</f>
        <v>2</v>
      </c>
      <c r="P117" s="20" t="b">
        <f t="shared" si="3"/>
        <v>0</v>
      </c>
    </row>
    <row r="118">
      <c r="A118" s="9" t="s">
        <v>264</v>
      </c>
      <c r="B118" s="9" t="str">
        <f t="shared" si="1"/>
        <v>Рим.</v>
      </c>
      <c r="C118" s="10" t="s">
        <v>17</v>
      </c>
      <c r="D118" s="11" t="str">
        <f t="shared" si="2"/>
        <v>91</v>
      </c>
      <c r="E118" s="9"/>
      <c r="F118" s="27" t="s">
        <v>265</v>
      </c>
      <c r="G118" s="14"/>
      <c r="H118" s="22"/>
      <c r="I118" s="16" t="s">
        <v>20</v>
      </c>
      <c r="J118" s="23">
        <v>7.0</v>
      </c>
      <c r="K118" s="17"/>
      <c r="L118" s="16">
        <v>6.0</v>
      </c>
      <c r="M118" s="18" t="str">
        <f>IFNA( VLOOKUP(LEFT(F118, IFERROR(FIND(" ", F118, 1),1) - 1), lists!$A$31:$B$37, 2, FALSE),"")</f>
        <v/>
      </c>
      <c r="N118" s="18" t="str">
        <f>IFERROR(__xludf.DUMMYFUNCTION("IFNA(VLOOKUP(IFNA(REGEXEXTRACT(F118, ""(Пасхи|50-ці|посту)""),""""),lists!$A$39:$B$41,2,FALSE),"""")"),"")</f>
        <v/>
      </c>
      <c r="O118" s="19" t="str">
        <f>IFERROR(__xludf.DUMMYFUNCTION("IFNA(REGEXEXTRACT(F118, ""\d{1,2}""),"""")"),"")</f>
        <v/>
      </c>
      <c r="P118" s="20" t="b">
        <f t="shared" si="3"/>
        <v>0</v>
      </c>
    </row>
    <row r="119">
      <c r="A119" s="9" t="s">
        <v>266</v>
      </c>
      <c r="B119" s="9" t="str">
        <f t="shared" si="1"/>
        <v>Рим.</v>
      </c>
      <c r="C119" s="10" t="s">
        <v>17</v>
      </c>
      <c r="D119" s="11" t="str">
        <f t="shared" si="2"/>
        <v>92</v>
      </c>
      <c r="E119" s="9"/>
      <c r="F119" s="21" t="s">
        <v>267</v>
      </c>
      <c r="G119" s="14"/>
      <c r="H119" s="22"/>
      <c r="I119" s="16" t="s">
        <v>29</v>
      </c>
      <c r="J119" s="23" t="s">
        <v>78</v>
      </c>
      <c r="K119" s="17"/>
      <c r="L119" s="16">
        <v>6.0</v>
      </c>
      <c r="M119" s="18">
        <f>IFNA( VLOOKUP(LEFT(F119, IFERROR(FIND(" ", F119, 1),1) - 1), lists!$A$31:$B$37, 2, FALSE),"")</f>
        <v>6</v>
      </c>
      <c r="N119" s="18" t="str">
        <f>IFERROR(__xludf.DUMMYFUNCTION("IFNA(VLOOKUP(IFNA(REGEXEXTRACT(F119, ""(Пасхи|50-ці|посту)""),""""),lists!$A$39:$B$41,2,FALSE),"""")"),"pentecost")</f>
        <v>pentecost</v>
      </c>
      <c r="O119" s="19" t="str">
        <f>IFERROR(__xludf.DUMMYFUNCTION("IFNA(REGEXEXTRACT(F119, ""\d{1,2}""),"""")"),"4")</f>
        <v>4</v>
      </c>
      <c r="P119" s="20" t="b">
        <f t="shared" si="3"/>
        <v>0</v>
      </c>
    </row>
    <row r="120">
      <c r="A120" s="9" t="s">
        <v>268</v>
      </c>
      <c r="B120" s="9" t="str">
        <f t="shared" si="1"/>
        <v>Рим.</v>
      </c>
      <c r="C120" s="10" t="s">
        <v>17</v>
      </c>
      <c r="D120" s="11" t="str">
        <f t="shared" si="2"/>
        <v>93</v>
      </c>
      <c r="E120" s="9"/>
      <c r="F120" s="21" t="s">
        <v>269</v>
      </c>
      <c r="G120" s="14"/>
      <c r="H120" s="22"/>
      <c r="I120" s="16" t="s">
        <v>29</v>
      </c>
      <c r="J120" s="23" t="s">
        <v>78</v>
      </c>
      <c r="K120" s="17"/>
      <c r="L120" s="16">
        <v>7.0</v>
      </c>
      <c r="M120" s="18">
        <f>IFNA( VLOOKUP(LEFT(F120, IFERROR(FIND(" ", F120, 1),1) - 1), lists!$A$31:$B$37, 2, FALSE),"")</f>
        <v>7</v>
      </c>
      <c r="N120" s="18" t="str">
        <f>IFERROR(__xludf.DUMMYFUNCTION("IFNA(VLOOKUP(IFNA(REGEXEXTRACT(F120, ""(Пасхи|50-ці|посту)""),""""),lists!$A$39:$B$41,2,FALSE),"""")"),"pentecost")</f>
        <v>pentecost</v>
      </c>
      <c r="O120" s="19" t="str">
        <f>IFERROR(__xludf.DUMMYFUNCTION("IFNA(REGEXEXTRACT(F120, ""\d{1,2}""),"""")"),"4")</f>
        <v>4</v>
      </c>
      <c r="P120" s="20" t="b">
        <f t="shared" si="3"/>
        <v>0</v>
      </c>
    </row>
    <row r="121">
      <c r="A121" s="9" t="s">
        <v>270</v>
      </c>
      <c r="B121" s="9" t="str">
        <f t="shared" si="1"/>
        <v>Рим.</v>
      </c>
      <c r="C121" s="10" t="s">
        <v>17</v>
      </c>
      <c r="D121" s="11" t="str">
        <f t="shared" si="2"/>
        <v>94</v>
      </c>
      <c r="E121" s="9"/>
      <c r="F121" s="21" t="s">
        <v>271</v>
      </c>
      <c r="G121" s="14"/>
      <c r="H121" s="22"/>
      <c r="I121" s="16" t="s">
        <v>29</v>
      </c>
      <c r="J121" s="23" t="s">
        <v>57</v>
      </c>
      <c r="K121" s="17"/>
      <c r="L121" s="16">
        <v>1.0</v>
      </c>
      <c r="M121" s="18">
        <f>IFNA( VLOOKUP(LEFT(F121, IFERROR(FIND(" ", F121, 1),1) - 1), lists!$A$31:$B$37, 2, FALSE),"")</f>
        <v>1</v>
      </c>
      <c r="N121" s="18" t="str">
        <f>IFERROR(__xludf.DUMMYFUNCTION("IFNA(VLOOKUP(IFNA(REGEXEXTRACT(F121, ""(Пасхи|50-ці|посту)""),""""),lists!$A$39:$B$41,2,FALSE),"""")"),"pentecost")</f>
        <v>pentecost</v>
      </c>
      <c r="O121" s="19" t="str">
        <f>IFERROR(__xludf.DUMMYFUNCTION("IFNA(REGEXEXTRACT(F121, ""\d{1,2}""),"""")"),"3")</f>
        <v>3</v>
      </c>
      <c r="P121" s="20" t="b">
        <f t="shared" si="3"/>
        <v>0</v>
      </c>
    </row>
    <row r="122">
      <c r="A122" s="9" t="s">
        <v>272</v>
      </c>
      <c r="B122" s="9" t="str">
        <f t="shared" si="1"/>
        <v>Рим.</v>
      </c>
      <c r="C122" s="10" t="s">
        <v>17</v>
      </c>
      <c r="D122" s="11" t="str">
        <f t="shared" si="2"/>
        <v>95</v>
      </c>
      <c r="E122" s="9"/>
      <c r="F122" s="21" t="s">
        <v>273</v>
      </c>
      <c r="G122" s="14"/>
      <c r="H122" s="22"/>
      <c r="I122" s="16" t="s">
        <v>29</v>
      </c>
      <c r="J122" s="23" t="s">
        <v>57</v>
      </c>
      <c r="K122" s="17"/>
      <c r="L122" s="16">
        <v>2.0</v>
      </c>
      <c r="M122" s="18">
        <f>IFNA( VLOOKUP(LEFT(F122, IFERROR(FIND(" ", F122, 1),1) - 1), lists!$A$31:$B$37, 2, FALSE),"")</f>
        <v>2</v>
      </c>
      <c r="N122" s="18" t="str">
        <f>IFERROR(__xludf.DUMMYFUNCTION("IFNA(VLOOKUP(IFNA(REGEXEXTRACT(F122, ""(Пасхи|50-ці|посту)""),""""),lists!$A$39:$B$41,2,FALSE),"""")"),"pentecost")</f>
        <v>pentecost</v>
      </c>
      <c r="O122" s="19" t="str">
        <f>IFERROR(__xludf.DUMMYFUNCTION("IFNA(REGEXEXTRACT(F122, ""\d{1,2}""),"""")"),"3")</f>
        <v>3</v>
      </c>
      <c r="P122" s="20" t="b">
        <f t="shared" si="3"/>
        <v>0</v>
      </c>
    </row>
    <row r="123">
      <c r="A123" s="9" t="s">
        <v>274</v>
      </c>
      <c r="B123" s="9" t="str">
        <f t="shared" si="1"/>
        <v>Рим.</v>
      </c>
      <c r="C123" s="10" t="s">
        <v>17</v>
      </c>
      <c r="D123" s="11" t="str">
        <f t="shared" si="2"/>
        <v>96</v>
      </c>
      <c r="E123" s="26" t="s">
        <v>18</v>
      </c>
      <c r="F123" s="13" t="s">
        <v>275</v>
      </c>
      <c r="G123" s="14"/>
      <c r="H123" s="22"/>
      <c r="I123" s="16" t="s">
        <v>29</v>
      </c>
      <c r="J123" s="23" t="s">
        <v>57</v>
      </c>
      <c r="K123" s="17"/>
      <c r="L123" s="16">
        <v>3.0</v>
      </c>
      <c r="M123" s="18">
        <f>IFNA( VLOOKUP(LEFT(F123, IFERROR(FIND(" ", F123, 1),1) - 1), lists!$A$31:$B$37, 2, FALSE),"")</f>
        <v>3</v>
      </c>
      <c r="N123" s="18" t="str">
        <f>IFERROR(__xludf.DUMMYFUNCTION("IFNA(VLOOKUP(IFNA(REGEXEXTRACT(F123, ""(Пасхи|50-ці|посту)""),""""),lists!$A$39:$B$41,2,FALSE),"""")"),"pentecost")</f>
        <v>pentecost</v>
      </c>
      <c r="O123" s="19" t="str">
        <f>IFERROR(__xludf.DUMMYFUNCTION("IFNA(REGEXEXTRACT(F123, ""\d{1,2}""),"""")"),"3")</f>
        <v>3</v>
      </c>
      <c r="P123" s="20" t="b">
        <f t="shared" si="3"/>
        <v>0</v>
      </c>
    </row>
    <row r="124">
      <c r="A124" s="29" t="s">
        <v>276</v>
      </c>
      <c r="B124" s="9" t="str">
        <f t="shared" si="1"/>
        <v>Рим.</v>
      </c>
      <c r="C124" s="10" t="s">
        <v>17</v>
      </c>
      <c r="D124" s="11" t="str">
        <f t="shared" si="2"/>
        <v>96</v>
      </c>
      <c r="E124" s="26" t="s">
        <v>22</v>
      </c>
      <c r="F124" s="13" t="s">
        <v>277</v>
      </c>
      <c r="G124" s="14"/>
      <c r="H124" s="15" t="s">
        <v>70</v>
      </c>
      <c r="I124" s="16" t="s">
        <v>71</v>
      </c>
      <c r="J124" s="23" t="s">
        <v>278</v>
      </c>
      <c r="K124" s="17"/>
      <c r="L124" s="16" t="s">
        <v>71</v>
      </c>
      <c r="M124" s="18" t="str">
        <f>IFNA( VLOOKUP(LEFT(F124, IFERROR(FIND(" ", F124, 1),1) - 1), lists!$A$31:$B$37, 2, FALSE),"")</f>
        <v/>
      </c>
      <c r="N124" s="18" t="str">
        <f>IFERROR(__xludf.DUMMYFUNCTION("IFNA(VLOOKUP(IFNA(REGEXEXTRACT(F124, ""(Пасхи|50-ці|посту)""),""""),lists!$A$39:$B$41,2,FALSE),"""")"),"")</f>
        <v/>
      </c>
      <c r="O124" s="19" t="str">
        <f>IFERROR(__xludf.DUMMYFUNCTION("IFNA(REGEXEXTRACT(F124, ""\d{1,2}""),"""")"),"28")</f>
        <v>28</v>
      </c>
      <c r="P124" s="20" t="b">
        <f t="shared" si="3"/>
        <v>0</v>
      </c>
    </row>
    <row r="125">
      <c r="A125" s="9" t="s">
        <v>279</v>
      </c>
      <c r="B125" s="9" t="str">
        <f t="shared" si="1"/>
        <v>Рим.</v>
      </c>
      <c r="C125" s="10" t="s">
        <v>17</v>
      </c>
      <c r="D125" s="11" t="str">
        <f t="shared" si="2"/>
        <v>96</v>
      </c>
      <c r="E125" s="26" t="s">
        <v>116</v>
      </c>
      <c r="F125" s="13" t="s">
        <v>280</v>
      </c>
      <c r="G125" s="14"/>
      <c r="H125" s="15" t="s">
        <v>70</v>
      </c>
      <c r="I125" s="16" t="s">
        <v>71</v>
      </c>
      <c r="J125" s="23" t="s">
        <v>78</v>
      </c>
      <c r="K125" s="16"/>
      <c r="L125" s="16" t="s">
        <v>71</v>
      </c>
      <c r="M125" s="18" t="str">
        <f>IFNA( VLOOKUP(LEFT(F125, IFERROR(FIND(" ", F125, 1),1) - 1), lists!$A$31:$B$37, 2, FALSE),"")</f>
        <v/>
      </c>
      <c r="N125" s="18" t="str">
        <f>IFERROR(__xludf.DUMMYFUNCTION("IFNA(VLOOKUP(IFNA(REGEXEXTRACT(F125, ""(Пасхи|50-ці|посту)""),""""),lists!$A$39:$B$41,2,FALSE),"""")"),"")</f>
        <v/>
      </c>
      <c r="O125" s="19" t="str">
        <f>IFERROR(__xludf.DUMMYFUNCTION("IFNA(REGEXEXTRACT(F125, ""\d{1,2}""),"""")"),"4")</f>
        <v>4</v>
      </c>
      <c r="P125" s="20" t="b">
        <f t="shared" si="3"/>
        <v>0</v>
      </c>
    </row>
    <row r="126">
      <c r="A126" s="9" t="s">
        <v>281</v>
      </c>
      <c r="B126" s="9" t="str">
        <f t="shared" si="1"/>
        <v>Рим.</v>
      </c>
      <c r="C126" s="10" t="s">
        <v>17</v>
      </c>
      <c r="D126" s="11" t="str">
        <f t="shared" si="2"/>
        <v>97</v>
      </c>
      <c r="E126" s="9"/>
      <c r="F126" s="13" t="s">
        <v>282</v>
      </c>
      <c r="G126" s="14"/>
      <c r="H126" s="22"/>
      <c r="I126" s="16" t="s">
        <v>29</v>
      </c>
      <c r="J126" s="23" t="s">
        <v>91</v>
      </c>
      <c r="K126" s="17"/>
      <c r="L126" s="16">
        <v>6.0</v>
      </c>
      <c r="M126" s="18">
        <f>IFNA( VLOOKUP(LEFT(F126, IFERROR(FIND(" ", F126, 1),1) - 1), lists!$A$31:$B$37, 2, FALSE),"")</f>
        <v>6</v>
      </c>
      <c r="N126" s="18" t="str">
        <f>IFERROR(__xludf.DUMMYFUNCTION("IFNA(VLOOKUP(IFNA(REGEXEXTRACT(F126, ""(Пасхи|50-ці|посту)""),""""),lists!$A$39:$B$41,2,FALSE),"""")"),"pentecost")</f>
        <v>pentecost</v>
      </c>
      <c r="O126" s="19" t="str">
        <f>IFERROR(__xludf.DUMMYFUNCTION("IFNA(REGEXEXTRACT(F126, ""\d{1,2}""),"""")"),"5")</f>
        <v>5</v>
      </c>
      <c r="P126" s="20" t="b">
        <f t="shared" si="3"/>
        <v>0</v>
      </c>
    </row>
    <row r="127">
      <c r="A127" s="9" t="s">
        <v>283</v>
      </c>
      <c r="B127" s="9" t="str">
        <f t="shared" si="1"/>
        <v>Рим.</v>
      </c>
      <c r="C127" s="10" t="s">
        <v>17</v>
      </c>
      <c r="D127" s="11" t="str">
        <f t="shared" si="2"/>
        <v>98</v>
      </c>
      <c r="E127" s="9"/>
      <c r="F127" s="13" t="s">
        <v>284</v>
      </c>
      <c r="G127" s="14"/>
      <c r="H127" s="22"/>
      <c r="I127" s="16" t="s">
        <v>29</v>
      </c>
      <c r="J127" s="23" t="s">
        <v>57</v>
      </c>
      <c r="K127" s="17"/>
      <c r="L127" s="16">
        <v>4.0</v>
      </c>
      <c r="M127" s="18">
        <f>IFNA( VLOOKUP(LEFT(F127, IFERROR(FIND(" ", F127, 1),1) - 1), lists!$A$31:$B$37, 2, FALSE),"")</f>
        <v>4</v>
      </c>
      <c r="N127" s="18" t="str">
        <f>IFERROR(__xludf.DUMMYFUNCTION("IFNA(VLOOKUP(IFNA(REGEXEXTRACT(F127, ""(Пасхи|50-ці|посту)""),""""),lists!$A$39:$B$41,2,FALSE),"""")"),"pentecost")</f>
        <v>pentecost</v>
      </c>
      <c r="O127" s="19" t="str">
        <f>IFERROR(__xludf.DUMMYFUNCTION("IFNA(REGEXEXTRACT(F127, ""\d{1,2}""),"""")"),"3")</f>
        <v>3</v>
      </c>
      <c r="P127" s="20" t="b">
        <f t="shared" si="3"/>
        <v>0</v>
      </c>
    </row>
    <row r="128">
      <c r="A128" s="9" t="s">
        <v>285</v>
      </c>
      <c r="B128" s="9" t="str">
        <f t="shared" si="1"/>
        <v>Рим.</v>
      </c>
      <c r="C128" s="10" t="s">
        <v>17</v>
      </c>
      <c r="D128" s="11" t="str">
        <f t="shared" si="2"/>
        <v>99</v>
      </c>
      <c r="E128" s="9"/>
      <c r="F128" s="21" t="s">
        <v>286</v>
      </c>
      <c r="G128" s="14"/>
      <c r="H128" s="15" t="s">
        <v>70</v>
      </c>
      <c r="I128" s="16" t="s">
        <v>29</v>
      </c>
      <c r="J128" s="23">
        <v>2.0</v>
      </c>
      <c r="K128" s="17"/>
      <c r="L128" s="16">
        <v>7.0</v>
      </c>
      <c r="M128" s="18" t="str">
        <f>IFNA( VLOOKUP(LEFT(F128, IFERROR(FIND(" ", F128, 1),1) - 1), lists!$A$31:$B$37, 2, FALSE),"")</f>
        <v/>
      </c>
      <c r="N128" s="18" t="str">
        <f>IFERROR(__xludf.DUMMYFUNCTION("IFNA(VLOOKUP(IFNA(REGEXEXTRACT(F128, ""(Пасхи|50-ці|посту)""),""""),lists!$A$39:$B$41,2,FALSE),"""")"),"")</f>
        <v/>
      </c>
      <c r="O128" s="19" t="str">
        <f>IFERROR(__xludf.DUMMYFUNCTION("IFNA(REGEXEXTRACT(F128, ""\d{1,2}""),"""")"),"")</f>
        <v/>
      </c>
      <c r="P128" s="20" t="b">
        <f t="shared" si="3"/>
        <v>0</v>
      </c>
    </row>
    <row r="129">
      <c r="A129" s="9" t="s">
        <v>287</v>
      </c>
      <c r="B129" s="9" t="str">
        <f t="shared" si="1"/>
        <v>Рим.</v>
      </c>
      <c r="C129" s="10" t="s">
        <v>17</v>
      </c>
      <c r="D129" s="11" t="str">
        <f t="shared" si="2"/>
        <v>100</v>
      </c>
      <c r="E129" s="9"/>
      <c r="F129" s="21" t="s">
        <v>288</v>
      </c>
      <c r="G129" s="14"/>
      <c r="H129" s="22"/>
      <c r="I129" s="16" t="s">
        <v>29</v>
      </c>
      <c r="J129" s="23" t="s">
        <v>110</v>
      </c>
      <c r="K129" s="17"/>
      <c r="L129" s="16">
        <v>6.0</v>
      </c>
      <c r="M129" s="18">
        <f>IFNA( VLOOKUP(LEFT(F129, IFERROR(FIND(" ", F129, 1),1) - 1), lists!$A$31:$B$37, 2, FALSE),"")</f>
        <v>6</v>
      </c>
      <c r="N129" s="18" t="str">
        <f>IFERROR(__xludf.DUMMYFUNCTION("IFNA(VLOOKUP(IFNA(REGEXEXTRACT(F129, ""(Пасхи|50-ці|посту)""),""""),lists!$A$39:$B$41,2,FALSE),"""")"),"pentecost")</f>
        <v>pentecost</v>
      </c>
      <c r="O129" s="19" t="str">
        <f>IFERROR(__xludf.DUMMYFUNCTION("IFNA(REGEXEXTRACT(F129, ""\d{1,2}""),"""")"),"6")</f>
        <v>6</v>
      </c>
      <c r="P129" s="20" t="b">
        <f t="shared" si="3"/>
        <v>0</v>
      </c>
    </row>
    <row r="130">
      <c r="A130" s="9" t="s">
        <v>289</v>
      </c>
      <c r="B130" s="9" t="str">
        <f t="shared" si="1"/>
        <v>Рим.</v>
      </c>
      <c r="C130" s="10" t="s">
        <v>17</v>
      </c>
      <c r="D130" s="11" t="str">
        <f t="shared" si="2"/>
        <v>101</v>
      </c>
      <c r="E130" s="9"/>
      <c r="F130" s="21" t="s">
        <v>290</v>
      </c>
      <c r="G130" s="14"/>
      <c r="H130" s="22"/>
      <c r="I130" s="16" t="s">
        <v>29</v>
      </c>
      <c r="J130" s="23" t="s">
        <v>57</v>
      </c>
      <c r="K130" s="17"/>
      <c r="L130" s="16">
        <v>5.0</v>
      </c>
      <c r="M130" s="18">
        <f>IFNA( VLOOKUP(LEFT(F130, IFERROR(FIND(" ", F130, 1),1) - 1), lists!$A$31:$B$37, 2, FALSE),"")</f>
        <v>5</v>
      </c>
      <c r="N130" s="18" t="str">
        <f>IFERROR(__xludf.DUMMYFUNCTION("IFNA(VLOOKUP(IFNA(REGEXEXTRACT(F130, ""(Пасхи|50-ці|посту)""),""""),lists!$A$39:$B$41,2,FALSE),"""")"),"pentecost")</f>
        <v>pentecost</v>
      </c>
      <c r="O130" s="19" t="str">
        <f>IFERROR(__xludf.DUMMYFUNCTION("IFNA(REGEXEXTRACT(F130, ""\d{1,2}""),"""")"),"3")</f>
        <v>3</v>
      </c>
      <c r="P130" s="20" t="b">
        <f t="shared" si="3"/>
        <v>0</v>
      </c>
    </row>
    <row r="131">
      <c r="A131" s="9" t="s">
        <v>291</v>
      </c>
      <c r="B131" s="9" t="str">
        <f t="shared" si="1"/>
        <v>Рим.</v>
      </c>
      <c r="C131" s="10" t="s">
        <v>17</v>
      </c>
      <c r="D131" s="11" t="str">
        <f t="shared" si="2"/>
        <v>102</v>
      </c>
      <c r="E131" s="9"/>
      <c r="F131" s="25" t="s">
        <v>292</v>
      </c>
      <c r="G131" s="14"/>
      <c r="H131" s="22"/>
      <c r="I131" s="16" t="s">
        <v>29</v>
      </c>
      <c r="J131" s="23" t="s">
        <v>78</v>
      </c>
      <c r="K131" s="17"/>
      <c r="L131" s="16">
        <v>1.0</v>
      </c>
      <c r="M131" s="18">
        <f>IFNA( VLOOKUP(LEFT(F131, IFERROR(FIND(" ", F131, 1),1) - 1), lists!$A$31:$B$37, 2, FALSE),"")</f>
        <v>1</v>
      </c>
      <c r="N131" s="18" t="str">
        <f>IFERROR(__xludf.DUMMYFUNCTION("IFNA(VLOOKUP(IFNA(REGEXEXTRACT(F131, ""(Пасхи|50-ці|посту)""),""""),lists!$A$39:$B$41,2,FALSE),"""")"),"pentecost")</f>
        <v>pentecost</v>
      </c>
      <c r="O131" s="19" t="str">
        <f>IFERROR(__xludf.DUMMYFUNCTION("IFNA(REGEXEXTRACT(F131, ""\d{1,2}""),"""")"),"4")</f>
        <v>4</v>
      </c>
      <c r="P131" s="20" t="b">
        <f t="shared" si="3"/>
        <v>0</v>
      </c>
    </row>
    <row r="132">
      <c r="A132" s="9" t="s">
        <v>293</v>
      </c>
      <c r="B132" s="9" t="str">
        <f t="shared" si="1"/>
        <v>Рим.</v>
      </c>
      <c r="C132" s="10" t="s">
        <v>17</v>
      </c>
      <c r="D132" s="11" t="str">
        <f t="shared" si="2"/>
        <v>103</v>
      </c>
      <c r="E132" s="9"/>
      <c r="F132" s="27" t="s">
        <v>294</v>
      </c>
      <c r="G132" s="14"/>
      <c r="H132" s="22"/>
      <c r="I132" s="16" t="s">
        <v>29</v>
      </c>
      <c r="J132" s="23" t="s">
        <v>91</v>
      </c>
      <c r="K132" s="17"/>
      <c r="L132" s="16">
        <v>7.0</v>
      </c>
      <c r="M132" s="18">
        <f>IFNA( VLOOKUP(LEFT(F132, IFERROR(FIND(" ", F132, 1),1) - 1), lists!$A$31:$B$37, 2, FALSE),"")</f>
        <v>7</v>
      </c>
      <c r="N132" s="18" t="str">
        <f>IFERROR(__xludf.DUMMYFUNCTION("IFNA(VLOOKUP(IFNA(REGEXEXTRACT(F132, ""(Пасхи|50-ці|посту)""),""""),lists!$A$39:$B$41,2,FALSE),"""")"),"pentecost")</f>
        <v>pentecost</v>
      </c>
      <c r="O132" s="19" t="str">
        <f>IFERROR(__xludf.DUMMYFUNCTION("IFNA(REGEXEXTRACT(F132, ""\d{1,2}""),"""")"),"5")</f>
        <v>5</v>
      </c>
      <c r="P132" s="20" t="b">
        <f t="shared" si="3"/>
        <v>0</v>
      </c>
    </row>
    <row r="133">
      <c r="A133" s="9" t="s">
        <v>295</v>
      </c>
      <c r="B133" s="9" t="str">
        <f t="shared" si="1"/>
        <v>Рим.</v>
      </c>
      <c r="C133" s="10" t="s">
        <v>17</v>
      </c>
      <c r="D133" s="11" t="str">
        <f t="shared" si="2"/>
        <v>104</v>
      </c>
      <c r="E133" s="9"/>
      <c r="F133" s="25" t="s">
        <v>296</v>
      </c>
      <c r="G133" s="14"/>
      <c r="H133" s="22"/>
      <c r="I133" s="16" t="s">
        <v>29</v>
      </c>
      <c r="J133" s="23" t="s">
        <v>78</v>
      </c>
      <c r="K133" s="17"/>
      <c r="L133" s="16">
        <v>2.0</v>
      </c>
      <c r="M133" s="18">
        <f>IFNA( VLOOKUP(LEFT(F133, IFERROR(FIND(" ", F133, 1),1) - 1), lists!$A$31:$B$37, 2, FALSE),"")</f>
        <v>2</v>
      </c>
      <c r="N133" s="18" t="str">
        <f>IFERROR(__xludf.DUMMYFUNCTION("IFNA(VLOOKUP(IFNA(REGEXEXTRACT(F133, ""(Пасхи|50-ці|посту)""),""""),lists!$A$39:$B$41,2,FALSE),"""")"),"pentecost")</f>
        <v>pentecost</v>
      </c>
      <c r="O133" s="19" t="str">
        <f>IFERROR(__xludf.DUMMYFUNCTION("IFNA(REGEXEXTRACT(F133, ""\d{1,2}""),"""")"),"4")</f>
        <v>4</v>
      </c>
      <c r="P133" s="20" t="b">
        <f t="shared" si="3"/>
        <v>0</v>
      </c>
    </row>
    <row r="134">
      <c r="A134" s="9" t="s">
        <v>297</v>
      </c>
      <c r="B134" s="9" t="str">
        <f t="shared" si="1"/>
        <v>Рим.</v>
      </c>
      <c r="C134" s="10" t="s">
        <v>17</v>
      </c>
      <c r="D134" s="11" t="str">
        <f t="shared" si="2"/>
        <v>105</v>
      </c>
      <c r="E134" s="9"/>
      <c r="F134" s="25" t="s">
        <v>298</v>
      </c>
      <c r="G134" s="14"/>
      <c r="H134" s="22"/>
      <c r="I134" s="16" t="s">
        <v>29</v>
      </c>
      <c r="J134" s="23" t="s">
        <v>78</v>
      </c>
      <c r="K134" s="17"/>
      <c r="L134" s="16">
        <v>3.0</v>
      </c>
      <c r="M134" s="18">
        <f>IFNA( VLOOKUP(LEFT(F134, IFERROR(FIND(" ", F134, 1),1) - 1), lists!$A$31:$B$37, 2, FALSE),"")</f>
        <v>3</v>
      </c>
      <c r="N134" s="18" t="str">
        <f>IFERROR(__xludf.DUMMYFUNCTION("IFNA(VLOOKUP(IFNA(REGEXEXTRACT(F134, ""(Пасхи|50-ці|посту)""),""""),lists!$A$39:$B$41,2,FALSE),"""")"),"pentecost")</f>
        <v>pentecost</v>
      </c>
      <c r="O134" s="19" t="str">
        <f>IFERROR(__xludf.DUMMYFUNCTION("IFNA(REGEXEXTRACT(F134, ""\d{1,2}""),"""")"),"4")</f>
        <v>4</v>
      </c>
      <c r="P134" s="20" t="b">
        <f t="shared" si="3"/>
        <v>0</v>
      </c>
    </row>
    <row r="135">
      <c r="A135" s="9" t="s">
        <v>299</v>
      </c>
      <c r="B135" s="9" t="str">
        <f t="shared" si="1"/>
        <v>Рим.</v>
      </c>
      <c r="C135" s="10" t="s">
        <v>17</v>
      </c>
      <c r="D135" s="11" t="str">
        <f t="shared" si="2"/>
        <v>106</v>
      </c>
      <c r="E135" s="9"/>
      <c r="F135" s="25" t="s">
        <v>300</v>
      </c>
      <c r="G135" s="14"/>
      <c r="H135" s="22"/>
      <c r="I135" s="16" t="s">
        <v>29</v>
      </c>
      <c r="J135" s="23" t="s">
        <v>78</v>
      </c>
      <c r="K135" s="17"/>
      <c r="L135" s="16">
        <v>4.0</v>
      </c>
      <c r="M135" s="18">
        <f>IFNA( VLOOKUP(LEFT(F135, IFERROR(FIND(" ", F135, 1),1) - 1), lists!$A$31:$B$37, 2, FALSE),"")</f>
        <v>4</v>
      </c>
      <c r="N135" s="18" t="str">
        <f>IFERROR(__xludf.DUMMYFUNCTION("IFNA(VLOOKUP(IFNA(REGEXEXTRACT(F135, ""(Пасхи|50-ці|посту)""),""""),lists!$A$39:$B$41,2,FALSE),"""")"),"pentecost")</f>
        <v>pentecost</v>
      </c>
      <c r="O135" s="19" t="str">
        <f>IFERROR(__xludf.DUMMYFUNCTION("IFNA(REGEXEXTRACT(F135, ""\d{1,2}""),"""")"),"4")</f>
        <v>4</v>
      </c>
      <c r="P135" s="20" t="b">
        <f t="shared" si="3"/>
        <v>0</v>
      </c>
    </row>
    <row r="136">
      <c r="A136" s="9" t="s">
        <v>301</v>
      </c>
      <c r="B136" s="9" t="str">
        <f t="shared" si="1"/>
        <v>Рим.</v>
      </c>
      <c r="C136" s="10" t="s">
        <v>17</v>
      </c>
      <c r="D136" s="11" t="str">
        <f t="shared" si="2"/>
        <v>107</v>
      </c>
      <c r="E136" s="9"/>
      <c r="F136" s="25" t="s">
        <v>302</v>
      </c>
      <c r="G136" s="14"/>
      <c r="H136" s="22"/>
      <c r="I136" s="16" t="s">
        <v>29</v>
      </c>
      <c r="J136" s="23" t="s">
        <v>78</v>
      </c>
      <c r="K136" s="17"/>
      <c r="L136" s="16">
        <v>5.0</v>
      </c>
      <c r="M136" s="18">
        <f>IFNA( VLOOKUP(LEFT(F136, IFERROR(FIND(" ", F136, 1),1) - 1), lists!$A$31:$B$37, 2, FALSE),"")</f>
        <v>5</v>
      </c>
      <c r="N136" s="18" t="str">
        <f>IFERROR(__xludf.DUMMYFUNCTION("IFNA(VLOOKUP(IFNA(REGEXEXTRACT(F136, ""(Пасхи|50-ці|посту)""),""""),lists!$A$39:$B$41,2,FALSE),"""")"),"pentecost")</f>
        <v>pentecost</v>
      </c>
      <c r="O136" s="19" t="str">
        <f>IFERROR(__xludf.DUMMYFUNCTION("IFNA(REGEXEXTRACT(F136, ""\d{1,2}""),"""")"),"4")</f>
        <v>4</v>
      </c>
      <c r="P136" s="20" t="b">
        <f t="shared" si="3"/>
        <v>0</v>
      </c>
    </row>
    <row r="137">
      <c r="A137" s="9" t="s">
        <v>303</v>
      </c>
      <c r="B137" s="9" t="str">
        <f t="shared" si="1"/>
        <v>Рим.</v>
      </c>
      <c r="C137" s="10" t="s">
        <v>17</v>
      </c>
      <c r="D137" s="11" t="str">
        <f t="shared" si="2"/>
        <v>108</v>
      </c>
      <c r="E137" s="9"/>
      <c r="F137" s="21" t="s">
        <v>304</v>
      </c>
      <c r="G137" s="14"/>
      <c r="H137" s="22"/>
      <c r="I137" s="16" t="s">
        <v>29</v>
      </c>
      <c r="J137" s="23" t="s">
        <v>129</v>
      </c>
      <c r="K137" s="17"/>
      <c r="L137" s="16">
        <v>6.0</v>
      </c>
      <c r="M137" s="18">
        <f>IFNA( VLOOKUP(LEFT(F137, IFERROR(FIND(" ", F137, 1),1) - 1), lists!$A$31:$B$37, 2, FALSE),"")</f>
        <v>6</v>
      </c>
      <c r="N137" s="18" t="str">
        <f>IFERROR(__xludf.DUMMYFUNCTION("IFNA(VLOOKUP(IFNA(REGEXEXTRACT(F137, ""(Пасхи|50-ці|посту)""),""""),lists!$A$39:$B$41,2,FALSE),"""")"),"pentecost")</f>
        <v>pentecost</v>
      </c>
      <c r="O137" s="19" t="str">
        <f>IFERROR(__xludf.DUMMYFUNCTION("IFNA(REGEXEXTRACT(F137, ""\d{1,2}""),"""")"),"7")</f>
        <v>7</v>
      </c>
      <c r="P137" s="20" t="b">
        <f t="shared" si="3"/>
        <v>0</v>
      </c>
    </row>
    <row r="138">
      <c r="A138" s="9" t="s">
        <v>305</v>
      </c>
      <c r="B138" s="9" t="str">
        <f t="shared" si="1"/>
        <v>Рим.</v>
      </c>
      <c r="C138" s="10" t="s">
        <v>17</v>
      </c>
      <c r="D138" s="11" t="str">
        <f t="shared" si="2"/>
        <v>109</v>
      </c>
      <c r="E138" s="9"/>
      <c r="F138" s="25" t="s">
        <v>306</v>
      </c>
      <c r="G138" s="14"/>
      <c r="H138" s="22"/>
      <c r="I138" s="16" t="s">
        <v>29</v>
      </c>
      <c r="J138" s="23" t="s">
        <v>91</v>
      </c>
      <c r="K138" s="17"/>
      <c r="L138" s="16">
        <v>1.0</v>
      </c>
      <c r="M138" s="18">
        <f>IFNA( VLOOKUP(LEFT(F138, IFERROR(FIND(" ", F138, 1),1) - 1), lists!$A$31:$B$37, 2, FALSE),"")</f>
        <v>1</v>
      </c>
      <c r="N138" s="18" t="str">
        <f>IFERROR(__xludf.DUMMYFUNCTION("IFNA(VLOOKUP(IFNA(REGEXEXTRACT(F138, ""(Пасхи|50-ці|посту)""),""""),lists!$A$39:$B$41,2,FALSE),"""")"),"pentecost")</f>
        <v>pentecost</v>
      </c>
      <c r="O138" s="19" t="str">
        <f>IFERROR(__xludf.DUMMYFUNCTION("IFNA(REGEXEXTRACT(F138, ""\d{1,2}""),"""")"),"5")</f>
        <v>5</v>
      </c>
      <c r="P138" s="20" t="b">
        <f t="shared" si="3"/>
        <v>0</v>
      </c>
    </row>
    <row r="139">
      <c r="A139" s="9" t="s">
        <v>307</v>
      </c>
      <c r="B139" s="9" t="str">
        <f t="shared" si="1"/>
        <v>Рим.</v>
      </c>
      <c r="C139" s="10" t="s">
        <v>17</v>
      </c>
      <c r="D139" s="11" t="str">
        <f t="shared" si="2"/>
        <v>110</v>
      </c>
      <c r="E139" s="9"/>
      <c r="F139" s="21" t="s">
        <v>308</v>
      </c>
      <c r="G139" s="14"/>
      <c r="H139" s="22"/>
      <c r="I139" s="16" t="s">
        <v>29</v>
      </c>
      <c r="J139" s="23" t="s">
        <v>110</v>
      </c>
      <c r="K139" s="17"/>
      <c r="L139" s="16">
        <v>7.0</v>
      </c>
      <c r="M139" s="18">
        <f>IFNA( VLOOKUP(LEFT(F139, IFERROR(FIND(" ", F139, 1),1) - 1), lists!$A$31:$B$37, 2, FALSE),"")</f>
        <v>7</v>
      </c>
      <c r="N139" s="18" t="str">
        <f>IFERROR(__xludf.DUMMYFUNCTION("IFNA(VLOOKUP(IFNA(REGEXEXTRACT(F139, ""(Пасхи|50-ці|посту)""),""""),lists!$A$39:$B$41,2,FALSE),"""")"),"pentecost")</f>
        <v>pentecost</v>
      </c>
      <c r="O139" s="19" t="str">
        <f>IFERROR(__xludf.DUMMYFUNCTION("IFNA(REGEXEXTRACT(F139, ""\d{1,2}""),"""")"),"6")</f>
        <v>6</v>
      </c>
      <c r="P139" s="20" t="b">
        <f t="shared" si="3"/>
        <v>0</v>
      </c>
    </row>
    <row r="140">
      <c r="A140" s="9" t="s">
        <v>309</v>
      </c>
      <c r="B140" s="9" t="str">
        <f t="shared" si="1"/>
        <v>Рим.</v>
      </c>
      <c r="C140" s="10" t="s">
        <v>17</v>
      </c>
      <c r="D140" s="11" t="str">
        <f t="shared" si="2"/>
        <v>111</v>
      </c>
      <c r="E140" s="9"/>
      <c r="F140" s="21" t="s">
        <v>310</v>
      </c>
      <c r="G140" s="14"/>
      <c r="H140" s="22"/>
      <c r="I140" s="16" t="s">
        <v>29</v>
      </c>
      <c r="J140" s="23" t="s">
        <v>196</v>
      </c>
      <c r="K140" s="17"/>
      <c r="L140" s="16">
        <v>6.0</v>
      </c>
      <c r="M140" s="18">
        <f>IFNA( VLOOKUP(LEFT(F140, IFERROR(FIND(" ", F140, 1),1) - 1), lists!$A$31:$B$37, 2, FALSE),"")</f>
        <v>6</v>
      </c>
      <c r="N140" s="18" t="str">
        <f>IFERROR(__xludf.DUMMYFUNCTION("IFNA(VLOOKUP(IFNA(REGEXEXTRACT(F140, ""(Пасхи|50-ці|посту)""),""""),lists!$A$39:$B$41,2,FALSE),"""")"),"pentecost")</f>
        <v>pentecost</v>
      </c>
      <c r="O140" s="19" t="str">
        <f>IFERROR(__xludf.DUMMYFUNCTION("IFNA(REGEXEXTRACT(F140, ""\d{1,2}""),"""")"),"8")</f>
        <v>8</v>
      </c>
      <c r="P140" s="20" t="b">
        <f t="shared" si="3"/>
        <v>0</v>
      </c>
    </row>
    <row r="141">
      <c r="A141" s="9" t="s">
        <v>311</v>
      </c>
      <c r="B141" s="9" t="str">
        <f t="shared" si="1"/>
        <v>Рим.</v>
      </c>
      <c r="C141" s="10" t="s">
        <v>17</v>
      </c>
      <c r="D141" s="11" t="str">
        <f t="shared" si="2"/>
        <v>112</v>
      </c>
      <c r="E141" s="9"/>
      <c r="F141" s="21" t="s">
        <v>312</v>
      </c>
      <c r="G141" s="14"/>
      <c r="H141" s="15" t="s">
        <v>70</v>
      </c>
      <c r="I141" s="16" t="s">
        <v>20</v>
      </c>
      <c r="J141" s="23">
        <v>36.0</v>
      </c>
      <c r="K141" s="16">
        <v>1.0</v>
      </c>
      <c r="L141" s="16">
        <v>7.0</v>
      </c>
      <c r="M141" s="18">
        <f>IFNA( VLOOKUP(LEFT(F141, IFERROR(FIND(" ", F141, 1),1) - 1), lists!$A$31:$B$37, 2, FALSE),"")</f>
        <v>7</v>
      </c>
      <c r="N141" s="18" t="str">
        <f>IFERROR(__xludf.DUMMYFUNCTION("IFNA(VLOOKUP(IFNA(REGEXEXTRACT(F141, ""(Пасхи|50-ці|посту)""),""""),lists!$A$39:$B$41,2,FALSE),"""")"),"")</f>
        <v/>
      </c>
      <c r="O141" s="19" t="str">
        <f>IFERROR(__xludf.DUMMYFUNCTION("IFNA(REGEXEXTRACT(F141, ""\d{1,2}""),"""")"),"")</f>
        <v/>
      </c>
      <c r="P141" s="20" t="b">
        <f t="shared" si="3"/>
        <v>0</v>
      </c>
    </row>
    <row r="142">
      <c r="A142" s="9" t="s">
        <v>313</v>
      </c>
      <c r="B142" s="9" t="str">
        <f t="shared" si="1"/>
        <v>Рим.</v>
      </c>
      <c r="C142" s="10" t="s">
        <v>17</v>
      </c>
      <c r="D142" s="11" t="str">
        <f t="shared" si="2"/>
        <v>113</v>
      </c>
      <c r="E142" s="9"/>
      <c r="F142" s="21" t="s">
        <v>314</v>
      </c>
      <c r="G142" s="14"/>
      <c r="H142" s="22"/>
      <c r="I142" s="16" t="s">
        <v>29</v>
      </c>
      <c r="J142" s="23" t="s">
        <v>315</v>
      </c>
      <c r="K142" s="17"/>
      <c r="L142" s="16">
        <v>6.0</v>
      </c>
      <c r="M142" s="18">
        <f>IFNA( VLOOKUP(LEFT(F142, IFERROR(FIND(" ", F142, 1),1) - 1), lists!$A$31:$B$37, 2, FALSE),"")</f>
        <v>6</v>
      </c>
      <c r="N142" s="18" t="str">
        <f>IFERROR(__xludf.DUMMYFUNCTION("IFNA(VLOOKUP(IFNA(REGEXEXTRACT(F142, ""(Пасхи|50-ці|посту)""),""""),lists!$A$39:$B$41,2,FALSE),"""")"),"pentecost")</f>
        <v>pentecost</v>
      </c>
      <c r="O142" s="19" t="str">
        <f>IFERROR(__xludf.DUMMYFUNCTION("IFNA(REGEXEXTRACT(F142, ""\d{1,2}""),"""")"),"9")</f>
        <v>9</v>
      </c>
      <c r="P142" s="20" t="b">
        <f t="shared" si="3"/>
        <v>0</v>
      </c>
    </row>
    <row r="143">
      <c r="A143" s="9" t="s">
        <v>316</v>
      </c>
      <c r="B143" s="9" t="str">
        <f t="shared" si="1"/>
        <v>Рим.</v>
      </c>
      <c r="C143" s="10" t="s">
        <v>17</v>
      </c>
      <c r="D143" s="11" t="str">
        <f t="shared" si="2"/>
        <v>114</v>
      </c>
      <c r="E143" s="9"/>
      <c r="F143" s="21" t="s">
        <v>317</v>
      </c>
      <c r="G143" s="14"/>
      <c r="H143" s="22"/>
      <c r="I143" s="16" t="s">
        <v>29</v>
      </c>
      <c r="J143" s="23" t="s">
        <v>91</v>
      </c>
      <c r="K143" s="17"/>
      <c r="L143" s="16">
        <v>2.0</v>
      </c>
      <c r="M143" s="18">
        <f>IFNA( VLOOKUP(LEFT(F143, IFERROR(FIND(" ", F143, 1),1) - 1), lists!$A$31:$B$37, 2, FALSE),"")</f>
        <v>2</v>
      </c>
      <c r="N143" s="18" t="str">
        <f>IFERROR(__xludf.DUMMYFUNCTION("IFNA(VLOOKUP(IFNA(REGEXEXTRACT(F143, ""(Пасхи|50-ці|посту)""),""""),lists!$A$39:$B$41,2,FALSE),"""")"),"pentecost")</f>
        <v>pentecost</v>
      </c>
      <c r="O143" s="19" t="str">
        <f>IFERROR(__xludf.DUMMYFUNCTION("IFNA(REGEXEXTRACT(F143, ""\d{1,2}""),"""")"),"5")</f>
        <v>5</v>
      </c>
      <c r="P143" s="20" t="b">
        <f t="shared" si="3"/>
        <v>0</v>
      </c>
    </row>
    <row r="144">
      <c r="A144" s="9" t="s">
        <v>318</v>
      </c>
      <c r="B144" s="9" t="str">
        <f t="shared" si="1"/>
        <v>Рим.</v>
      </c>
      <c r="C144" s="10" t="s">
        <v>17</v>
      </c>
      <c r="D144" s="11" t="str">
        <f t="shared" si="2"/>
        <v>115</v>
      </c>
      <c r="E144" s="9"/>
      <c r="F144" s="21" t="s">
        <v>319</v>
      </c>
      <c r="G144" s="14"/>
      <c r="H144" s="22"/>
      <c r="I144" s="16" t="s">
        <v>20</v>
      </c>
      <c r="J144" s="23">
        <v>36.0</v>
      </c>
      <c r="K144" s="16">
        <v>1.0</v>
      </c>
      <c r="L144" s="16">
        <v>6.0</v>
      </c>
      <c r="M144" s="18">
        <f>IFNA( VLOOKUP(LEFT(F144, IFERROR(FIND(" ", F144, 1),1) - 1), lists!$A$31:$B$37, 2, FALSE),"")</f>
        <v>6</v>
      </c>
      <c r="N144" s="18" t="str">
        <f>IFERROR(__xludf.DUMMYFUNCTION("IFNA(VLOOKUP(IFNA(REGEXEXTRACT(F144, ""(Пасхи|50-ці|посту)""),""""),lists!$A$39:$B$41,2,FALSE),"""")"),"")</f>
        <v/>
      </c>
      <c r="O144" s="19" t="str">
        <f>IFERROR(__xludf.DUMMYFUNCTION("IFNA(REGEXEXTRACT(F144, ""\d{1,2}""),"""")"),"")</f>
        <v/>
      </c>
      <c r="P144" s="20" t="b">
        <f t="shared" si="3"/>
        <v>0</v>
      </c>
    </row>
    <row r="145">
      <c r="A145" s="9" t="s">
        <v>320</v>
      </c>
      <c r="B145" s="9" t="str">
        <f t="shared" si="1"/>
        <v>Рим.</v>
      </c>
      <c r="C145" s="10" t="s">
        <v>17</v>
      </c>
      <c r="D145" s="11" t="str">
        <f t="shared" si="2"/>
        <v>116</v>
      </c>
      <c r="E145" s="9"/>
      <c r="F145" s="21" t="s">
        <v>321</v>
      </c>
      <c r="G145" s="14"/>
      <c r="H145" s="22"/>
      <c r="I145" s="16" t="s">
        <v>29</v>
      </c>
      <c r="J145" s="23" t="s">
        <v>129</v>
      </c>
      <c r="K145" s="17"/>
      <c r="L145" s="16">
        <v>7.0</v>
      </c>
      <c r="M145" s="18">
        <f>IFNA( VLOOKUP(LEFT(F145, IFERROR(FIND(" ", F145, 1),1) - 1), lists!$A$31:$B$37, 2, FALSE),"")</f>
        <v>7</v>
      </c>
      <c r="N145" s="18" t="str">
        <f>IFERROR(__xludf.DUMMYFUNCTION("IFNA(VLOOKUP(IFNA(REGEXEXTRACT(F145, ""(Пасхи|50-ці|посту)""),""""),lists!$A$39:$B$41,2,FALSE),"""")"),"pentecost")</f>
        <v>pentecost</v>
      </c>
      <c r="O145" s="19" t="str">
        <f>IFERROR(__xludf.DUMMYFUNCTION("IFNA(REGEXEXTRACT(F145, ""\d{1,2}""),"""")"),"7")</f>
        <v>7</v>
      </c>
      <c r="P145" s="20" t="b">
        <f t="shared" si="3"/>
        <v>0</v>
      </c>
    </row>
    <row r="146">
      <c r="A146" s="9" t="s">
        <v>322</v>
      </c>
      <c r="B146" s="9" t="str">
        <f t="shared" si="1"/>
        <v>Рим.</v>
      </c>
      <c r="C146" s="10" t="s">
        <v>17</v>
      </c>
      <c r="D146" s="11" t="str">
        <f t="shared" si="2"/>
        <v>117</v>
      </c>
      <c r="E146" s="9"/>
      <c r="F146" s="25" t="s">
        <v>323</v>
      </c>
      <c r="G146" s="14"/>
      <c r="H146" s="22"/>
      <c r="I146" s="16" t="s">
        <v>29</v>
      </c>
      <c r="J146" s="23" t="s">
        <v>91</v>
      </c>
      <c r="K146" s="17"/>
      <c r="L146" s="16">
        <v>3.0</v>
      </c>
      <c r="M146" s="18">
        <f>IFNA( VLOOKUP(LEFT(F146, IFERROR(FIND(" ", F146, 1),1) - 1), lists!$A$31:$B$37, 2, FALSE),"")</f>
        <v>3</v>
      </c>
      <c r="N146" s="18" t="str">
        <f>IFERROR(__xludf.DUMMYFUNCTION("IFNA(VLOOKUP(IFNA(REGEXEXTRACT(F146, ""(Пасхи|50-ці|посту)""),""""),lists!$A$39:$B$41,2,FALSE),"""")"),"pentecost")</f>
        <v>pentecost</v>
      </c>
      <c r="O146" s="19" t="str">
        <f>IFERROR(__xludf.DUMMYFUNCTION("IFNA(REGEXEXTRACT(F146, ""\d{1,2}""),"""")"),"5")</f>
        <v>5</v>
      </c>
      <c r="P146" s="20" t="b">
        <f t="shared" si="3"/>
        <v>0</v>
      </c>
    </row>
    <row r="147">
      <c r="A147" s="9" t="s">
        <v>324</v>
      </c>
      <c r="B147" s="9" t="str">
        <f t="shared" si="1"/>
        <v>Рим.</v>
      </c>
      <c r="C147" s="10" t="s">
        <v>17</v>
      </c>
      <c r="D147" s="11" t="str">
        <f t="shared" si="2"/>
        <v>118</v>
      </c>
      <c r="E147" s="9"/>
      <c r="F147" s="25" t="s">
        <v>325</v>
      </c>
      <c r="G147" s="14"/>
      <c r="H147" s="22"/>
      <c r="I147" s="16" t="s">
        <v>29</v>
      </c>
      <c r="J147" s="23" t="s">
        <v>91</v>
      </c>
      <c r="K147" s="17"/>
      <c r="L147" s="16">
        <v>4.0</v>
      </c>
      <c r="M147" s="18">
        <f>IFNA( VLOOKUP(LEFT(F147, IFERROR(FIND(" ", F147, 1),1) - 1), lists!$A$31:$B$37, 2, FALSE),"")</f>
        <v>4</v>
      </c>
      <c r="N147" s="18" t="str">
        <f>IFERROR(__xludf.DUMMYFUNCTION("IFNA(VLOOKUP(IFNA(REGEXEXTRACT(F147, ""(Пасхи|50-ці|посту)""),""""),lists!$A$39:$B$41,2,FALSE),"""")"),"pentecost")</f>
        <v>pentecost</v>
      </c>
      <c r="O147" s="19" t="str">
        <f>IFERROR(__xludf.DUMMYFUNCTION("IFNA(REGEXEXTRACT(F147, ""\d{1,2}""),"""")"),"5")</f>
        <v>5</v>
      </c>
      <c r="P147" s="20" t="b">
        <f t="shared" si="3"/>
        <v>0</v>
      </c>
    </row>
    <row r="148">
      <c r="A148" s="9" t="s">
        <v>326</v>
      </c>
      <c r="B148" s="9" t="str">
        <f t="shared" si="1"/>
        <v>Рим.</v>
      </c>
      <c r="C148" s="10" t="s">
        <v>17</v>
      </c>
      <c r="D148" s="11" t="str">
        <f t="shared" si="2"/>
        <v>119</v>
      </c>
      <c r="E148" s="9"/>
      <c r="F148" s="27" t="s">
        <v>327</v>
      </c>
      <c r="G148" s="14"/>
      <c r="H148" s="22"/>
      <c r="I148" s="16" t="s">
        <v>29</v>
      </c>
      <c r="J148" s="23" t="s">
        <v>328</v>
      </c>
      <c r="K148" s="17"/>
      <c r="L148" s="16">
        <v>6.0</v>
      </c>
      <c r="M148" s="18">
        <f>IFNA( VLOOKUP(LEFT(F148, IFERROR(FIND(" ", F148, 1),1) - 1), lists!$A$31:$B$37, 2, FALSE),"")</f>
        <v>6</v>
      </c>
      <c r="N148" s="18" t="str">
        <f>IFERROR(__xludf.DUMMYFUNCTION("IFNA(VLOOKUP(IFNA(REGEXEXTRACT(F148, ""(Пасхи|50-ці|посту)""),""""),lists!$A$39:$B$41,2,FALSE),"""")"),"pentecost")</f>
        <v>pentecost</v>
      </c>
      <c r="O148" s="19" t="str">
        <f>IFERROR(__xludf.DUMMYFUNCTION("IFNA(REGEXEXTRACT(F148, ""\d{1,2}""),"""")"),"10")</f>
        <v>10</v>
      </c>
      <c r="P148" s="20" t="b">
        <f t="shared" si="3"/>
        <v>0</v>
      </c>
    </row>
    <row r="149">
      <c r="A149" s="9" t="s">
        <v>329</v>
      </c>
      <c r="B149" s="9" t="str">
        <f t="shared" si="1"/>
        <v>Рим.</v>
      </c>
      <c r="C149" s="10" t="s">
        <v>17</v>
      </c>
      <c r="D149" s="11" t="str">
        <f t="shared" si="2"/>
        <v>120</v>
      </c>
      <c r="E149" s="9"/>
      <c r="F149" s="25" t="s">
        <v>330</v>
      </c>
      <c r="G149" s="14"/>
      <c r="H149" s="22"/>
      <c r="I149" s="16" t="s">
        <v>29</v>
      </c>
      <c r="J149" s="23" t="s">
        <v>91</v>
      </c>
      <c r="K149" s="17"/>
      <c r="L149" s="16">
        <v>5.0</v>
      </c>
      <c r="M149" s="18">
        <f>IFNA( VLOOKUP(LEFT(F149, IFERROR(FIND(" ", F149, 1),1) - 1), lists!$A$31:$B$37, 2, FALSE),"")</f>
        <v>5</v>
      </c>
      <c r="N149" s="18" t="str">
        <f>IFERROR(__xludf.DUMMYFUNCTION("IFNA(VLOOKUP(IFNA(REGEXEXTRACT(F149, ""(Пасхи|50-ці|посту)""),""""),lists!$A$39:$B$41,2,FALSE),"""")"),"pentecost")</f>
        <v>pentecost</v>
      </c>
      <c r="O149" s="19" t="str">
        <f>IFERROR(__xludf.DUMMYFUNCTION("IFNA(REGEXEXTRACT(F149, ""\d{1,2}""),"""")"),"5")</f>
        <v>5</v>
      </c>
      <c r="P149" s="20" t="b">
        <f t="shared" si="3"/>
        <v>0</v>
      </c>
    </row>
    <row r="150">
      <c r="A150" s="9" t="s">
        <v>331</v>
      </c>
      <c r="B150" s="9" t="str">
        <f t="shared" si="1"/>
        <v>Рим.</v>
      </c>
      <c r="C150" s="10" t="s">
        <v>17</v>
      </c>
      <c r="D150" s="11" t="str">
        <f t="shared" si="2"/>
        <v>121</v>
      </c>
      <c r="E150" s="9"/>
      <c r="F150" s="25" t="s">
        <v>332</v>
      </c>
      <c r="G150" s="14"/>
      <c r="H150" s="22"/>
      <c r="I150" s="16" t="s">
        <v>29</v>
      </c>
      <c r="J150" s="23" t="s">
        <v>110</v>
      </c>
      <c r="K150" s="17"/>
      <c r="L150" s="16">
        <v>1.0</v>
      </c>
      <c r="M150" s="18">
        <f>IFNA( VLOOKUP(LEFT(F150, IFERROR(FIND(" ", F150, 1),1) - 1), lists!$A$31:$B$37, 2, FALSE),"")</f>
        <v>1</v>
      </c>
      <c r="N150" s="18" t="str">
        <f>IFERROR(__xludf.DUMMYFUNCTION("IFNA(VLOOKUP(IFNA(REGEXEXTRACT(F150, ""(Пасхи|50-ці|посту)""),""""),lists!$A$39:$B$41,2,FALSE),"""")"),"pentecost")</f>
        <v>pentecost</v>
      </c>
      <c r="O150" s="19" t="str">
        <f>IFERROR(__xludf.DUMMYFUNCTION("IFNA(REGEXEXTRACT(F150, ""\d{1,2}""),"""")"),"6")</f>
        <v>6</v>
      </c>
      <c r="P150" s="20" t="b">
        <f t="shared" si="3"/>
        <v>0</v>
      </c>
    </row>
    <row r="151">
      <c r="A151" s="9" t="s">
        <v>333</v>
      </c>
      <c r="B151" s="9" t="str">
        <f t="shared" si="1"/>
        <v>1 Кор.</v>
      </c>
      <c r="C151" s="10" t="s">
        <v>17</v>
      </c>
      <c r="D151" s="11" t="str">
        <f t="shared" si="2"/>
        <v>122</v>
      </c>
      <c r="E151" s="9"/>
      <c r="F151" s="25" t="s">
        <v>334</v>
      </c>
      <c r="G151" s="14"/>
      <c r="H151" s="22"/>
      <c r="I151" s="16" t="s">
        <v>29</v>
      </c>
      <c r="J151" s="23" t="s">
        <v>110</v>
      </c>
      <c r="K151" s="17"/>
      <c r="L151" s="16">
        <v>2.0</v>
      </c>
      <c r="M151" s="18">
        <f>IFNA( VLOOKUP(LEFT(F151, IFERROR(FIND(" ", F151, 1),1) - 1), lists!$A$31:$B$37, 2, FALSE),"")</f>
        <v>2</v>
      </c>
      <c r="N151" s="18" t="str">
        <f>IFERROR(__xludf.DUMMYFUNCTION("IFNA(VLOOKUP(IFNA(REGEXEXTRACT(F151, ""(Пасхи|50-ці|посту)""),""""),lists!$A$39:$B$41,2,FALSE),"""")"),"pentecost")</f>
        <v>pentecost</v>
      </c>
      <c r="O151" s="19" t="str">
        <f>IFERROR(__xludf.DUMMYFUNCTION("IFNA(REGEXEXTRACT(F151, ""\d{1,2}""),"""")"),"6")</f>
        <v>6</v>
      </c>
      <c r="P151" s="20" t="b">
        <f t="shared" si="3"/>
        <v>0</v>
      </c>
    </row>
    <row r="152">
      <c r="A152" s="9" t="s">
        <v>335</v>
      </c>
      <c r="B152" s="9" t="str">
        <f t="shared" si="1"/>
        <v>1 Кор.</v>
      </c>
      <c r="C152" s="10" t="s">
        <v>17</v>
      </c>
      <c r="D152" s="11" t="str">
        <f t="shared" si="2"/>
        <v>123</v>
      </c>
      <c r="E152" s="9"/>
      <c r="F152" s="27" t="s">
        <v>336</v>
      </c>
      <c r="G152" s="14"/>
      <c r="H152" s="22"/>
      <c r="I152" s="16" t="s">
        <v>29</v>
      </c>
      <c r="J152" s="23" t="s">
        <v>337</v>
      </c>
      <c r="K152" s="17"/>
      <c r="L152" s="16">
        <v>6.0</v>
      </c>
      <c r="M152" s="18">
        <f>IFNA( VLOOKUP(LEFT(F152, IFERROR(FIND(" ", F152, 1),1) - 1), lists!$A$31:$B$37, 2, FALSE),"")</f>
        <v>6</v>
      </c>
      <c r="N152" s="18" t="str">
        <f>IFERROR(__xludf.DUMMYFUNCTION("IFNA(VLOOKUP(IFNA(REGEXEXTRACT(F152, ""(Пасхи|50-ці|посту)""),""""),lists!$A$39:$B$41,2,FALSE),"""")"),"pentecost")</f>
        <v>pentecost</v>
      </c>
      <c r="O152" s="19" t="str">
        <f>IFERROR(__xludf.DUMMYFUNCTION("IFNA(REGEXEXTRACT(F152, ""\d{1,2}""),"""")"),"11")</f>
        <v>11</v>
      </c>
      <c r="P152" s="20" t="b">
        <f t="shared" si="3"/>
        <v>0</v>
      </c>
    </row>
    <row r="153">
      <c r="A153" s="9" t="s">
        <v>338</v>
      </c>
      <c r="B153" s="9" t="str">
        <f t="shared" si="1"/>
        <v>1 Кор.</v>
      </c>
      <c r="C153" s="10" t="s">
        <v>17</v>
      </c>
      <c r="D153" s="11" t="str">
        <f t="shared" si="2"/>
        <v>124</v>
      </c>
      <c r="E153" s="9"/>
      <c r="F153" s="27" t="s">
        <v>339</v>
      </c>
      <c r="G153" s="14"/>
      <c r="H153" s="22"/>
      <c r="I153" s="16" t="s">
        <v>29</v>
      </c>
      <c r="J153" s="23" t="s">
        <v>196</v>
      </c>
      <c r="K153" s="17"/>
      <c r="L153" s="16">
        <v>7.0</v>
      </c>
      <c r="M153" s="18">
        <f>IFNA( VLOOKUP(LEFT(F153, IFERROR(FIND(" ", F153, 1),1) - 1), lists!$A$31:$B$37, 2, FALSE),"")</f>
        <v>7</v>
      </c>
      <c r="N153" s="18" t="str">
        <f>IFERROR(__xludf.DUMMYFUNCTION("IFNA(VLOOKUP(IFNA(REGEXEXTRACT(F153, ""(Пасхи|50-ці|посту)""),""""),lists!$A$39:$B$41,2,FALSE),"""")"),"pentecost")</f>
        <v>pentecost</v>
      </c>
      <c r="O153" s="19" t="str">
        <f>IFERROR(__xludf.DUMMYFUNCTION("IFNA(REGEXEXTRACT(F153, ""\d{1,2}""),"""")"),"8")</f>
        <v>8</v>
      </c>
      <c r="P153" s="20" t="b">
        <f t="shared" si="3"/>
        <v>0</v>
      </c>
    </row>
    <row r="154">
      <c r="A154" s="9" t="s">
        <v>340</v>
      </c>
      <c r="B154" s="9" t="str">
        <f t="shared" si="1"/>
        <v>1 Кор.</v>
      </c>
      <c r="C154" s="10" t="s">
        <v>17</v>
      </c>
      <c r="D154" s="11" t="str">
        <f t="shared" si="2"/>
        <v>125</v>
      </c>
      <c r="E154" s="12" t="s">
        <v>18</v>
      </c>
      <c r="F154" s="35" t="s">
        <v>341</v>
      </c>
      <c r="G154" s="14"/>
      <c r="H154" s="22"/>
      <c r="I154" s="16" t="s">
        <v>20</v>
      </c>
      <c r="J154" s="23">
        <v>7.0</v>
      </c>
      <c r="K154" s="17"/>
      <c r="L154" s="16">
        <v>5.0</v>
      </c>
      <c r="M154" s="18" t="str">
        <f>IFNA( VLOOKUP(LEFT(F154, IFERROR(FIND(" ", F154, 1),1) - 1), lists!$A$31:$B$37, 2, FALSE),"")</f>
        <v/>
      </c>
      <c r="N154" s="18" t="str">
        <f>IFERROR(__xludf.DUMMYFUNCTION("IFNA(VLOOKUP(IFNA(REGEXEXTRACT(F154, ""(Пасхи|50-ці|посту)""),""""),lists!$A$39:$B$41,2,FALSE),"""")"),"")</f>
        <v/>
      </c>
      <c r="O154" s="19" t="str">
        <f>IFERROR(__xludf.DUMMYFUNCTION("IFNA(REGEXEXTRACT(F154, ""\d{1,2}""),"""")"),"")</f>
        <v/>
      </c>
      <c r="P154" s="20" t="b">
        <f t="shared" si="3"/>
        <v>0</v>
      </c>
    </row>
    <row r="155">
      <c r="A155" s="9" t="s">
        <v>342</v>
      </c>
      <c r="B155" s="9" t="str">
        <f t="shared" si="1"/>
        <v>1 Кор.</v>
      </c>
      <c r="C155" s="10" t="s">
        <v>17</v>
      </c>
      <c r="D155" s="11" t="str">
        <f t="shared" si="2"/>
        <v>125</v>
      </c>
      <c r="E155" s="12" t="s">
        <v>22</v>
      </c>
      <c r="F155" s="27" t="s">
        <v>343</v>
      </c>
      <c r="G155" s="14"/>
      <c r="H155" s="15" t="s">
        <v>70</v>
      </c>
      <c r="I155" s="16" t="s">
        <v>71</v>
      </c>
      <c r="J155" s="23" t="s">
        <v>71</v>
      </c>
      <c r="K155" s="17"/>
      <c r="L155" s="16" t="s">
        <v>71</v>
      </c>
      <c r="M155" s="18" t="str">
        <f>IFNA( VLOOKUP(LEFT(F155, IFERROR(FIND(" ", F155, 1),1) - 1), lists!$A$31:$B$37, 2, FALSE),"")</f>
        <v/>
      </c>
      <c r="N155" s="18" t="str">
        <f>IFERROR(__xludf.DUMMYFUNCTION("IFNA(VLOOKUP(IFNA(REGEXEXTRACT(F155, ""(Пасхи|50-ці|посту)""),""""),lists!$A$39:$B$41,2,FALSE),"""")"),"")</f>
        <v/>
      </c>
      <c r="O155" s="19" t="str">
        <f>IFERROR(__xludf.DUMMYFUNCTION("IFNA(REGEXEXTRACT(F155, ""\d{1,2}""),"""")"),"")</f>
        <v/>
      </c>
      <c r="P155" s="20" t="b">
        <f t="shared" si="3"/>
        <v>0</v>
      </c>
    </row>
    <row r="156">
      <c r="A156" s="9" t="s">
        <v>344</v>
      </c>
      <c r="B156" s="9" t="str">
        <f t="shared" si="1"/>
        <v>1 Кор.</v>
      </c>
      <c r="C156" s="10" t="s">
        <v>17</v>
      </c>
      <c r="D156" s="11" t="str">
        <f t="shared" si="2"/>
        <v>125</v>
      </c>
      <c r="E156" s="12" t="s">
        <v>116</v>
      </c>
      <c r="F156" s="21" t="s">
        <v>345</v>
      </c>
      <c r="G156" s="14"/>
      <c r="H156" s="22"/>
      <c r="I156" s="16" t="s">
        <v>29</v>
      </c>
      <c r="J156" s="23" t="s">
        <v>346</v>
      </c>
      <c r="K156" s="17"/>
      <c r="L156" s="16">
        <v>6.0</v>
      </c>
      <c r="M156" s="18">
        <f>IFNA( VLOOKUP(LEFT(F156, IFERROR(FIND(" ", F156, 1),1) - 1), lists!$A$31:$B$37, 2, FALSE),"")</f>
        <v>6</v>
      </c>
      <c r="N156" s="18" t="str">
        <f>IFERROR(__xludf.DUMMYFUNCTION("IFNA(VLOOKUP(IFNA(REGEXEXTRACT(F156, ""(Пасхи|50-ці|посту)""),""""),lists!$A$39:$B$41,2,FALSE),"""")"),"pentecost")</f>
        <v>pentecost</v>
      </c>
      <c r="O156" s="19" t="str">
        <f>IFERROR(__xludf.DUMMYFUNCTION("IFNA(REGEXEXTRACT(F156, ""\d{1,2}""),"""")"),"12")</f>
        <v>12</v>
      </c>
      <c r="P156" s="20" t="b">
        <f t="shared" si="3"/>
        <v>0</v>
      </c>
    </row>
    <row r="157">
      <c r="A157" s="9" t="s">
        <v>347</v>
      </c>
      <c r="B157" s="9" t="str">
        <f t="shared" si="1"/>
        <v>1 Кор.</v>
      </c>
      <c r="C157" s="10" t="s">
        <v>17</v>
      </c>
      <c r="D157" s="11" t="str">
        <f t="shared" si="2"/>
        <v>126</v>
      </c>
      <c r="E157" s="9"/>
      <c r="F157" s="21" t="s">
        <v>348</v>
      </c>
      <c r="G157" s="14"/>
      <c r="H157" s="22"/>
      <c r="I157" s="16" t="s">
        <v>29</v>
      </c>
      <c r="J157" s="23" t="s">
        <v>349</v>
      </c>
      <c r="K157" s="17"/>
      <c r="L157" s="16">
        <v>6.0</v>
      </c>
      <c r="M157" s="18">
        <f>IFNA( VLOOKUP(LEFT(F157, IFERROR(FIND(" ", F157, 1),1) - 1), lists!$A$31:$B$37, 2, FALSE),"")</f>
        <v>6</v>
      </c>
      <c r="N157" s="18" t="str">
        <f>IFERROR(__xludf.DUMMYFUNCTION("IFNA(VLOOKUP(IFNA(REGEXEXTRACT(F157, ""(Пасхи|50-ці|посту)""),""""),lists!$A$39:$B$41,2,FALSE),"""")"),"pentecost")</f>
        <v>pentecost</v>
      </c>
      <c r="O157" s="19" t="str">
        <f>IFERROR(__xludf.DUMMYFUNCTION("IFNA(REGEXEXTRACT(F157, ""\d{1,2}""),"""")"),"13")</f>
        <v>13</v>
      </c>
      <c r="P157" s="20" t="b">
        <f t="shared" si="3"/>
        <v>0</v>
      </c>
    </row>
    <row r="158">
      <c r="A158" s="9" t="s">
        <v>350</v>
      </c>
      <c r="B158" s="9" t="str">
        <f t="shared" si="1"/>
        <v>1 Кор.</v>
      </c>
      <c r="C158" s="10" t="s">
        <v>17</v>
      </c>
      <c r="D158" s="11" t="str">
        <f t="shared" si="2"/>
        <v>127</v>
      </c>
      <c r="E158" s="9"/>
      <c r="F158" s="25" t="s">
        <v>351</v>
      </c>
      <c r="G158" s="14"/>
      <c r="H158" s="22"/>
      <c r="I158" s="16" t="s">
        <v>29</v>
      </c>
      <c r="J158" s="23" t="s">
        <v>110</v>
      </c>
      <c r="K158" s="17"/>
      <c r="L158" s="16">
        <v>3.0</v>
      </c>
      <c r="M158" s="18">
        <f>IFNA( VLOOKUP(LEFT(F158, IFERROR(FIND(" ", F158, 1),1) - 1), lists!$A$31:$B$37, 2, FALSE),"")</f>
        <v>3</v>
      </c>
      <c r="N158" s="18" t="str">
        <f>IFERROR(__xludf.DUMMYFUNCTION("IFNA(VLOOKUP(IFNA(REGEXEXTRACT(F158, ""(Пасхи|50-ці|посту)""),""""),lists!$A$39:$B$41,2,FALSE),"""")"),"pentecost")</f>
        <v>pentecost</v>
      </c>
      <c r="O158" s="19" t="str">
        <f>IFERROR(__xludf.DUMMYFUNCTION("IFNA(REGEXEXTRACT(F158, ""\d{1,2}""),"""")"),"6")</f>
        <v>6</v>
      </c>
      <c r="P158" s="20" t="b">
        <f t="shared" si="3"/>
        <v>0</v>
      </c>
    </row>
    <row r="159">
      <c r="A159" s="9" t="s">
        <v>352</v>
      </c>
      <c r="B159" s="9" t="str">
        <f t="shared" si="1"/>
        <v>1 Кор.</v>
      </c>
      <c r="C159" s="10" t="s">
        <v>17</v>
      </c>
      <c r="D159" s="11" t="str">
        <f t="shared" si="2"/>
        <v>128</v>
      </c>
      <c r="E159" s="9"/>
      <c r="F159" s="27" t="s">
        <v>353</v>
      </c>
      <c r="G159" s="14"/>
      <c r="H159" s="22"/>
      <c r="I159" s="16" t="s">
        <v>29</v>
      </c>
      <c r="J159" s="23" t="s">
        <v>315</v>
      </c>
      <c r="K159" s="17"/>
      <c r="L159" s="16">
        <v>7.0</v>
      </c>
      <c r="M159" s="18">
        <f>IFNA( VLOOKUP(LEFT(F159, IFERROR(FIND(" ", F159, 1),1) - 1), lists!$A$31:$B$37, 2, FALSE),"")</f>
        <v>7</v>
      </c>
      <c r="N159" s="18" t="str">
        <f>IFERROR(__xludf.DUMMYFUNCTION("IFNA(VLOOKUP(IFNA(REGEXEXTRACT(F159, ""(Пасхи|50-ці|посту)""),""""),lists!$A$39:$B$41,2,FALSE),"""")"),"pentecost")</f>
        <v>pentecost</v>
      </c>
      <c r="O159" s="19" t="str">
        <f>IFERROR(__xludf.DUMMYFUNCTION("IFNA(REGEXEXTRACT(F159, ""\d{1,2}""),"""")"),"9")</f>
        <v>9</v>
      </c>
      <c r="P159" s="20" t="b">
        <f t="shared" si="3"/>
        <v>0</v>
      </c>
    </row>
    <row r="160">
      <c r="A160" s="9" t="s">
        <v>354</v>
      </c>
      <c r="B160" s="9" t="str">
        <f t="shared" si="1"/>
        <v>1 Кор.</v>
      </c>
      <c r="C160" s="10" t="s">
        <v>17</v>
      </c>
      <c r="D160" s="11" t="str">
        <f t="shared" si="2"/>
        <v>129</v>
      </c>
      <c r="E160" s="9"/>
      <c r="F160" s="25" t="s">
        <v>355</v>
      </c>
      <c r="G160" s="14"/>
      <c r="H160" s="22"/>
      <c r="I160" s="16" t="s">
        <v>29</v>
      </c>
      <c r="J160" s="23" t="s">
        <v>110</v>
      </c>
      <c r="K160" s="17"/>
      <c r="L160" s="16">
        <v>4.0</v>
      </c>
      <c r="M160" s="18">
        <f>IFNA( VLOOKUP(LEFT(F160, IFERROR(FIND(" ", F160, 1),1) - 1), lists!$A$31:$B$37, 2, FALSE),"")</f>
        <v>4</v>
      </c>
      <c r="N160" s="18" t="str">
        <f>IFERROR(__xludf.DUMMYFUNCTION("IFNA(VLOOKUP(IFNA(REGEXEXTRACT(F160, ""(Пасхи|50-ці|посту)""),""""),lists!$A$39:$B$41,2,FALSE),"""")"),"pentecost")</f>
        <v>pentecost</v>
      </c>
      <c r="O160" s="19" t="str">
        <f>IFERROR(__xludf.DUMMYFUNCTION("IFNA(REGEXEXTRACT(F160, ""\d{1,2}""),"""")"),"6")</f>
        <v>6</v>
      </c>
      <c r="P160" s="20" t="b">
        <f t="shared" si="3"/>
        <v>0</v>
      </c>
    </row>
    <row r="161">
      <c r="A161" s="9" t="s">
        <v>356</v>
      </c>
      <c r="B161" s="9" t="str">
        <f t="shared" si="1"/>
        <v>1 Кор.</v>
      </c>
      <c r="C161" s="10" t="s">
        <v>17</v>
      </c>
      <c r="D161" s="11" t="str">
        <f t="shared" si="2"/>
        <v>130</v>
      </c>
      <c r="E161" s="12" t="s">
        <v>18</v>
      </c>
      <c r="F161" s="25" t="s">
        <v>357</v>
      </c>
      <c r="G161" s="14"/>
      <c r="H161" s="22"/>
      <c r="I161" s="16" t="s">
        <v>29</v>
      </c>
      <c r="J161" s="23" t="s">
        <v>110</v>
      </c>
      <c r="K161" s="17"/>
      <c r="L161" s="16">
        <v>5.0</v>
      </c>
      <c r="M161" s="18">
        <f>IFNA( VLOOKUP(LEFT(F161, IFERROR(FIND(" ", F161, 1),1) - 1), lists!$A$31:$B$37, 2, FALSE),"")</f>
        <v>5</v>
      </c>
      <c r="N161" s="18" t="str">
        <f>IFERROR(__xludf.DUMMYFUNCTION("IFNA(VLOOKUP(IFNA(REGEXEXTRACT(F161, ""(Пасхи|50-ці|посту)""),""""),lists!$A$39:$B$41,2,FALSE),"""")"),"pentecost")</f>
        <v>pentecost</v>
      </c>
      <c r="O161" s="19" t="str">
        <f>IFERROR(__xludf.DUMMYFUNCTION("IFNA(REGEXEXTRACT(F161, ""\d{1,2}""),"""")"),"6")</f>
        <v>6</v>
      </c>
      <c r="P161" s="20" t="b">
        <f t="shared" si="3"/>
        <v>0</v>
      </c>
    </row>
    <row r="162">
      <c r="A162" s="9" t="s">
        <v>358</v>
      </c>
      <c r="B162" s="9" t="str">
        <f t="shared" si="1"/>
        <v>1 Кор.</v>
      </c>
      <c r="C162" s="10" t="s">
        <v>17</v>
      </c>
      <c r="D162" s="11" t="str">
        <f t="shared" si="2"/>
        <v>130</v>
      </c>
      <c r="E162" s="12" t="s">
        <v>22</v>
      </c>
      <c r="F162" s="21" t="s">
        <v>359</v>
      </c>
      <c r="G162" s="14"/>
      <c r="H162" s="22"/>
      <c r="I162" s="16" t="s">
        <v>29</v>
      </c>
      <c r="J162" s="23" t="s">
        <v>360</v>
      </c>
      <c r="K162" s="17"/>
      <c r="L162" s="16">
        <v>6.0</v>
      </c>
      <c r="M162" s="18">
        <f>IFNA( VLOOKUP(LEFT(F162, IFERROR(FIND(" ", F162, 1),1) - 1), lists!$A$31:$B$37, 2, FALSE),"")</f>
        <v>6</v>
      </c>
      <c r="N162" s="18" t="str">
        <f>IFERROR(__xludf.DUMMYFUNCTION("IFNA(VLOOKUP(IFNA(REGEXEXTRACT(F162, ""(Пасхи|50-ці|посту)""),""""),lists!$A$39:$B$41,2,FALSE),"""")"),"pentecost")</f>
        <v>pentecost</v>
      </c>
      <c r="O162" s="19" t="str">
        <f>IFERROR(__xludf.DUMMYFUNCTION("IFNA(REGEXEXTRACT(F162, ""\d{1,2}""),"""")"),"14")</f>
        <v>14</v>
      </c>
      <c r="P162" s="20" t="b">
        <f t="shared" si="3"/>
        <v>0</v>
      </c>
    </row>
    <row r="163">
      <c r="A163" s="9" t="s">
        <v>361</v>
      </c>
      <c r="B163" s="9" t="str">
        <f t="shared" si="1"/>
        <v>1 Кор.</v>
      </c>
      <c r="C163" s="10" t="s">
        <v>17</v>
      </c>
      <c r="D163" s="11" t="str">
        <f t="shared" si="2"/>
        <v>131</v>
      </c>
      <c r="E163" s="9"/>
      <c r="F163" s="21" t="s">
        <v>362</v>
      </c>
      <c r="G163" s="14"/>
      <c r="H163" s="22"/>
      <c r="I163" s="16" t="s">
        <v>29</v>
      </c>
      <c r="J163" s="23" t="s">
        <v>328</v>
      </c>
      <c r="K163" s="17"/>
      <c r="L163" s="16">
        <v>7.0</v>
      </c>
      <c r="M163" s="18">
        <f>IFNA( VLOOKUP(LEFT(F163, IFERROR(FIND(" ", F163, 1),1) - 1), lists!$A$31:$B$37, 2, FALSE),"")</f>
        <v>7</v>
      </c>
      <c r="N163" s="18" t="str">
        <f>IFERROR(__xludf.DUMMYFUNCTION("IFNA(VLOOKUP(IFNA(REGEXEXTRACT(F163, ""(Пасхи|50-ці|посту)""),""""),lists!$A$39:$B$41,2,FALSE),"""")"),"pentecost")</f>
        <v>pentecost</v>
      </c>
      <c r="O163" s="19" t="str">
        <f>IFERROR(__xludf.DUMMYFUNCTION("IFNA(REGEXEXTRACT(F163, ""\d{1,2}""),"""")"),"10")</f>
        <v>10</v>
      </c>
      <c r="P163" s="20" t="b">
        <f t="shared" si="3"/>
        <v>0</v>
      </c>
    </row>
    <row r="164">
      <c r="A164" s="9" t="s">
        <v>363</v>
      </c>
      <c r="B164" s="9" t="str">
        <f t="shared" si="1"/>
        <v>1 Кор.</v>
      </c>
      <c r="C164" s="10" t="s">
        <v>17</v>
      </c>
      <c r="D164" s="11" t="str">
        <f t="shared" si="2"/>
        <v>132</v>
      </c>
      <c r="E164" s="9"/>
      <c r="F164" s="21" t="s">
        <v>364</v>
      </c>
      <c r="G164" s="14"/>
      <c r="H164" s="22"/>
      <c r="I164" s="16" t="s">
        <v>29</v>
      </c>
      <c r="J164" s="23" t="s">
        <v>365</v>
      </c>
      <c r="K164" s="17"/>
      <c r="L164" s="16">
        <v>6.0</v>
      </c>
      <c r="M164" s="18">
        <f>IFNA( VLOOKUP(LEFT(F164, IFERROR(FIND(" ", F164, 1),1) - 1), lists!$A$31:$B$37, 2, FALSE),"")</f>
        <v>6</v>
      </c>
      <c r="N164" s="18" t="str">
        <f>IFERROR(__xludf.DUMMYFUNCTION("IFNA(VLOOKUP(IFNA(REGEXEXTRACT(F164, ""(Пасхи|50-ці|посту)""),""""),lists!$A$39:$B$41,2,FALSE),"""")"),"pentecost")</f>
        <v>pentecost</v>
      </c>
      <c r="O164" s="19" t="str">
        <f>IFERROR(__xludf.DUMMYFUNCTION("IFNA(REGEXEXTRACT(F164, ""\d{1,2}""),"""")"),"15")</f>
        <v>15</v>
      </c>
      <c r="P164" s="20" t="b">
        <f t="shared" si="3"/>
        <v>0</v>
      </c>
    </row>
    <row r="165">
      <c r="A165" s="9" t="s">
        <v>366</v>
      </c>
      <c r="B165" s="9" t="str">
        <f t="shared" si="1"/>
        <v>1 Кор.</v>
      </c>
      <c r="C165" s="10" t="s">
        <v>17</v>
      </c>
      <c r="D165" s="11" t="str">
        <f t="shared" si="2"/>
        <v>133</v>
      </c>
      <c r="E165" s="9"/>
      <c r="F165" s="21" t="s">
        <v>367</v>
      </c>
      <c r="G165" s="14"/>
      <c r="H165" s="15" t="s">
        <v>70</v>
      </c>
      <c r="I165" s="16" t="s">
        <v>71</v>
      </c>
      <c r="J165" s="23" t="s">
        <v>71</v>
      </c>
      <c r="K165" s="17"/>
      <c r="L165" s="16" t="s">
        <v>71</v>
      </c>
      <c r="M165" s="18" t="str">
        <f>IFNA( VLOOKUP(LEFT(F165, IFERROR(FIND(" ", F165, 1),1) - 1), lists!$A$31:$B$37, 2, FALSE),"")</f>
        <v/>
      </c>
      <c r="N165" s="18" t="str">
        <f>IFERROR(__xludf.DUMMYFUNCTION("IFNA(VLOOKUP(IFNA(REGEXEXTRACT(F165, ""(Пасхи|50-ці|посту)""),""""),lists!$A$39:$B$41,2,FALSE),"""")"),"")</f>
        <v/>
      </c>
      <c r="O165" s="19" t="str">
        <f>IFERROR(__xludf.DUMMYFUNCTION("IFNA(REGEXEXTRACT(F165, ""\d{1,2}""),"""")"),"")</f>
        <v/>
      </c>
      <c r="P165" s="20" t="b">
        <f t="shared" si="3"/>
        <v>0</v>
      </c>
    </row>
    <row r="166">
      <c r="A166" s="9" t="s">
        <v>368</v>
      </c>
      <c r="B166" s="9" t="str">
        <f t="shared" si="1"/>
        <v>1 Кор.</v>
      </c>
      <c r="C166" s="10" t="s">
        <v>17</v>
      </c>
      <c r="D166" s="11" t="str">
        <f t="shared" si="2"/>
        <v>134</v>
      </c>
      <c r="E166" s="9"/>
      <c r="F166" s="13" t="s">
        <v>369</v>
      </c>
      <c r="G166" s="14"/>
      <c r="H166" s="22"/>
      <c r="I166" s="16" t="s">
        <v>29</v>
      </c>
      <c r="J166" s="23" t="s">
        <v>129</v>
      </c>
      <c r="K166" s="17"/>
      <c r="L166" s="16">
        <v>1.0</v>
      </c>
      <c r="M166" s="18">
        <f>IFNA( VLOOKUP(LEFT(F166, IFERROR(FIND(" ", F166, 1),1) - 1), lists!$A$31:$B$37, 2, FALSE),"")</f>
        <v>1</v>
      </c>
      <c r="N166" s="18" t="str">
        <f>IFERROR(__xludf.DUMMYFUNCTION("IFNA(VLOOKUP(IFNA(REGEXEXTRACT(F166, ""(Пасхи|50-ці|посту)""),""""),lists!$A$39:$B$41,2,FALSE),"""")"),"pentecost")</f>
        <v>pentecost</v>
      </c>
      <c r="O166" s="19" t="str">
        <f>IFERROR(__xludf.DUMMYFUNCTION("IFNA(REGEXEXTRACT(F166, ""\d{1,2}""),"""")"),"7")</f>
        <v>7</v>
      </c>
      <c r="P166" s="20" t="b">
        <f t="shared" si="3"/>
        <v>0</v>
      </c>
    </row>
    <row r="167">
      <c r="A167" s="9" t="s">
        <v>370</v>
      </c>
      <c r="B167" s="9" t="str">
        <f t="shared" si="1"/>
        <v>1 Кор.</v>
      </c>
      <c r="C167" s="10" t="s">
        <v>17</v>
      </c>
      <c r="D167" s="11" t="str">
        <f t="shared" si="2"/>
        <v>135</v>
      </c>
      <c r="E167" s="9"/>
      <c r="F167" s="21" t="s">
        <v>371</v>
      </c>
      <c r="G167" s="14"/>
      <c r="H167" s="22"/>
      <c r="I167" s="16" t="s">
        <v>29</v>
      </c>
      <c r="J167" s="23" t="s">
        <v>189</v>
      </c>
      <c r="K167" s="16">
        <v>3.0</v>
      </c>
      <c r="L167" s="16">
        <v>7.0</v>
      </c>
      <c r="M167" s="18">
        <f>IFNA( VLOOKUP(LEFT(F167, IFERROR(FIND(" ", F167, 1),1) - 1), lists!$A$31:$B$37, 2, FALSE),"")</f>
        <v>7</v>
      </c>
      <c r="N167" s="18" t="str">
        <f>IFERROR(__xludf.DUMMYFUNCTION("IFNA(VLOOKUP(IFNA(REGEXEXTRACT(F167, ""(Пасхи|50-ці|посту)""),""""),lists!$A$39:$B$41,2,FALSE),"""")"),"")</f>
        <v/>
      </c>
      <c r="O167" s="19" t="str">
        <f>IFERROR(__xludf.DUMMYFUNCTION("IFNA(REGEXEXTRACT(F167, ""\d{1,2}""),"""")"),"34")</f>
        <v>34</v>
      </c>
      <c r="P167" s="20" t="b">
        <f t="shared" si="3"/>
        <v>0</v>
      </c>
    </row>
    <row r="168">
      <c r="A168" s="9" t="s">
        <v>372</v>
      </c>
      <c r="B168" s="9" t="str">
        <f t="shared" si="1"/>
        <v>1 Кор.</v>
      </c>
      <c r="C168" s="10" t="s">
        <v>17</v>
      </c>
      <c r="D168" s="11" t="str">
        <f t="shared" si="2"/>
        <v>136</v>
      </c>
      <c r="E168" s="9"/>
      <c r="F168" s="21" t="s">
        <v>373</v>
      </c>
      <c r="G168" s="14"/>
      <c r="H168" s="22"/>
      <c r="I168" s="16" t="s">
        <v>29</v>
      </c>
      <c r="J168" s="23" t="s">
        <v>129</v>
      </c>
      <c r="K168" s="17"/>
      <c r="L168" s="16">
        <v>2.0</v>
      </c>
      <c r="M168" s="18">
        <f>IFNA( VLOOKUP(LEFT(F168, IFERROR(FIND(" ", F168, 1),1) - 1), lists!$A$31:$B$37, 2, FALSE),"")</f>
        <v>2</v>
      </c>
      <c r="N168" s="18" t="str">
        <f>IFERROR(__xludf.DUMMYFUNCTION("IFNA(VLOOKUP(IFNA(REGEXEXTRACT(F168, ""(Пасхи|50-ці|посту)""),""""),lists!$A$39:$B$41,2,FALSE),"""")"),"pentecost")</f>
        <v>pentecost</v>
      </c>
      <c r="O168" s="19" t="str">
        <f>IFERROR(__xludf.DUMMYFUNCTION("IFNA(REGEXEXTRACT(F168, ""\d{1,2}""),"""")"),"7")</f>
        <v>7</v>
      </c>
      <c r="P168" s="20" t="b">
        <f t="shared" si="3"/>
        <v>0</v>
      </c>
    </row>
    <row r="169">
      <c r="A169" s="9" t="s">
        <v>374</v>
      </c>
      <c r="B169" s="9" t="str">
        <f t="shared" si="1"/>
        <v>1 Кор.</v>
      </c>
      <c r="C169" s="10" t="s">
        <v>17</v>
      </c>
      <c r="D169" s="11" t="str">
        <f t="shared" si="2"/>
        <v>137</v>
      </c>
      <c r="E169" s="9"/>
      <c r="F169" s="21" t="s">
        <v>375</v>
      </c>
      <c r="G169" s="14"/>
      <c r="H169" s="22"/>
      <c r="I169" s="16" t="s">
        <v>29</v>
      </c>
      <c r="J169" s="23" t="s">
        <v>129</v>
      </c>
      <c r="K169" s="17"/>
      <c r="L169" s="16">
        <v>3.0</v>
      </c>
      <c r="M169" s="18">
        <f>IFNA( VLOOKUP(LEFT(F169, IFERROR(FIND(" ", F169, 1),1) - 1), lists!$A$31:$B$37, 2, FALSE),"")</f>
        <v>3</v>
      </c>
      <c r="N169" s="18" t="str">
        <f>IFERROR(__xludf.DUMMYFUNCTION("IFNA(VLOOKUP(IFNA(REGEXEXTRACT(F169, ""(Пасхи|50-ці|посту)""),""""),lists!$A$39:$B$41,2,FALSE),"""")"),"pentecost")</f>
        <v>pentecost</v>
      </c>
      <c r="O169" s="19" t="str">
        <f>IFERROR(__xludf.DUMMYFUNCTION("IFNA(REGEXEXTRACT(F169, ""\d{1,2}""),"""")"),"7")</f>
        <v>7</v>
      </c>
      <c r="P169" s="20" t="b">
        <f t="shared" si="3"/>
        <v>0</v>
      </c>
    </row>
    <row r="170">
      <c r="A170" s="9" t="s">
        <v>376</v>
      </c>
      <c r="B170" s="9" t="str">
        <f t="shared" si="1"/>
        <v>1 Кор.</v>
      </c>
      <c r="C170" s="10" t="s">
        <v>17</v>
      </c>
      <c r="D170" s="11" t="str">
        <f t="shared" si="2"/>
        <v>138</v>
      </c>
      <c r="E170" s="9"/>
      <c r="F170" s="21" t="s">
        <v>377</v>
      </c>
      <c r="G170" s="14"/>
      <c r="H170" s="22"/>
      <c r="I170" s="16" t="s">
        <v>29</v>
      </c>
      <c r="J170" s="23" t="s">
        <v>129</v>
      </c>
      <c r="K170" s="17"/>
      <c r="L170" s="16">
        <v>4.0</v>
      </c>
      <c r="M170" s="18">
        <f>IFNA( VLOOKUP(LEFT(F170, IFERROR(FIND(" ", F170, 1),1) - 1), lists!$A$31:$B$37, 2, FALSE),"")</f>
        <v>4</v>
      </c>
      <c r="N170" s="18" t="str">
        <f>IFERROR(__xludf.DUMMYFUNCTION("IFNA(VLOOKUP(IFNA(REGEXEXTRACT(F170, ""(Пасхи|50-ці|посту)""),""""),lists!$A$39:$B$41,2,FALSE),"""")"),"pentecost")</f>
        <v>pentecost</v>
      </c>
      <c r="O170" s="19" t="str">
        <f>IFERROR(__xludf.DUMMYFUNCTION("IFNA(REGEXEXTRACT(F170, ""\d{1,2}""),"""")"),"7")</f>
        <v>7</v>
      </c>
      <c r="P170" s="20" t="b">
        <f t="shared" si="3"/>
        <v>0</v>
      </c>
    </row>
    <row r="171">
      <c r="A171" s="9" t="s">
        <v>378</v>
      </c>
      <c r="B171" s="9" t="str">
        <f t="shared" si="1"/>
        <v>1 Кор.</v>
      </c>
      <c r="C171" s="10" t="s">
        <v>17</v>
      </c>
      <c r="D171" s="11" t="str">
        <f t="shared" si="2"/>
        <v>139</v>
      </c>
      <c r="E171" s="9"/>
      <c r="F171" s="25" t="s">
        <v>379</v>
      </c>
      <c r="G171" s="14"/>
      <c r="H171" s="22"/>
      <c r="I171" s="16" t="s">
        <v>29</v>
      </c>
      <c r="J171" s="23" t="s">
        <v>129</v>
      </c>
      <c r="K171" s="17"/>
      <c r="L171" s="16">
        <v>5.0</v>
      </c>
      <c r="M171" s="18">
        <f>IFNA( VLOOKUP(LEFT(F171, IFERROR(FIND(" ", F171, 1),1) - 1), lists!$A$31:$B$37, 2, FALSE),"")</f>
        <v>5</v>
      </c>
      <c r="N171" s="18" t="str">
        <f>IFERROR(__xludf.DUMMYFUNCTION("IFNA(VLOOKUP(IFNA(REGEXEXTRACT(F171, ""(Пасхи|50-ці|посту)""),""""),lists!$A$39:$B$41,2,FALSE),"""")"),"pentecost")</f>
        <v>pentecost</v>
      </c>
      <c r="O171" s="19" t="str">
        <f>IFERROR(__xludf.DUMMYFUNCTION("IFNA(REGEXEXTRACT(F171, ""\d{1,2}""),"""")"),"7")</f>
        <v>7</v>
      </c>
      <c r="P171" s="20" t="b">
        <f t="shared" si="3"/>
        <v>0</v>
      </c>
    </row>
    <row r="172">
      <c r="A172" s="9" t="s">
        <v>380</v>
      </c>
      <c r="B172" s="9" t="str">
        <f t="shared" si="1"/>
        <v>1 Кор.</v>
      </c>
      <c r="C172" s="10" t="s">
        <v>17</v>
      </c>
      <c r="D172" s="11" t="str">
        <f t="shared" si="2"/>
        <v>140</v>
      </c>
      <c r="E172" s="9"/>
      <c r="F172" s="21" t="s">
        <v>381</v>
      </c>
      <c r="G172" s="14"/>
      <c r="H172" s="22"/>
      <c r="I172" s="16" t="s">
        <v>29</v>
      </c>
      <c r="J172" s="23" t="s">
        <v>203</v>
      </c>
      <c r="K172" s="16">
        <v>2.0</v>
      </c>
      <c r="L172" s="16">
        <v>7.0</v>
      </c>
      <c r="M172" s="18">
        <f>IFNA( VLOOKUP(LEFT(F172, IFERROR(FIND(" ", F172, 1),1) - 1), lists!$A$31:$B$37, 2, FALSE),"")</f>
        <v>7</v>
      </c>
      <c r="N172" s="18" t="str">
        <f>IFERROR(__xludf.DUMMYFUNCTION("IFNA(VLOOKUP(IFNA(REGEXEXTRACT(F172, ""(Пасхи|50-ці|посту)""),""""),lists!$A$39:$B$41,2,FALSE),"""")"),"")</f>
        <v/>
      </c>
      <c r="O172" s="19" t="str">
        <f>IFERROR(__xludf.DUMMYFUNCTION("IFNA(REGEXEXTRACT(F172, ""\d{1,2}""),"""")"),"35")</f>
        <v>35</v>
      </c>
      <c r="P172" s="20" t="b">
        <f t="shared" si="3"/>
        <v>0</v>
      </c>
    </row>
    <row r="173">
      <c r="A173" s="9" t="s">
        <v>382</v>
      </c>
      <c r="B173" s="9" t="str">
        <f t="shared" si="1"/>
        <v>1 Кор.</v>
      </c>
      <c r="C173" s="10" t="s">
        <v>17</v>
      </c>
      <c r="D173" s="11" t="str">
        <f t="shared" si="2"/>
        <v>141</v>
      </c>
      <c r="E173" s="9"/>
      <c r="F173" s="21" t="s">
        <v>383</v>
      </c>
      <c r="G173" s="14"/>
      <c r="H173" s="22"/>
      <c r="I173" s="16" t="s">
        <v>29</v>
      </c>
      <c r="J173" s="23" t="s">
        <v>337</v>
      </c>
      <c r="K173" s="17"/>
      <c r="L173" s="16">
        <v>7.0</v>
      </c>
      <c r="M173" s="18">
        <f>IFNA( VLOOKUP(LEFT(F173, IFERROR(FIND(" ", F173, 1),1) - 1), lists!$A$31:$B$37, 2, FALSE),"")</f>
        <v>7</v>
      </c>
      <c r="N173" s="18" t="str">
        <f>IFERROR(__xludf.DUMMYFUNCTION("IFNA(VLOOKUP(IFNA(REGEXEXTRACT(F173, ""(Пасхи|50-ці|посту)""),""""),lists!$A$39:$B$41,2,FALSE),"""")"),"pentecost")</f>
        <v>pentecost</v>
      </c>
      <c r="O173" s="19" t="str">
        <f>IFERROR(__xludf.DUMMYFUNCTION("IFNA(REGEXEXTRACT(F173, ""\d{1,2}""),"""")"),"11")</f>
        <v>11</v>
      </c>
      <c r="P173" s="20" t="b">
        <f t="shared" si="3"/>
        <v>0</v>
      </c>
    </row>
    <row r="174">
      <c r="A174" s="9" t="s">
        <v>384</v>
      </c>
      <c r="B174" s="9" t="str">
        <f t="shared" si="1"/>
        <v>1 Кор.</v>
      </c>
      <c r="C174" s="10" t="s">
        <v>17</v>
      </c>
      <c r="D174" s="11" t="str">
        <f t="shared" si="2"/>
        <v>142</v>
      </c>
      <c r="E174" s="9"/>
      <c r="F174" s="25" t="s">
        <v>385</v>
      </c>
      <c r="G174" s="14"/>
      <c r="H174" s="22"/>
      <c r="I174" s="16" t="s">
        <v>29</v>
      </c>
      <c r="J174" s="23" t="s">
        <v>196</v>
      </c>
      <c r="K174" s="17"/>
      <c r="L174" s="16">
        <v>1.0</v>
      </c>
      <c r="M174" s="18">
        <f>IFNA( VLOOKUP(LEFT(F174, IFERROR(FIND(" ", F174, 1),1) - 1), lists!$A$31:$B$37, 2, FALSE),"")</f>
        <v>1</v>
      </c>
      <c r="N174" s="18" t="str">
        <f>IFERROR(__xludf.DUMMYFUNCTION("IFNA(VLOOKUP(IFNA(REGEXEXTRACT(F174, ""(Пасхи|50-ці|посту)""),""""),lists!$A$39:$B$41,2,FALSE),"""")"),"pentecost")</f>
        <v>pentecost</v>
      </c>
      <c r="O174" s="19" t="str">
        <f>IFERROR(__xludf.DUMMYFUNCTION("IFNA(REGEXEXTRACT(F174, ""\d{1,2}""),"""")"),"8")</f>
        <v>8</v>
      </c>
      <c r="P174" s="20" t="b">
        <f t="shared" si="3"/>
        <v>0</v>
      </c>
    </row>
    <row r="175">
      <c r="A175" s="12" t="s">
        <v>386</v>
      </c>
      <c r="B175" s="9" t="str">
        <f t="shared" si="1"/>
        <v>1 Кор.</v>
      </c>
      <c r="C175" s="10" t="s">
        <v>17</v>
      </c>
      <c r="D175" s="11" t="str">
        <f t="shared" si="2"/>
        <v>143</v>
      </c>
      <c r="E175" s="12" t="s">
        <v>387</v>
      </c>
      <c r="F175" s="27" t="s">
        <v>388</v>
      </c>
      <c r="G175" s="14"/>
      <c r="H175" s="15" t="s">
        <v>70</v>
      </c>
      <c r="I175" s="16" t="s">
        <v>71</v>
      </c>
      <c r="J175" s="23" t="s">
        <v>71</v>
      </c>
      <c r="K175" s="17"/>
      <c r="L175" s="16" t="s">
        <v>71</v>
      </c>
      <c r="M175" s="18" t="str">
        <f>IFNA( VLOOKUP(LEFT(F175, IFERROR(FIND(" ", F175, 1),1) - 1), lists!$A$31:$B$37, 2, FALSE),"")</f>
        <v/>
      </c>
      <c r="N175" s="18" t="str">
        <f>IFERROR(__xludf.DUMMYFUNCTION("IFNA(VLOOKUP(IFNA(REGEXEXTRACT(F175, ""(Пасхи|50-ці|посту)""),""""),lists!$A$39:$B$41,2,FALSE),"""")"),"")</f>
        <v/>
      </c>
      <c r="O175" s="19" t="str">
        <f>IFERROR(__xludf.DUMMYFUNCTION("IFNA(REGEXEXTRACT(F175, ""\d{1,2}""),"""")"),"")</f>
        <v/>
      </c>
      <c r="P175" s="20" t="b">
        <f t="shared" si="3"/>
        <v>0</v>
      </c>
    </row>
    <row r="176">
      <c r="A176" s="12" t="s">
        <v>389</v>
      </c>
      <c r="B176" s="9" t="str">
        <f t="shared" si="1"/>
        <v>1 Кор.</v>
      </c>
      <c r="C176" s="10" t="s">
        <v>17</v>
      </c>
      <c r="D176" s="11" t="str">
        <f t="shared" si="2"/>
        <v>143</v>
      </c>
      <c r="E176" s="12" t="s">
        <v>18</v>
      </c>
      <c r="F176" s="27" t="s">
        <v>390</v>
      </c>
      <c r="G176" s="14"/>
      <c r="H176" s="15" t="s">
        <v>70</v>
      </c>
      <c r="I176" s="16" t="s">
        <v>20</v>
      </c>
      <c r="J176" s="23" t="s">
        <v>71</v>
      </c>
      <c r="K176" s="17"/>
      <c r="L176" s="16" t="s">
        <v>71</v>
      </c>
      <c r="M176" s="18" t="str">
        <f>IFNA( VLOOKUP(LEFT(F176, IFERROR(FIND(" ", F176, 1),1) - 1), lists!$A$31:$B$37, 2, FALSE),"")</f>
        <v/>
      </c>
      <c r="N176" s="18" t="str">
        <f>IFERROR(__xludf.DUMMYFUNCTION("IFNA(VLOOKUP(IFNA(REGEXEXTRACT(F176, ""(Пасхи|50-ці|посту)""),""""),lists!$A$39:$B$41,2,FALSE),"""")"),"lent")</f>
        <v>lent</v>
      </c>
      <c r="O176" s="19" t="str">
        <f>IFERROR(__xludf.DUMMYFUNCTION("IFNA(REGEXEXTRACT(F176, ""\d{1,2}""),"""")"),"")</f>
        <v/>
      </c>
      <c r="P176" s="20" t="b">
        <f t="shared" si="3"/>
        <v>0</v>
      </c>
    </row>
    <row r="177">
      <c r="A177" s="12" t="s">
        <v>391</v>
      </c>
      <c r="B177" s="9" t="str">
        <f t="shared" si="1"/>
        <v>1 Кор.</v>
      </c>
      <c r="C177" s="10" t="s">
        <v>17</v>
      </c>
      <c r="D177" s="11" t="str">
        <f t="shared" si="2"/>
        <v>143</v>
      </c>
      <c r="E177" s="12" t="s">
        <v>22</v>
      </c>
      <c r="F177" s="27" t="s">
        <v>392</v>
      </c>
      <c r="G177" s="36"/>
      <c r="H177" s="15" t="s">
        <v>70</v>
      </c>
      <c r="I177" s="16" t="s">
        <v>71</v>
      </c>
      <c r="J177" s="23" t="s">
        <v>71</v>
      </c>
      <c r="K177" s="17"/>
      <c r="L177" s="16" t="s">
        <v>71</v>
      </c>
      <c r="M177" s="18" t="str">
        <f>IFNA( VLOOKUP(LEFT(F177, IFERROR(FIND(" ", F177, 1),1) - 1), lists!$A$31:$B$37, 2, FALSE),"")</f>
        <v/>
      </c>
      <c r="N177" s="18" t="str">
        <f>IFERROR(__xludf.DUMMYFUNCTION("IFNA(VLOOKUP(IFNA(REGEXEXTRACT(F177, ""(Пасхи|50-ці|посту)""),""""),lists!$A$39:$B$41,2,FALSE),"""")"),"")</f>
        <v/>
      </c>
      <c r="O177" s="19" t="str">
        <f>IFERROR(__xludf.DUMMYFUNCTION("IFNA(REGEXEXTRACT(F177, ""\d{1,2}""),"""")"),"")</f>
        <v/>
      </c>
      <c r="P177" s="20" t="b">
        <f t="shared" si="3"/>
        <v>0</v>
      </c>
    </row>
    <row r="178">
      <c r="A178" s="9" t="s">
        <v>393</v>
      </c>
      <c r="B178" s="9" t="str">
        <f t="shared" si="1"/>
        <v>1 Кор.</v>
      </c>
      <c r="C178" s="10" t="s">
        <v>17</v>
      </c>
      <c r="D178" s="11" t="str">
        <f t="shared" si="2"/>
        <v>144</v>
      </c>
      <c r="E178" s="9"/>
      <c r="F178" s="25" t="s">
        <v>394</v>
      </c>
      <c r="G178" s="14"/>
      <c r="H178" s="22"/>
      <c r="I178" s="16" t="s">
        <v>29</v>
      </c>
      <c r="J178" s="23" t="s">
        <v>196</v>
      </c>
      <c r="K178" s="17"/>
      <c r="L178" s="16">
        <v>2.0</v>
      </c>
      <c r="M178" s="18">
        <f>IFNA( VLOOKUP(LEFT(F178, IFERROR(FIND(" ", F178, 1),1) - 1), lists!$A$31:$B$37, 2, FALSE),"")</f>
        <v>2</v>
      </c>
      <c r="N178" s="18" t="str">
        <f>IFERROR(__xludf.DUMMYFUNCTION("IFNA(VLOOKUP(IFNA(REGEXEXTRACT(F178, ""(Пасхи|50-ці|посту)""),""""),lists!$A$39:$B$41,2,FALSE),"""")"),"pentecost")</f>
        <v>pentecost</v>
      </c>
      <c r="O178" s="19" t="str">
        <f>IFERROR(__xludf.DUMMYFUNCTION("IFNA(REGEXEXTRACT(F178, ""\d{1,2}""),"""")"),"8")</f>
        <v>8</v>
      </c>
      <c r="P178" s="20" t="b">
        <f t="shared" si="3"/>
        <v>0</v>
      </c>
    </row>
    <row r="179">
      <c r="A179" s="9" t="s">
        <v>395</v>
      </c>
      <c r="B179" s="9" t="str">
        <f t="shared" si="1"/>
        <v>1 Кор.</v>
      </c>
      <c r="C179" s="10" t="s">
        <v>17</v>
      </c>
      <c r="D179" s="11" t="str">
        <f t="shared" si="2"/>
        <v>145</v>
      </c>
      <c r="E179" s="9"/>
      <c r="F179" s="25" t="s">
        <v>396</v>
      </c>
      <c r="G179" s="14"/>
      <c r="H179" s="22"/>
      <c r="I179" s="16" t="s">
        <v>29</v>
      </c>
      <c r="J179" s="23" t="s">
        <v>196</v>
      </c>
      <c r="K179" s="17"/>
      <c r="L179" s="16">
        <v>3.0</v>
      </c>
      <c r="M179" s="18">
        <f>IFNA( VLOOKUP(LEFT(F179, IFERROR(FIND(" ", F179, 1),1) - 1), lists!$A$31:$B$37, 2, FALSE),"")</f>
        <v>3</v>
      </c>
      <c r="N179" s="18" t="str">
        <f>IFERROR(__xludf.DUMMYFUNCTION("IFNA(VLOOKUP(IFNA(REGEXEXTRACT(F179, ""(Пасхи|50-ці|посту)""),""""),lists!$A$39:$B$41,2,FALSE),"""")"),"pentecost")</f>
        <v>pentecost</v>
      </c>
      <c r="O179" s="19" t="str">
        <f>IFERROR(__xludf.DUMMYFUNCTION("IFNA(REGEXEXTRACT(F179, ""\d{1,2}""),"""")"),"8")</f>
        <v>8</v>
      </c>
      <c r="P179" s="20" t="b">
        <f t="shared" si="3"/>
        <v>0</v>
      </c>
    </row>
    <row r="180">
      <c r="A180" s="9" t="s">
        <v>397</v>
      </c>
      <c r="B180" s="9" t="str">
        <f t="shared" si="1"/>
        <v>1 Кор.</v>
      </c>
      <c r="C180" s="10" t="s">
        <v>17</v>
      </c>
      <c r="D180" s="11" t="str">
        <f t="shared" si="2"/>
        <v>146</v>
      </c>
      <c r="E180" s="9"/>
      <c r="F180" s="21" t="s">
        <v>398</v>
      </c>
      <c r="G180" s="14"/>
      <c r="H180" s="22"/>
      <c r="I180" s="16" t="s">
        <v>29</v>
      </c>
      <c r="J180" s="23" t="s">
        <v>399</v>
      </c>
      <c r="K180" s="17"/>
      <c r="L180" s="16">
        <v>6.0</v>
      </c>
      <c r="M180" s="18">
        <f>IFNA( VLOOKUP(LEFT(F180, IFERROR(FIND(" ", F180, 1),1) - 1), lists!$A$31:$B$37, 2, FALSE),"")</f>
        <v>6</v>
      </c>
      <c r="N180" s="18" t="str">
        <f>IFERROR(__xludf.DUMMYFUNCTION("IFNA(VLOOKUP(IFNA(REGEXEXTRACT(F180, ""(Пасхи|50-ці|посту)""),""""),lists!$A$39:$B$41,2,FALSE),"""")"),"pentecost")</f>
        <v>pentecost</v>
      </c>
      <c r="O180" s="19" t="str">
        <f>IFERROR(__xludf.DUMMYFUNCTION("IFNA(REGEXEXTRACT(F180, ""\d{1,2}""),"""")"),"16")</f>
        <v>16</v>
      </c>
      <c r="P180" s="20" t="b">
        <f t="shared" si="3"/>
        <v>0</v>
      </c>
    </row>
    <row r="181">
      <c r="A181" s="9" t="s">
        <v>400</v>
      </c>
      <c r="B181" s="9" t="str">
        <f t="shared" si="1"/>
        <v>1 Кор.</v>
      </c>
      <c r="C181" s="10" t="s">
        <v>17</v>
      </c>
      <c r="D181" s="11" t="str">
        <f t="shared" si="2"/>
        <v>147</v>
      </c>
      <c r="E181" s="9"/>
      <c r="F181" s="25" t="s">
        <v>401</v>
      </c>
      <c r="G181" s="14"/>
      <c r="H181" s="22"/>
      <c r="I181" s="16" t="s">
        <v>29</v>
      </c>
      <c r="J181" s="23" t="s">
        <v>196</v>
      </c>
      <c r="K181" s="17"/>
      <c r="L181" s="16">
        <v>4.0</v>
      </c>
      <c r="M181" s="18">
        <f>IFNA( VLOOKUP(LEFT(F181, IFERROR(FIND(" ", F181, 1),1) - 1), lists!$A$31:$B$37, 2, FALSE),"")</f>
        <v>4</v>
      </c>
      <c r="N181" s="18" t="str">
        <f>IFERROR(__xludf.DUMMYFUNCTION("IFNA(VLOOKUP(IFNA(REGEXEXTRACT(F181, ""(Пасхи|50-ці|посту)""),""""),lists!$A$39:$B$41,2,FALSE),"""")"),"pentecost")</f>
        <v>pentecost</v>
      </c>
      <c r="O181" s="19" t="str">
        <f>IFERROR(__xludf.DUMMYFUNCTION("IFNA(REGEXEXTRACT(F181, ""\d{1,2}""),"""")"),"8")</f>
        <v>8</v>
      </c>
      <c r="P181" s="20" t="b">
        <f t="shared" si="3"/>
        <v>0</v>
      </c>
    </row>
    <row r="182">
      <c r="A182" s="9" t="s">
        <v>402</v>
      </c>
      <c r="B182" s="9" t="str">
        <f t="shared" si="1"/>
        <v>1 Кор.</v>
      </c>
      <c r="C182" s="10" t="s">
        <v>17</v>
      </c>
      <c r="D182" s="11" t="str">
        <f t="shared" si="2"/>
        <v>148</v>
      </c>
      <c r="E182" s="9"/>
      <c r="F182" s="25" t="s">
        <v>403</v>
      </c>
      <c r="G182" s="14"/>
      <c r="H182" s="22"/>
      <c r="I182" s="16" t="s">
        <v>29</v>
      </c>
      <c r="J182" s="23" t="s">
        <v>196</v>
      </c>
      <c r="K182" s="17"/>
      <c r="L182" s="16">
        <v>5.0</v>
      </c>
      <c r="M182" s="18">
        <f>IFNA( VLOOKUP(LEFT(F182, IFERROR(FIND(" ", F182, 1),1) - 1), lists!$A$31:$B$37, 2, FALSE),"")</f>
        <v>5</v>
      </c>
      <c r="N182" s="18" t="str">
        <f>IFERROR(__xludf.DUMMYFUNCTION("IFNA(VLOOKUP(IFNA(REGEXEXTRACT(F182, ""(Пасхи|50-ці|посту)""),""""),lists!$A$39:$B$41,2,FALSE),"""")"),"pentecost")</f>
        <v>pentecost</v>
      </c>
      <c r="O182" s="19" t="str">
        <f>IFERROR(__xludf.DUMMYFUNCTION("IFNA(REGEXEXTRACT(F182, ""\d{1,2}""),"""")"),"8")</f>
        <v>8</v>
      </c>
      <c r="P182" s="20" t="b">
        <f t="shared" si="3"/>
        <v>0</v>
      </c>
    </row>
    <row r="183">
      <c r="A183" s="9" t="s">
        <v>404</v>
      </c>
      <c r="B183" s="9" t="str">
        <f t="shared" si="1"/>
        <v>1 Кор.</v>
      </c>
      <c r="C183" s="10" t="s">
        <v>17</v>
      </c>
      <c r="D183" s="11" t="str">
        <f t="shared" si="2"/>
        <v>149</v>
      </c>
      <c r="E183" s="9"/>
      <c r="F183" s="21" t="s">
        <v>405</v>
      </c>
      <c r="G183" s="14"/>
      <c r="H183" s="22"/>
      <c r="I183" s="16" t="s">
        <v>20</v>
      </c>
      <c r="J183" s="23">
        <v>7.0</v>
      </c>
      <c r="K183" s="17"/>
      <c r="L183" s="16">
        <v>4.0</v>
      </c>
      <c r="M183" s="18" t="str">
        <f>IFNA( VLOOKUP(LEFT(F183, IFERROR(FIND(" ", F183, 1),1) - 1), lists!$A$31:$B$37, 2, FALSE),"")</f>
        <v/>
      </c>
      <c r="N183" s="18" t="str">
        <f>IFERROR(__xludf.DUMMYFUNCTION("IFNA(VLOOKUP(IFNA(REGEXEXTRACT(F183, ""(Пасхи|50-ці|посту)""),""""),lists!$A$39:$B$41,2,FALSE),"""")"),"")</f>
        <v/>
      </c>
      <c r="O183" s="19" t="str">
        <f>IFERROR(__xludf.DUMMYFUNCTION("IFNA(REGEXEXTRACT(F183, ""\d{1,2}""),"""")"),"")</f>
        <v/>
      </c>
      <c r="P183" s="20" t="b">
        <f t="shared" si="3"/>
        <v>0</v>
      </c>
    </row>
    <row r="184">
      <c r="A184" s="9" t="s">
        <v>406</v>
      </c>
      <c r="B184" s="9" t="str">
        <f t="shared" si="1"/>
        <v>1 Кор.</v>
      </c>
      <c r="C184" s="10" t="s">
        <v>17</v>
      </c>
      <c r="D184" s="11" t="str">
        <f t="shared" si="2"/>
        <v>150</v>
      </c>
      <c r="E184" s="9"/>
      <c r="F184" s="25" t="s">
        <v>407</v>
      </c>
      <c r="G184" s="14"/>
      <c r="H184" s="22"/>
      <c r="I184" s="16" t="s">
        <v>29</v>
      </c>
      <c r="J184" s="23" t="s">
        <v>315</v>
      </c>
      <c r="K184" s="17"/>
      <c r="L184" s="16">
        <v>1.0</v>
      </c>
      <c r="M184" s="18">
        <f>IFNA( VLOOKUP(LEFT(F184, IFERROR(FIND(" ", F184, 1),1) - 1), lists!$A$31:$B$37, 2, FALSE),"")</f>
        <v>1</v>
      </c>
      <c r="N184" s="18" t="str">
        <f>IFERROR(__xludf.DUMMYFUNCTION("IFNA(VLOOKUP(IFNA(REGEXEXTRACT(F184, ""(Пасхи|50-ці|посту)""),""""),lists!$A$39:$B$41,2,FALSE),"""")"),"pentecost")</f>
        <v>pentecost</v>
      </c>
      <c r="O184" s="19" t="str">
        <f>IFERROR(__xludf.DUMMYFUNCTION("IFNA(REGEXEXTRACT(F184, ""\d{1,2}""),"""")"),"9")</f>
        <v>9</v>
      </c>
      <c r="P184" s="20" t="b">
        <f t="shared" si="3"/>
        <v>0</v>
      </c>
    </row>
    <row r="185">
      <c r="A185" s="9" t="s">
        <v>408</v>
      </c>
      <c r="B185" s="9" t="str">
        <f t="shared" si="1"/>
        <v>1 Кор.</v>
      </c>
      <c r="C185" s="10" t="s">
        <v>17</v>
      </c>
      <c r="D185" s="11" t="str">
        <f t="shared" si="2"/>
        <v>151</v>
      </c>
      <c r="E185" s="9"/>
      <c r="F185" s="27" t="s">
        <v>409</v>
      </c>
      <c r="G185" s="14"/>
      <c r="H185" s="15" t="s">
        <v>70</v>
      </c>
      <c r="I185" s="16" t="s">
        <v>71</v>
      </c>
      <c r="J185" s="23" t="s">
        <v>410</v>
      </c>
      <c r="K185" s="17"/>
      <c r="L185" s="16" t="s">
        <v>71</v>
      </c>
      <c r="M185" s="18" t="str">
        <f>IFNA( VLOOKUP(LEFT(F185, IFERROR(FIND(" ", F185, 1),1) - 1), lists!$A$31:$B$37, 2, FALSE),"")</f>
        <v/>
      </c>
      <c r="N185" s="18" t="str">
        <f>IFERROR(__xludf.DUMMYFUNCTION("IFNA(VLOOKUP(IFNA(REGEXEXTRACT(F185, ""(Пасхи|50-ці|посту)""),""""),lists!$A$39:$B$41,2,FALSE),"""")"),"")</f>
        <v/>
      </c>
      <c r="O185" s="19" t="str">
        <f>IFERROR(__xludf.DUMMYFUNCTION("IFNA(REGEXEXTRACT(F185, ""\d{1,2}""),"""")"),"17")</f>
        <v>17</v>
      </c>
      <c r="P185" s="20" t="b">
        <f t="shared" si="3"/>
        <v>0</v>
      </c>
    </row>
    <row r="186">
      <c r="A186" s="9" t="s">
        <v>411</v>
      </c>
      <c r="B186" s="9" t="str">
        <f t="shared" si="1"/>
        <v>1 Кор.</v>
      </c>
      <c r="C186" s="10" t="s">
        <v>17</v>
      </c>
      <c r="D186" s="11" t="str">
        <f t="shared" si="2"/>
        <v>152</v>
      </c>
      <c r="E186" s="9"/>
      <c r="F186" s="25" t="s">
        <v>412</v>
      </c>
      <c r="G186" s="14"/>
      <c r="H186" s="22"/>
      <c r="I186" s="16" t="s">
        <v>29</v>
      </c>
      <c r="J186" s="23" t="s">
        <v>315</v>
      </c>
      <c r="K186" s="17"/>
      <c r="L186" s="16">
        <v>2.0</v>
      </c>
      <c r="M186" s="18">
        <f>IFNA( VLOOKUP(LEFT(F186, IFERROR(FIND(" ", F186, 1),1) - 1), lists!$A$31:$B$37, 2, FALSE),"")</f>
        <v>2</v>
      </c>
      <c r="N186" s="18" t="str">
        <f>IFERROR(__xludf.DUMMYFUNCTION("IFNA(VLOOKUP(IFNA(REGEXEXTRACT(F186, ""(Пасхи|50-ці|посту)""),""""),lists!$A$39:$B$41,2,FALSE),"""")"),"pentecost")</f>
        <v>pentecost</v>
      </c>
      <c r="O186" s="19" t="str">
        <f>IFERROR(__xludf.DUMMYFUNCTION("IFNA(REGEXEXTRACT(F186, ""\d{1,2}""),"""")"),"9")</f>
        <v>9</v>
      </c>
      <c r="P186" s="20" t="b">
        <f t="shared" si="3"/>
        <v>0</v>
      </c>
    </row>
    <row r="187">
      <c r="A187" s="12" t="s">
        <v>413</v>
      </c>
      <c r="B187" s="9" t="str">
        <f t="shared" si="1"/>
        <v>1 Кор.</v>
      </c>
      <c r="C187" s="10" t="s">
        <v>17</v>
      </c>
      <c r="D187" s="11" t="str">
        <f t="shared" si="2"/>
        <v>153</v>
      </c>
      <c r="E187" s="9"/>
      <c r="F187" s="27" t="s">
        <v>414</v>
      </c>
      <c r="G187" s="14"/>
      <c r="H187" s="15" t="s">
        <v>70</v>
      </c>
      <c r="I187" s="16" t="s">
        <v>71</v>
      </c>
      <c r="J187" s="23" t="s">
        <v>71</v>
      </c>
      <c r="K187" s="17"/>
      <c r="L187" s="16" t="s">
        <v>71</v>
      </c>
      <c r="M187" s="18" t="str">
        <f>IFNA( VLOOKUP(LEFT(F187, IFERROR(FIND(" ", F187, 1),1) - 1), lists!$A$31:$B$37, 2, FALSE),"")</f>
        <v/>
      </c>
      <c r="N187" s="18" t="str">
        <f>IFERROR(__xludf.DUMMYFUNCTION("IFNA(VLOOKUP(IFNA(REGEXEXTRACT(F187, ""(Пасхи|50-ці|посту)""),""""),lists!$A$39:$B$41,2,FALSE),"""")"),"")</f>
        <v/>
      </c>
      <c r="O187" s="19" t="str">
        <f>IFERROR(__xludf.DUMMYFUNCTION("IFNA(REGEXEXTRACT(F187, ""\d{1,2}""),"""")"),"")</f>
        <v/>
      </c>
      <c r="P187" s="20" t="b">
        <f t="shared" si="3"/>
        <v>0</v>
      </c>
    </row>
    <row r="188">
      <c r="A188" s="9" t="s">
        <v>415</v>
      </c>
      <c r="B188" s="9" t="str">
        <f t="shared" si="1"/>
        <v>1 Кор.</v>
      </c>
      <c r="C188" s="10" t="s">
        <v>17</v>
      </c>
      <c r="D188" s="11" t="str">
        <f t="shared" si="2"/>
        <v>154</v>
      </c>
      <c r="E188" s="26" t="s">
        <v>18</v>
      </c>
      <c r="F188" s="25" t="s">
        <v>416</v>
      </c>
      <c r="G188" s="14"/>
      <c r="H188" s="22"/>
      <c r="I188" s="16" t="s">
        <v>29</v>
      </c>
      <c r="J188" s="23" t="s">
        <v>315</v>
      </c>
      <c r="K188" s="17"/>
      <c r="L188" s="16">
        <v>3.0</v>
      </c>
      <c r="M188" s="18">
        <f>IFNA( VLOOKUP(LEFT(F188, IFERROR(FIND(" ", F188, 1),1) - 1), lists!$A$31:$B$37, 2, FALSE),"")</f>
        <v>3</v>
      </c>
      <c r="N188" s="18" t="str">
        <f>IFERROR(__xludf.DUMMYFUNCTION("IFNA(VLOOKUP(IFNA(REGEXEXTRACT(F188, ""(Пасхи|50-ці|посту)""),""""),lists!$A$39:$B$41,2,FALSE),"""")"),"pentecost")</f>
        <v>pentecost</v>
      </c>
      <c r="O188" s="19" t="str">
        <f>IFERROR(__xludf.DUMMYFUNCTION("IFNA(REGEXEXTRACT(F188, ""\d{1,2}""),"""")"),"9")</f>
        <v>9</v>
      </c>
      <c r="P188" s="20" t="b">
        <f t="shared" si="3"/>
        <v>0</v>
      </c>
    </row>
    <row r="189">
      <c r="A189" s="12" t="s">
        <v>417</v>
      </c>
      <c r="B189" s="9" t="str">
        <f t="shared" si="1"/>
        <v>1 Кор.</v>
      </c>
      <c r="C189" s="10" t="s">
        <v>17</v>
      </c>
      <c r="D189" s="11" t="str">
        <f t="shared" si="2"/>
        <v>154</v>
      </c>
      <c r="E189" s="26" t="s">
        <v>22</v>
      </c>
      <c r="F189" s="25" t="s">
        <v>418</v>
      </c>
      <c r="G189" s="14"/>
      <c r="H189" s="15" t="s">
        <v>70</v>
      </c>
      <c r="I189" s="16" t="s">
        <v>71</v>
      </c>
      <c r="J189" s="23" t="s">
        <v>71</v>
      </c>
      <c r="K189" s="17"/>
      <c r="L189" s="16" t="s">
        <v>71</v>
      </c>
      <c r="M189" s="18" t="str">
        <f>IFNA( VLOOKUP(LEFT(F189, IFERROR(FIND(" ", F189, 1),1) - 1), lists!$A$31:$B$37, 2, FALSE),"")</f>
        <v/>
      </c>
      <c r="N189" s="18" t="str">
        <f>IFERROR(__xludf.DUMMYFUNCTION("IFNA(VLOOKUP(IFNA(REGEXEXTRACT(F189, ""(Пасхи|50-ці|посту)""),""""),lists!$A$39:$B$41,2,FALSE),"""")"),"")</f>
        <v/>
      </c>
      <c r="O189" s="19" t="str">
        <f>IFERROR(__xludf.DUMMYFUNCTION("IFNA(REGEXEXTRACT(F189, ""\d{1,2}""),"""")"),"")</f>
        <v/>
      </c>
      <c r="P189" s="20" t="b">
        <f t="shared" si="3"/>
        <v>0</v>
      </c>
    </row>
    <row r="190">
      <c r="A190" s="9" t="s">
        <v>419</v>
      </c>
      <c r="B190" s="9" t="str">
        <f t="shared" si="1"/>
        <v>1 Кор.</v>
      </c>
      <c r="C190" s="10" t="s">
        <v>17</v>
      </c>
      <c r="D190" s="11" t="str">
        <f t="shared" si="2"/>
        <v>155</v>
      </c>
      <c r="E190" s="9"/>
      <c r="F190" s="25" t="s">
        <v>420</v>
      </c>
      <c r="G190" s="14"/>
      <c r="H190" s="22"/>
      <c r="I190" s="16" t="s">
        <v>29</v>
      </c>
      <c r="J190" s="23" t="s">
        <v>315</v>
      </c>
      <c r="K190" s="17"/>
      <c r="L190" s="16">
        <v>4.0</v>
      </c>
      <c r="M190" s="18">
        <f>IFNA( VLOOKUP(LEFT(F190, IFERROR(FIND(" ", F190, 1),1) - 1), lists!$A$31:$B$37, 2, FALSE),"")</f>
        <v>4</v>
      </c>
      <c r="N190" s="18" t="str">
        <f>IFERROR(__xludf.DUMMYFUNCTION("IFNA(VLOOKUP(IFNA(REGEXEXTRACT(F190, ""(Пасхи|50-ці|посту)""),""""),lists!$A$39:$B$41,2,FALSE),"""")"),"pentecost")</f>
        <v>pentecost</v>
      </c>
      <c r="O190" s="19" t="str">
        <f>IFERROR(__xludf.DUMMYFUNCTION("IFNA(REGEXEXTRACT(F190, ""\d{1,2}""),"""")"),"9")</f>
        <v>9</v>
      </c>
      <c r="P190" s="20" t="b">
        <f t="shared" si="3"/>
        <v>0</v>
      </c>
    </row>
    <row r="191">
      <c r="A191" s="9" t="s">
        <v>421</v>
      </c>
      <c r="B191" s="9" t="str">
        <f t="shared" si="1"/>
        <v>1 Кор.</v>
      </c>
      <c r="C191" s="10" t="s">
        <v>17</v>
      </c>
      <c r="D191" s="11" t="str">
        <f t="shared" si="2"/>
        <v>156</v>
      </c>
      <c r="E191" s="9"/>
      <c r="F191" s="27" t="s">
        <v>422</v>
      </c>
      <c r="G191" s="14"/>
      <c r="H191" s="22"/>
      <c r="I191" s="16" t="s">
        <v>29</v>
      </c>
      <c r="J191" s="23" t="s">
        <v>410</v>
      </c>
      <c r="K191" s="17"/>
      <c r="L191" s="16">
        <v>6.0</v>
      </c>
      <c r="M191" s="18">
        <f>IFNA( VLOOKUP(LEFT(F191, IFERROR(FIND(" ", F191, 1),1) - 1), lists!$A$31:$B$37, 2, FALSE),"")</f>
        <v>6</v>
      </c>
      <c r="N191" s="18" t="str">
        <f>IFERROR(__xludf.DUMMYFUNCTION("IFNA(VLOOKUP(IFNA(REGEXEXTRACT(F191, ""(Пасхи|50-ці|посту)""),""""),lists!$A$39:$B$41,2,FALSE),"""")"),"pentecost")</f>
        <v>pentecost</v>
      </c>
      <c r="O191" s="19" t="str">
        <f>IFERROR(__xludf.DUMMYFUNCTION("IFNA(REGEXEXTRACT(F191, ""\d{1,2}""),"""")"),"17")</f>
        <v>17</v>
      </c>
      <c r="P191" s="20" t="b">
        <f t="shared" si="3"/>
        <v>0</v>
      </c>
    </row>
    <row r="192">
      <c r="A192" s="9" t="s">
        <v>423</v>
      </c>
      <c r="B192" s="9" t="str">
        <f t="shared" si="1"/>
        <v>1 Кор.</v>
      </c>
      <c r="C192" s="10" t="s">
        <v>17</v>
      </c>
      <c r="D192" s="11" t="str">
        <f t="shared" si="2"/>
        <v>157</v>
      </c>
      <c r="E192" s="9"/>
      <c r="F192" s="25" t="s">
        <v>424</v>
      </c>
      <c r="G192" s="14"/>
      <c r="H192" s="22"/>
      <c r="I192" s="16" t="s">
        <v>29</v>
      </c>
      <c r="J192" s="23" t="s">
        <v>315</v>
      </c>
      <c r="K192" s="17"/>
      <c r="L192" s="16">
        <v>5.0</v>
      </c>
      <c r="M192" s="18">
        <f>IFNA( VLOOKUP(LEFT(F192, IFERROR(FIND(" ", F192, 1),1) - 1), lists!$A$31:$B$37, 2, FALSE),"")</f>
        <v>5</v>
      </c>
      <c r="N192" s="18" t="str">
        <f>IFERROR(__xludf.DUMMYFUNCTION("IFNA(VLOOKUP(IFNA(REGEXEXTRACT(F192, ""(Пасхи|50-ці|посту)""),""""),lists!$A$39:$B$41,2,FALSE),"""")"),"pentecost")</f>
        <v>pentecost</v>
      </c>
      <c r="O192" s="19" t="str">
        <f>IFERROR(__xludf.DUMMYFUNCTION("IFNA(REGEXEXTRACT(F192, ""\d{1,2}""),"""")"),"9")</f>
        <v>9</v>
      </c>
      <c r="P192" s="20" t="b">
        <f t="shared" si="3"/>
        <v>0</v>
      </c>
    </row>
    <row r="193">
      <c r="A193" s="9" t="s">
        <v>425</v>
      </c>
      <c r="B193" s="9" t="str">
        <f t="shared" si="1"/>
        <v>1 Кор.</v>
      </c>
      <c r="C193" s="10" t="s">
        <v>17</v>
      </c>
      <c r="D193" s="11" t="str">
        <f t="shared" si="2"/>
        <v>158</v>
      </c>
      <c r="E193" s="9"/>
      <c r="F193" s="27" t="s">
        <v>426</v>
      </c>
      <c r="G193" s="14"/>
      <c r="H193" s="22"/>
      <c r="I193" s="16" t="s">
        <v>29</v>
      </c>
      <c r="J193" s="23" t="s">
        <v>346</v>
      </c>
      <c r="K193" s="17"/>
      <c r="L193" s="16">
        <v>7.0</v>
      </c>
      <c r="M193" s="18">
        <f>IFNA( VLOOKUP(LEFT(F193, IFERROR(FIND(" ", F193, 1),1) - 1), lists!$A$31:$B$37, 2, FALSE),"")</f>
        <v>7</v>
      </c>
      <c r="N193" s="18" t="str">
        <f>IFERROR(__xludf.DUMMYFUNCTION("IFNA(VLOOKUP(IFNA(REGEXEXTRACT(F193, ""(Пасхи|50-ці|посту)""),""""),lists!$A$39:$B$41,2,FALSE),"""")"),"pentecost")</f>
        <v>pentecost</v>
      </c>
      <c r="O193" s="19" t="str">
        <f>IFERROR(__xludf.DUMMYFUNCTION("IFNA(REGEXEXTRACT(F193, ""\d{1,2}""),"""")"),"12")</f>
        <v>12</v>
      </c>
      <c r="P193" s="20" t="b">
        <f t="shared" si="3"/>
        <v>0</v>
      </c>
    </row>
    <row r="194">
      <c r="A194" s="9" t="s">
        <v>427</v>
      </c>
      <c r="B194" s="9" t="str">
        <f t="shared" si="1"/>
        <v>1 Кор.</v>
      </c>
      <c r="C194" s="10" t="s">
        <v>17</v>
      </c>
      <c r="D194" s="11" t="str">
        <f t="shared" si="2"/>
        <v>159</v>
      </c>
      <c r="E194" s="9"/>
      <c r="F194" s="25" t="s">
        <v>428</v>
      </c>
      <c r="G194" s="14"/>
      <c r="H194" s="22"/>
      <c r="I194" s="16" t="s">
        <v>29</v>
      </c>
      <c r="J194" s="23" t="s">
        <v>328</v>
      </c>
      <c r="K194" s="17"/>
      <c r="L194" s="16">
        <v>1.0</v>
      </c>
      <c r="M194" s="18">
        <f>IFNA( VLOOKUP(LEFT(F194, IFERROR(FIND(" ", F194, 1),1) - 1), lists!$A$31:$B$37, 2, FALSE),"")</f>
        <v>1</v>
      </c>
      <c r="N194" s="18" t="str">
        <f>IFERROR(__xludf.DUMMYFUNCTION("IFNA(VLOOKUP(IFNA(REGEXEXTRACT(F194, ""(Пасхи|50-ці|посту)""),""""),lists!$A$39:$B$41,2,FALSE),"""")"),"pentecost")</f>
        <v>pentecost</v>
      </c>
      <c r="O194" s="19" t="str">
        <f>IFERROR(__xludf.DUMMYFUNCTION("IFNA(REGEXEXTRACT(F194, ""\d{1,2}""),"""")"),"10")</f>
        <v>10</v>
      </c>
      <c r="P194" s="20" t="b">
        <f t="shared" si="3"/>
        <v>0</v>
      </c>
    </row>
    <row r="195">
      <c r="A195" s="12" t="s">
        <v>429</v>
      </c>
      <c r="B195" s="9" t="str">
        <f t="shared" si="1"/>
        <v>1 Кор.</v>
      </c>
      <c r="C195" s="10" t="s">
        <v>17</v>
      </c>
      <c r="D195" s="11" t="str">
        <f t="shared" si="2"/>
        <v>160</v>
      </c>
      <c r="E195" s="9"/>
      <c r="F195" s="27" t="s">
        <v>430</v>
      </c>
      <c r="G195" s="14"/>
      <c r="H195" s="15" t="s">
        <v>70</v>
      </c>
      <c r="I195" s="16" t="s">
        <v>71</v>
      </c>
      <c r="J195" s="23" t="s">
        <v>71</v>
      </c>
      <c r="K195" s="17"/>
      <c r="L195" s="16" t="s">
        <v>71</v>
      </c>
      <c r="M195" s="18" t="str">
        <f>IFNA( VLOOKUP(LEFT(F195, IFERROR(FIND(" ", F195, 1),1) - 1), lists!$A$31:$B$37, 2, FALSE),"")</f>
        <v/>
      </c>
      <c r="N195" s="18" t="str">
        <f>IFERROR(__xludf.DUMMYFUNCTION("IFNA(VLOOKUP(IFNA(REGEXEXTRACT(F195, ""(Пасхи|50-ці|посту)""),""""),lists!$A$39:$B$41,2,FALSE),"""")"),"")</f>
        <v/>
      </c>
      <c r="O195" s="19" t="str">
        <f>IFERROR(__xludf.DUMMYFUNCTION("IFNA(REGEXEXTRACT(F195, ""\d{1,2}""),"""")"),"")</f>
        <v/>
      </c>
      <c r="P195" s="20" t="b">
        <f t="shared" si="3"/>
        <v>0</v>
      </c>
    </row>
    <row r="196">
      <c r="A196" s="9" t="s">
        <v>431</v>
      </c>
      <c r="B196" s="9" t="str">
        <f t="shared" si="1"/>
        <v>1 Кор.</v>
      </c>
      <c r="C196" s="10" t="s">
        <v>17</v>
      </c>
      <c r="D196" s="11" t="str">
        <f t="shared" si="2"/>
        <v>161</v>
      </c>
      <c r="E196" s="9"/>
      <c r="F196" s="25" t="s">
        <v>432</v>
      </c>
      <c r="G196" s="14"/>
      <c r="H196" s="22"/>
      <c r="I196" s="16" t="s">
        <v>29</v>
      </c>
      <c r="J196" s="23" t="s">
        <v>328</v>
      </c>
      <c r="K196" s="17"/>
      <c r="L196" s="16">
        <v>2.0</v>
      </c>
      <c r="M196" s="18">
        <f>IFNA( VLOOKUP(LEFT(F196, IFERROR(FIND(" ", F196, 1),1) - 1), lists!$A$31:$B$37, 2, FALSE),"")</f>
        <v>2</v>
      </c>
      <c r="N196" s="18" t="str">
        <f>IFERROR(__xludf.DUMMYFUNCTION("IFNA(VLOOKUP(IFNA(REGEXEXTRACT(F196, ""(Пасхи|50-ці|посту)""),""""),lists!$A$39:$B$41,2,FALSE),"""")"),"pentecost")</f>
        <v>pentecost</v>
      </c>
      <c r="O196" s="19" t="str">
        <f>IFERROR(__xludf.DUMMYFUNCTION("IFNA(REGEXEXTRACT(F196, ""\d{1,2}""),"""")"),"10")</f>
        <v>10</v>
      </c>
      <c r="P196" s="20" t="b">
        <f t="shared" si="3"/>
        <v>0</v>
      </c>
    </row>
    <row r="197">
      <c r="A197" s="9" t="s">
        <v>433</v>
      </c>
      <c r="B197" s="9" t="str">
        <f t="shared" si="1"/>
        <v>1 Кор.</v>
      </c>
      <c r="C197" s="10" t="s">
        <v>17</v>
      </c>
      <c r="D197" s="11" t="str">
        <f t="shared" si="2"/>
        <v>162</v>
      </c>
      <c r="E197" s="9"/>
      <c r="F197" s="27" t="s">
        <v>434</v>
      </c>
      <c r="G197" s="25"/>
      <c r="H197" s="22"/>
      <c r="I197" s="16" t="s">
        <v>29</v>
      </c>
      <c r="J197" s="23" t="s">
        <v>435</v>
      </c>
      <c r="K197" s="17"/>
      <c r="L197" s="16">
        <v>6.0</v>
      </c>
      <c r="M197" s="18">
        <f>IFNA( VLOOKUP(LEFT(F197, IFERROR(FIND(" ", F197, 1),1) - 1), lists!$A$31:$B$37, 2, FALSE),"")</f>
        <v>6</v>
      </c>
      <c r="N197" s="18" t="str">
        <f>IFERROR(__xludf.DUMMYFUNCTION("IFNA(VLOOKUP(IFNA(REGEXEXTRACT(F197, ""(Пасхи|50-ці|посту)""),""""),lists!$A$39:$B$41,2,FALSE),"""")"),"pentecost")</f>
        <v>pentecost</v>
      </c>
      <c r="O197" s="19" t="str">
        <f>IFERROR(__xludf.DUMMYFUNCTION("IFNA(REGEXEXTRACT(F197, ""\d{1,2}""),"""")"),"18")</f>
        <v>18</v>
      </c>
      <c r="P197" s="20" t="b">
        <f t="shared" si="3"/>
        <v>0</v>
      </c>
    </row>
    <row r="198">
      <c r="A198" s="9" t="s">
        <v>436</v>
      </c>
      <c r="B198" s="9" t="str">
        <f t="shared" si="1"/>
        <v>1 Кор.</v>
      </c>
      <c r="C198" s="10" t="s">
        <v>17</v>
      </c>
      <c r="D198" s="11" t="str">
        <f t="shared" si="2"/>
        <v>163</v>
      </c>
      <c r="E198" s="9"/>
      <c r="F198" s="27" t="s">
        <v>430</v>
      </c>
      <c r="G198" s="14"/>
      <c r="H198" s="15" t="s">
        <v>70</v>
      </c>
      <c r="I198" s="16" t="s">
        <v>71</v>
      </c>
      <c r="J198" s="23" t="s">
        <v>71</v>
      </c>
      <c r="K198" s="17"/>
      <c r="L198" s="16" t="s">
        <v>71</v>
      </c>
      <c r="M198" s="18" t="str">
        <f>IFNA( VLOOKUP(LEFT(F198, IFERROR(FIND(" ", F198, 1),1) - 1), lists!$A$31:$B$37, 2, FALSE),"")</f>
        <v/>
      </c>
      <c r="N198" s="18" t="str">
        <f>IFERROR(__xludf.DUMMYFUNCTION("IFNA(VLOOKUP(IFNA(REGEXEXTRACT(F198, ""(Пасхи|50-ці|посту)""),""""),lists!$A$39:$B$41,2,FALSE),"""")"),"")</f>
        <v/>
      </c>
      <c r="O198" s="19" t="str">
        <f>IFERROR(__xludf.DUMMYFUNCTION("IFNA(REGEXEXTRACT(F198, ""\d{1,2}""),"""")"),"")</f>
        <v/>
      </c>
      <c r="P198" s="20" t="b">
        <f t="shared" si="3"/>
        <v>0</v>
      </c>
    </row>
    <row r="199">
      <c r="A199" s="9" t="s">
        <v>437</v>
      </c>
      <c r="B199" s="9" t="str">
        <f t="shared" si="1"/>
        <v>1 Кор.</v>
      </c>
      <c r="C199" s="10" t="s">
        <v>17</v>
      </c>
      <c r="D199" s="11" t="str">
        <f t="shared" si="2"/>
        <v>164</v>
      </c>
      <c r="E199" s="9"/>
      <c r="F199" s="27" t="s">
        <v>438</v>
      </c>
      <c r="G199" s="14"/>
      <c r="H199" s="22"/>
      <c r="I199" s="16" t="s">
        <v>29</v>
      </c>
      <c r="J199" s="23" t="s">
        <v>439</v>
      </c>
      <c r="K199" s="17"/>
      <c r="L199" s="16">
        <v>6.0</v>
      </c>
      <c r="M199" s="18">
        <f>IFNA( VLOOKUP(LEFT(F199, IFERROR(FIND(" ", F199, 1),1) - 1), lists!$A$31:$B$37, 2, FALSE),"")</f>
        <v>6</v>
      </c>
      <c r="N199" s="18" t="str">
        <f>IFERROR(__xludf.DUMMYFUNCTION("IFNA(VLOOKUP(IFNA(REGEXEXTRACT(F199, ""(Пасхи|50-ці|посту)""),""""),lists!$A$39:$B$41,2,FALSE),"""")"),"pentecost")</f>
        <v>pentecost</v>
      </c>
      <c r="O199" s="19" t="str">
        <f>IFERROR(__xludf.DUMMYFUNCTION("IFNA(REGEXEXTRACT(F199, ""\d{1,2}""),"""")"),"19")</f>
        <v>19</v>
      </c>
      <c r="P199" s="20" t="b">
        <f t="shared" si="3"/>
        <v>0</v>
      </c>
    </row>
    <row r="200">
      <c r="A200" s="24" t="s">
        <v>440</v>
      </c>
      <c r="B200" s="9" t="str">
        <f t="shared" si="1"/>
        <v>1 Кор.</v>
      </c>
      <c r="C200" s="10" t="s">
        <v>17</v>
      </c>
      <c r="D200" s="11" t="str">
        <f t="shared" si="2"/>
        <v>165</v>
      </c>
      <c r="E200" s="9"/>
      <c r="F200" s="13" t="s">
        <v>441</v>
      </c>
      <c r="G200" s="14"/>
      <c r="H200" s="22"/>
      <c r="I200" s="16" t="s">
        <v>29</v>
      </c>
      <c r="J200" s="23" t="s">
        <v>328</v>
      </c>
      <c r="K200" s="17"/>
      <c r="L200" s="16">
        <v>3.0</v>
      </c>
      <c r="M200" s="18">
        <f>IFNA( VLOOKUP(LEFT(F200, IFERROR(FIND(" ", F200, 1),1) - 1), lists!$A$31:$B$37, 2, FALSE),"")</f>
        <v>3</v>
      </c>
      <c r="N200" s="18" t="str">
        <f>IFERROR(__xludf.DUMMYFUNCTION("IFNA(VLOOKUP(IFNA(REGEXEXTRACT(F200, ""(Пасхи|50-ці|посту)""),""""),lists!$A$39:$B$41,2,FALSE),"""")"),"pentecost")</f>
        <v>pentecost</v>
      </c>
      <c r="O200" s="19" t="str">
        <f>IFERROR(__xludf.DUMMYFUNCTION("IFNA(REGEXEXTRACT(F200, ""\d{1,2}""),"""")"),"10")</f>
        <v>10</v>
      </c>
      <c r="P200" s="20" t="b">
        <f t="shared" si="3"/>
        <v>0</v>
      </c>
    </row>
    <row r="201">
      <c r="A201" s="9" t="s">
        <v>442</v>
      </c>
      <c r="B201" s="9" t="str">
        <f t="shared" si="1"/>
        <v>1 Кор.</v>
      </c>
      <c r="C201" s="10" t="s">
        <v>17</v>
      </c>
      <c r="D201" s="11" t="str">
        <f t="shared" si="2"/>
        <v>166</v>
      </c>
      <c r="E201" s="9"/>
      <c r="F201" s="21" t="s">
        <v>443</v>
      </c>
      <c r="G201" s="14"/>
      <c r="H201" s="22"/>
      <c r="I201" s="16" t="s">
        <v>29</v>
      </c>
      <c r="J201" s="23" t="s">
        <v>349</v>
      </c>
      <c r="K201" s="17"/>
      <c r="L201" s="16">
        <v>7.0</v>
      </c>
      <c r="M201" s="18">
        <f>IFNA( VLOOKUP(LEFT(F201, IFERROR(FIND(" ", F201, 1),1) - 1), lists!$A$31:$B$37, 2, FALSE),"")</f>
        <v>7</v>
      </c>
      <c r="N201" s="18" t="str">
        <f>IFERROR(__xludf.DUMMYFUNCTION("IFNA(VLOOKUP(IFNA(REGEXEXTRACT(F201, ""(Пасхи|50-ці|посту)""),""""),lists!$A$39:$B$41,2,FALSE),"""")"),"pentecost")</f>
        <v>pentecost</v>
      </c>
      <c r="O201" s="19" t="str">
        <f>IFERROR(__xludf.DUMMYFUNCTION("IFNA(REGEXEXTRACT(F201, ""\d{1,2}""),"""")"),"13")</f>
        <v>13</v>
      </c>
      <c r="P201" s="20" t="b">
        <f t="shared" si="3"/>
        <v>0</v>
      </c>
    </row>
    <row r="202">
      <c r="A202" s="9" t="s">
        <v>444</v>
      </c>
      <c r="B202" s="9" t="str">
        <f t="shared" si="1"/>
        <v>2 Кор.</v>
      </c>
      <c r="C202" s="10" t="s">
        <v>17</v>
      </c>
      <c r="D202" s="11" t="str">
        <f t="shared" si="2"/>
        <v>167</v>
      </c>
      <c r="E202" s="26" t="s">
        <v>18</v>
      </c>
      <c r="F202" s="25" t="s">
        <v>445</v>
      </c>
      <c r="G202" s="14"/>
      <c r="H202" s="22"/>
      <c r="I202" s="16" t="s">
        <v>29</v>
      </c>
      <c r="J202" s="23" t="s">
        <v>328</v>
      </c>
      <c r="K202" s="17"/>
      <c r="L202" s="16">
        <v>4.0</v>
      </c>
      <c r="M202" s="18">
        <f>IFNA( VLOOKUP(LEFT(F202, IFERROR(FIND(" ", F202, 1),1) - 1), lists!$A$31:$B$37, 2, FALSE),"")</f>
        <v>4</v>
      </c>
      <c r="N202" s="18" t="str">
        <f>IFERROR(__xludf.DUMMYFUNCTION("IFNA(VLOOKUP(IFNA(REGEXEXTRACT(F202, ""(Пасхи|50-ці|посту)""),""""),lists!$A$39:$B$41,2,FALSE),"""")"),"pentecost")</f>
        <v>pentecost</v>
      </c>
      <c r="O202" s="19" t="str">
        <f>IFERROR(__xludf.DUMMYFUNCTION("IFNA(REGEXEXTRACT(F202, ""\d{1,2}""),"""")"),"10")</f>
        <v>10</v>
      </c>
      <c r="P202" s="20" t="b">
        <f t="shared" si="3"/>
        <v>0</v>
      </c>
    </row>
    <row r="203">
      <c r="A203" s="12" t="s">
        <v>446</v>
      </c>
      <c r="B203" s="9" t="str">
        <f t="shared" si="1"/>
        <v>2 Кор.</v>
      </c>
      <c r="C203" s="10" t="s">
        <v>17</v>
      </c>
      <c r="D203" s="11" t="str">
        <f t="shared" si="2"/>
        <v>167</v>
      </c>
      <c r="E203" s="26" t="s">
        <v>22</v>
      </c>
      <c r="F203" s="21" t="s">
        <v>447</v>
      </c>
      <c r="G203" s="14"/>
      <c r="H203" s="15" t="s">
        <v>70</v>
      </c>
      <c r="I203" s="16" t="s">
        <v>71</v>
      </c>
      <c r="J203" s="23" t="s">
        <v>71</v>
      </c>
      <c r="K203" s="17"/>
      <c r="L203" s="16" t="s">
        <v>71</v>
      </c>
      <c r="M203" s="18" t="str">
        <f>IFNA( VLOOKUP(LEFT(F203, IFERROR(FIND(" ", F203, 1),1) - 1), lists!$A$31:$B$37, 2, FALSE),"")</f>
        <v/>
      </c>
      <c r="N203" s="18" t="str">
        <f>IFERROR(__xludf.DUMMYFUNCTION("IFNA(VLOOKUP(IFNA(REGEXEXTRACT(F203, ""(Пасхи|50-ці|посту)""),""""),lists!$A$39:$B$41,2,FALSE),"""")"),"")</f>
        <v/>
      </c>
      <c r="O203" s="19" t="str">
        <f>IFERROR(__xludf.DUMMYFUNCTION("IFNA(REGEXEXTRACT(F203, ""\d{1,2}""),"""")"),"")</f>
        <v/>
      </c>
      <c r="P203" s="20" t="b">
        <f t="shared" si="3"/>
        <v>0</v>
      </c>
    </row>
    <row r="204">
      <c r="A204" s="9" t="s">
        <v>448</v>
      </c>
      <c r="B204" s="9" t="str">
        <f t="shared" si="1"/>
        <v>2 Кор.</v>
      </c>
      <c r="C204" s="10" t="s">
        <v>17</v>
      </c>
      <c r="D204" s="11" t="str">
        <f t="shared" si="2"/>
        <v>168</v>
      </c>
      <c r="E204" s="9"/>
      <c r="F204" s="21" t="s">
        <v>449</v>
      </c>
      <c r="G204" s="14"/>
      <c r="H204" s="22"/>
      <c r="I204" s="16" t="s">
        <v>29</v>
      </c>
      <c r="J204" s="23" t="s">
        <v>161</v>
      </c>
      <c r="K204" s="17"/>
      <c r="L204" s="16">
        <v>6.0</v>
      </c>
      <c r="M204" s="18">
        <f>IFNA( VLOOKUP(LEFT(F204, IFERROR(FIND(" ", F204, 1),1) - 1), lists!$A$31:$B$37, 2, FALSE),"")</f>
        <v>6</v>
      </c>
      <c r="N204" s="18" t="str">
        <f>IFERROR(__xludf.DUMMYFUNCTION("IFNA(VLOOKUP(IFNA(REGEXEXTRACT(F204, ""(Пасхи|50-ці|посту)""),""""),lists!$A$39:$B$41,2,FALSE),"""")"),"pentecost")</f>
        <v>pentecost</v>
      </c>
      <c r="O204" s="19" t="str">
        <f>IFERROR(__xludf.DUMMYFUNCTION("IFNA(REGEXEXTRACT(F204, ""\d{1,2}""),"""")"),"20")</f>
        <v>20</v>
      </c>
      <c r="P204" s="20" t="b">
        <f t="shared" si="3"/>
        <v>0</v>
      </c>
    </row>
    <row r="205">
      <c r="A205" s="9" t="s">
        <v>450</v>
      </c>
      <c r="B205" s="9" t="str">
        <f t="shared" si="1"/>
        <v>2 Кор.</v>
      </c>
      <c r="C205" s="10" t="s">
        <v>17</v>
      </c>
      <c r="D205" s="11" t="str">
        <f t="shared" si="2"/>
        <v>169</v>
      </c>
      <c r="E205" s="9"/>
      <c r="F205" s="25" t="s">
        <v>451</v>
      </c>
      <c r="G205" s="14"/>
      <c r="H205" s="22"/>
      <c r="I205" s="16" t="s">
        <v>29</v>
      </c>
      <c r="J205" s="23" t="s">
        <v>328</v>
      </c>
      <c r="K205" s="17"/>
      <c r="L205" s="16">
        <v>5.0</v>
      </c>
      <c r="M205" s="18">
        <f>IFNA( VLOOKUP(LEFT(F205, IFERROR(FIND(" ", F205, 1),1) - 1), lists!$A$31:$B$37, 2, FALSE),"")</f>
        <v>5</v>
      </c>
      <c r="N205" s="18" t="str">
        <f>IFERROR(__xludf.DUMMYFUNCTION("IFNA(VLOOKUP(IFNA(REGEXEXTRACT(F205, ""(Пасхи|50-ці|посту)""),""""),lists!$A$39:$B$41,2,FALSE),"""")"),"pentecost")</f>
        <v>pentecost</v>
      </c>
      <c r="O205" s="19" t="str">
        <f>IFERROR(__xludf.DUMMYFUNCTION("IFNA(REGEXEXTRACT(F205, ""\d{1,2}""),"""")"),"10")</f>
        <v>10</v>
      </c>
      <c r="P205" s="20" t="b">
        <f t="shared" si="3"/>
        <v>0</v>
      </c>
    </row>
    <row r="206">
      <c r="A206" s="9" t="s">
        <v>452</v>
      </c>
      <c r="B206" s="9" t="str">
        <f t="shared" si="1"/>
        <v>2 Кор.</v>
      </c>
      <c r="C206" s="10" t="s">
        <v>17</v>
      </c>
      <c r="D206" s="11" t="str">
        <f t="shared" si="2"/>
        <v>170</v>
      </c>
      <c r="E206" s="9"/>
      <c r="F206" s="21" t="s">
        <v>453</v>
      </c>
      <c r="G206" s="14"/>
      <c r="H206" s="22"/>
      <c r="I206" s="16" t="s">
        <v>29</v>
      </c>
      <c r="J206" s="23" t="s">
        <v>360</v>
      </c>
      <c r="K206" s="17"/>
      <c r="L206" s="16">
        <v>7.0</v>
      </c>
      <c r="M206" s="18">
        <f>IFNA( VLOOKUP(LEFT(F206, IFERROR(FIND(" ", F206, 1),1) - 1), lists!$A$31:$B$37, 2, FALSE),"")</f>
        <v>7</v>
      </c>
      <c r="N206" s="18" t="str">
        <f>IFERROR(__xludf.DUMMYFUNCTION("IFNA(VLOOKUP(IFNA(REGEXEXTRACT(F206, ""(Пасхи|50-ці|посту)""),""""),lists!$A$39:$B$41,2,FALSE),"""")"),"pentecost")</f>
        <v>pentecost</v>
      </c>
      <c r="O206" s="19" t="str">
        <f>IFERROR(__xludf.DUMMYFUNCTION("IFNA(REGEXEXTRACT(F206, ""\d{1,2}""),"""")"),"14")</f>
        <v>14</v>
      </c>
      <c r="P206" s="20" t="b">
        <f t="shared" si="3"/>
        <v>0</v>
      </c>
    </row>
    <row r="207">
      <c r="A207" s="9" t="s">
        <v>454</v>
      </c>
      <c r="B207" s="9" t="str">
        <f t="shared" si="1"/>
        <v>2 Кор.</v>
      </c>
      <c r="C207" s="10" t="s">
        <v>17</v>
      </c>
      <c r="D207" s="11" t="str">
        <f t="shared" si="2"/>
        <v>171</v>
      </c>
      <c r="E207" s="9"/>
      <c r="F207" s="25" t="s">
        <v>455</v>
      </c>
      <c r="G207" s="14"/>
      <c r="H207" s="22"/>
      <c r="I207" s="16" t="s">
        <v>29</v>
      </c>
      <c r="J207" s="23" t="s">
        <v>337</v>
      </c>
      <c r="K207" s="17"/>
      <c r="L207" s="16">
        <v>1.0</v>
      </c>
      <c r="M207" s="18">
        <f>IFNA( VLOOKUP(LEFT(F207, IFERROR(FIND(" ", F207, 1),1) - 1), lists!$A$31:$B$37, 2, FALSE),"")</f>
        <v>1</v>
      </c>
      <c r="N207" s="18" t="str">
        <f>IFERROR(__xludf.DUMMYFUNCTION("IFNA(VLOOKUP(IFNA(REGEXEXTRACT(F207, ""(Пасхи|50-ці|посту)""),""""),lists!$A$39:$B$41,2,FALSE),"""")"),"pentecost")</f>
        <v>pentecost</v>
      </c>
      <c r="O207" s="19" t="str">
        <f>IFERROR(__xludf.DUMMYFUNCTION("IFNA(REGEXEXTRACT(F207, ""\d{1,2}""),"""")"),"11")</f>
        <v>11</v>
      </c>
      <c r="P207" s="20" t="b">
        <f t="shared" si="3"/>
        <v>0</v>
      </c>
    </row>
    <row r="208">
      <c r="A208" s="9" t="s">
        <v>456</v>
      </c>
      <c r="B208" s="9" t="str">
        <f t="shared" si="1"/>
        <v>2 Кор.</v>
      </c>
      <c r="C208" s="10" t="s">
        <v>17</v>
      </c>
      <c r="D208" s="11" t="str">
        <f t="shared" si="2"/>
        <v>172</v>
      </c>
      <c r="E208" s="9"/>
      <c r="F208" s="25" t="s">
        <v>457</v>
      </c>
      <c r="G208" s="14"/>
      <c r="H208" s="22"/>
      <c r="I208" s="16" t="s">
        <v>29</v>
      </c>
      <c r="J208" s="23" t="s">
        <v>337</v>
      </c>
      <c r="K208" s="17"/>
      <c r="L208" s="16">
        <v>2.0</v>
      </c>
      <c r="M208" s="18">
        <f>IFNA( VLOOKUP(LEFT(F208, IFERROR(FIND(" ", F208, 1),1) - 1), lists!$A$31:$B$37, 2, FALSE),"")</f>
        <v>2</v>
      </c>
      <c r="N208" s="18" t="str">
        <f>IFERROR(__xludf.DUMMYFUNCTION("IFNA(VLOOKUP(IFNA(REGEXEXTRACT(F208, ""(Пасхи|50-ці|посту)""),""""),lists!$A$39:$B$41,2,FALSE),"""")"),"pentecost")</f>
        <v>pentecost</v>
      </c>
      <c r="O208" s="19" t="str">
        <f>IFERROR(__xludf.DUMMYFUNCTION("IFNA(REGEXEXTRACT(F208, ""\d{1,2}""),"""")"),"11")</f>
        <v>11</v>
      </c>
      <c r="P208" s="20" t="b">
        <f t="shared" si="3"/>
        <v>0</v>
      </c>
    </row>
    <row r="209">
      <c r="A209" s="9" t="s">
        <v>458</v>
      </c>
      <c r="B209" s="9" t="str">
        <f t="shared" si="1"/>
        <v>2 Кор.</v>
      </c>
      <c r="C209" s="10" t="s">
        <v>17</v>
      </c>
      <c r="D209" s="11" t="str">
        <f t="shared" si="2"/>
        <v>173</v>
      </c>
      <c r="E209" s="9"/>
      <c r="F209" s="25" t="s">
        <v>459</v>
      </c>
      <c r="G209" s="14"/>
      <c r="H209" s="22"/>
      <c r="I209" s="16" t="s">
        <v>29</v>
      </c>
      <c r="J209" s="23" t="s">
        <v>337</v>
      </c>
      <c r="K209" s="17"/>
      <c r="L209" s="16">
        <v>3.0</v>
      </c>
      <c r="M209" s="18">
        <f>IFNA( VLOOKUP(LEFT(F209, IFERROR(FIND(" ", F209, 1),1) - 1), lists!$A$31:$B$37, 2, FALSE),"")</f>
        <v>3</v>
      </c>
      <c r="N209" s="18" t="str">
        <f>IFERROR(__xludf.DUMMYFUNCTION("IFNA(VLOOKUP(IFNA(REGEXEXTRACT(F209, ""(Пасхи|50-ці|посту)""),""""),lists!$A$39:$B$41,2,FALSE),"""")"),"pentecost")</f>
        <v>pentecost</v>
      </c>
      <c r="O209" s="19" t="str">
        <f>IFERROR(__xludf.DUMMYFUNCTION("IFNA(REGEXEXTRACT(F209, ""\d{1,2}""),"""")"),"11")</f>
        <v>11</v>
      </c>
      <c r="P209" s="20" t="b">
        <f t="shared" si="3"/>
        <v>0</v>
      </c>
    </row>
    <row r="210">
      <c r="A210" s="9" t="s">
        <v>460</v>
      </c>
      <c r="B210" s="9" t="str">
        <f t="shared" si="1"/>
        <v>2 Кор.</v>
      </c>
      <c r="C210" s="10" t="s">
        <v>17</v>
      </c>
      <c r="D210" s="11" t="str">
        <f t="shared" si="2"/>
        <v>174</v>
      </c>
      <c r="E210" s="9"/>
      <c r="F210" s="27" t="s">
        <v>461</v>
      </c>
      <c r="G210" s="14"/>
      <c r="H210" s="22"/>
      <c r="I210" s="16" t="s">
        <v>29</v>
      </c>
      <c r="J210" s="23" t="s">
        <v>138</v>
      </c>
      <c r="K210" s="17"/>
      <c r="L210" s="16">
        <v>6.0</v>
      </c>
      <c r="M210" s="18">
        <f>IFNA( VLOOKUP(LEFT(F210, IFERROR(FIND(" ", F210, 1),1) - 1), lists!$A$31:$B$37, 2, FALSE),"")</f>
        <v>6</v>
      </c>
      <c r="N210" s="18" t="str">
        <f>IFERROR(__xludf.DUMMYFUNCTION("IFNA(VLOOKUP(IFNA(REGEXEXTRACT(F210, ""(Пасхи|50-ці|посту)""),""""),lists!$A$39:$B$41,2,FALSE),"""")"),"pentecost")</f>
        <v>pentecost</v>
      </c>
      <c r="O210" s="19" t="str">
        <f>IFERROR(__xludf.DUMMYFUNCTION("IFNA(REGEXEXTRACT(F210, ""\d{1,2}""),"""")"),"21")</f>
        <v>21</v>
      </c>
      <c r="P210" s="20" t="b">
        <f t="shared" si="3"/>
        <v>0</v>
      </c>
    </row>
    <row r="211">
      <c r="A211" s="9" t="s">
        <v>462</v>
      </c>
      <c r="B211" s="9" t="str">
        <f t="shared" si="1"/>
        <v>2 Кор.</v>
      </c>
      <c r="C211" s="10" t="s">
        <v>17</v>
      </c>
      <c r="D211" s="11" t="str">
        <f t="shared" si="2"/>
        <v>175</v>
      </c>
      <c r="E211" s="9"/>
      <c r="F211" s="25" t="s">
        <v>463</v>
      </c>
      <c r="G211" s="14"/>
      <c r="H211" s="22"/>
      <c r="I211" s="16" t="s">
        <v>29</v>
      </c>
      <c r="J211" s="23" t="s">
        <v>337</v>
      </c>
      <c r="K211" s="17"/>
      <c r="L211" s="16">
        <v>4.0</v>
      </c>
      <c r="M211" s="18">
        <f>IFNA( VLOOKUP(LEFT(F211, IFERROR(FIND(" ", F211, 1),1) - 1), lists!$A$31:$B$37, 2, FALSE),"")</f>
        <v>4</v>
      </c>
      <c r="N211" s="18" t="str">
        <f>IFERROR(__xludf.DUMMYFUNCTION("IFNA(VLOOKUP(IFNA(REGEXEXTRACT(F211, ""(Пасхи|50-ці|посту)""),""""),lists!$A$39:$B$41,2,FALSE),"""")"),"pentecost")</f>
        <v>pentecost</v>
      </c>
      <c r="O211" s="19" t="str">
        <f>IFERROR(__xludf.DUMMYFUNCTION("IFNA(REGEXEXTRACT(F211, ""\d{1,2}""),"""")"),"11")</f>
        <v>11</v>
      </c>
      <c r="P211" s="20" t="b">
        <f t="shared" si="3"/>
        <v>0</v>
      </c>
    </row>
    <row r="212">
      <c r="A212" s="9" t="s">
        <v>464</v>
      </c>
      <c r="B212" s="9" t="str">
        <f t="shared" si="1"/>
        <v>2 Кор.</v>
      </c>
      <c r="C212" s="10" t="s">
        <v>17</v>
      </c>
      <c r="D212" s="11" t="str">
        <f t="shared" si="2"/>
        <v>176</v>
      </c>
      <c r="E212" s="9"/>
      <c r="F212" s="27" t="s">
        <v>465</v>
      </c>
      <c r="G212" s="14"/>
      <c r="H212" s="22"/>
      <c r="I212" s="16" t="s">
        <v>29</v>
      </c>
      <c r="J212" s="23" t="s">
        <v>365</v>
      </c>
      <c r="K212" s="17"/>
      <c r="L212" s="16">
        <v>7.0</v>
      </c>
      <c r="M212" s="18">
        <f>IFNA( VLOOKUP(LEFT(F212, IFERROR(FIND(" ", F212, 1),1) - 1), lists!$A$31:$B$37, 2, FALSE),"")</f>
        <v>7</v>
      </c>
      <c r="N212" s="18" t="str">
        <f>IFERROR(__xludf.DUMMYFUNCTION("IFNA(VLOOKUP(IFNA(REGEXEXTRACT(F212, ""(Пасхи|50-ці|посту)""),""""),lists!$A$39:$B$41,2,FALSE),"""")"),"pentecost")</f>
        <v>pentecost</v>
      </c>
      <c r="O212" s="19" t="str">
        <f>IFERROR(__xludf.DUMMYFUNCTION("IFNA(REGEXEXTRACT(F212, ""\d{1,2}""),"""")"),"15")</f>
        <v>15</v>
      </c>
      <c r="P212" s="20" t="b">
        <f t="shared" si="3"/>
        <v>0</v>
      </c>
    </row>
    <row r="213">
      <c r="A213" s="9" t="s">
        <v>466</v>
      </c>
      <c r="B213" s="9" t="str">
        <f t="shared" si="1"/>
        <v>2 Кор.</v>
      </c>
      <c r="C213" s="10" t="s">
        <v>17</v>
      </c>
      <c r="D213" s="11" t="str">
        <f t="shared" si="2"/>
        <v>177</v>
      </c>
      <c r="E213" s="9"/>
      <c r="F213" s="25" t="s">
        <v>467</v>
      </c>
      <c r="G213" s="14"/>
      <c r="H213" s="22"/>
      <c r="I213" s="16" t="s">
        <v>29</v>
      </c>
      <c r="J213" s="23" t="s">
        <v>337</v>
      </c>
      <c r="K213" s="17"/>
      <c r="L213" s="16">
        <v>5.0</v>
      </c>
      <c r="M213" s="18">
        <f>IFNA( VLOOKUP(LEFT(F213, IFERROR(FIND(" ", F213, 1),1) - 1), lists!$A$31:$B$37, 2, FALSE),"")</f>
        <v>5</v>
      </c>
      <c r="N213" s="18" t="str">
        <f>IFERROR(__xludf.DUMMYFUNCTION("IFNA(VLOOKUP(IFNA(REGEXEXTRACT(F213, ""(Пасхи|50-ці|посту)""),""""),lists!$A$39:$B$41,2,FALSE),"""")"),"pentecost")</f>
        <v>pentecost</v>
      </c>
      <c r="O213" s="19" t="str">
        <f>IFERROR(__xludf.DUMMYFUNCTION("IFNA(REGEXEXTRACT(F213, ""\d{1,2}""),"""")"),"11")</f>
        <v>11</v>
      </c>
      <c r="P213" s="20" t="b">
        <f t="shared" si="3"/>
        <v>0</v>
      </c>
    </row>
    <row r="214">
      <c r="A214" s="9" t="s">
        <v>468</v>
      </c>
      <c r="B214" s="9" t="str">
        <f t="shared" si="1"/>
        <v>2 Кор.</v>
      </c>
      <c r="C214" s="10" t="s">
        <v>17</v>
      </c>
      <c r="D214" s="11" t="str">
        <f t="shared" si="2"/>
        <v>178</v>
      </c>
      <c r="E214" s="9"/>
      <c r="F214" s="21" t="s">
        <v>469</v>
      </c>
      <c r="G214" s="14"/>
      <c r="H214" s="22"/>
      <c r="I214" s="16" t="s">
        <v>29</v>
      </c>
      <c r="J214" s="23" t="s">
        <v>470</v>
      </c>
      <c r="K214" s="17"/>
      <c r="L214" s="16">
        <v>6.0</v>
      </c>
      <c r="M214" s="18">
        <f>IFNA( VLOOKUP(LEFT(F214, IFERROR(FIND(" ", F214, 1),1) - 1), lists!$A$31:$B$37, 2, FALSE),"")</f>
        <v>6</v>
      </c>
      <c r="N214" s="18" t="str">
        <f>IFERROR(__xludf.DUMMYFUNCTION("IFNA(VLOOKUP(IFNA(REGEXEXTRACT(F214, ""(Пасхи|50-ці|посту)""),""""),lists!$A$39:$B$41,2,FALSE),"""")"),"pentecost")</f>
        <v>pentecost</v>
      </c>
      <c r="O214" s="19" t="str">
        <f>IFERROR(__xludf.DUMMYFUNCTION("IFNA(REGEXEXTRACT(F214, ""\d{1,2}""),"""")"),"22")</f>
        <v>22</v>
      </c>
      <c r="P214" s="20" t="b">
        <f t="shared" si="3"/>
        <v>0</v>
      </c>
    </row>
    <row r="215">
      <c r="A215" s="9" t="s">
        <v>471</v>
      </c>
      <c r="B215" s="9" t="str">
        <f t="shared" si="1"/>
        <v>2 Кор.</v>
      </c>
      <c r="C215" s="10" t="s">
        <v>17</v>
      </c>
      <c r="D215" s="11" t="str">
        <f t="shared" si="2"/>
        <v>179</v>
      </c>
      <c r="E215" s="9"/>
      <c r="F215" s="25" t="s">
        <v>472</v>
      </c>
      <c r="G215" s="14"/>
      <c r="H215" s="22"/>
      <c r="I215" s="16" t="s">
        <v>29</v>
      </c>
      <c r="J215" s="23" t="s">
        <v>346</v>
      </c>
      <c r="K215" s="17"/>
      <c r="L215" s="16">
        <v>1.0</v>
      </c>
      <c r="M215" s="18">
        <f>IFNA( VLOOKUP(LEFT(F215, IFERROR(FIND(" ", F215, 1),1) - 1), lists!$A$31:$B$37, 2, FALSE),"")</f>
        <v>1</v>
      </c>
      <c r="N215" s="18" t="str">
        <f>IFERROR(__xludf.DUMMYFUNCTION("IFNA(VLOOKUP(IFNA(REGEXEXTRACT(F215, ""(Пасхи|50-ці|посту)""),""""),lists!$A$39:$B$41,2,FALSE),"""")"),"pentecost")</f>
        <v>pentecost</v>
      </c>
      <c r="O215" s="19" t="str">
        <f>IFERROR(__xludf.DUMMYFUNCTION("IFNA(REGEXEXTRACT(F215, ""\d{1,2}""),"""")"),"12")</f>
        <v>12</v>
      </c>
      <c r="P215" s="20" t="b">
        <f t="shared" si="3"/>
        <v>0</v>
      </c>
    </row>
    <row r="216">
      <c r="A216" s="24" t="s">
        <v>473</v>
      </c>
      <c r="B216" s="9" t="str">
        <f t="shared" si="1"/>
        <v>2 Кор.</v>
      </c>
      <c r="C216" s="10" t="s">
        <v>17</v>
      </c>
      <c r="D216" s="11" t="str">
        <f t="shared" si="2"/>
        <v>180</v>
      </c>
      <c r="E216" s="9"/>
      <c r="F216" s="13" t="s">
        <v>474</v>
      </c>
      <c r="G216" s="14"/>
      <c r="H216" s="22"/>
      <c r="I216" s="16" t="s">
        <v>29</v>
      </c>
      <c r="J216" s="23" t="s">
        <v>346</v>
      </c>
      <c r="K216" s="17"/>
      <c r="L216" s="16">
        <v>2.0</v>
      </c>
      <c r="M216" s="18">
        <f>IFNA( VLOOKUP(LEFT(F216, IFERROR(FIND(" ", F216, 1),1) - 1), lists!$A$31:$B$37, 2, FALSE),"")</f>
        <v>2</v>
      </c>
      <c r="N216" s="18" t="str">
        <f>IFERROR(__xludf.DUMMYFUNCTION("IFNA(VLOOKUP(IFNA(REGEXEXTRACT(F216, ""(Пасхи|50-ці|посту)""),""""),lists!$A$39:$B$41,2,FALSE),"""")"),"pentecost")</f>
        <v>pentecost</v>
      </c>
      <c r="O216" s="19" t="str">
        <f>IFERROR(__xludf.DUMMYFUNCTION("IFNA(REGEXEXTRACT(F216, ""\d{1,2}""),"""")"),"12")</f>
        <v>12</v>
      </c>
      <c r="P216" s="20" t="b">
        <f t="shared" si="3"/>
        <v>0</v>
      </c>
    </row>
    <row r="217">
      <c r="A217" s="9" t="s">
        <v>475</v>
      </c>
      <c r="B217" s="9" t="str">
        <f t="shared" si="1"/>
        <v>2 Кор.</v>
      </c>
      <c r="C217" s="10" t="s">
        <v>17</v>
      </c>
      <c r="D217" s="11" t="str">
        <f t="shared" si="2"/>
        <v>181</v>
      </c>
      <c r="E217" s="9"/>
      <c r="F217" s="13" t="s">
        <v>476</v>
      </c>
      <c r="G217" s="14"/>
      <c r="H217" s="22"/>
      <c r="I217" s="16" t="s">
        <v>29</v>
      </c>
      <c r="J217" s="23" t="s">
        <v>399</v>
      </c>
      <c r="K217" s="17"/>
      <c r="L217" s="16">
        <v>7.0</v>
      </c>
      <c r="M217" s="18">
        <f>IFNA( VLOOKUP(LEFT(F217, IFERROR(FIND(" ", F217, 1),1) - 1), lists!$A$31:$B$37, 2, FALSE),"")</f>
        <v>7</v>
      </c>
      <c r="N217" s="18" t="str">
        <f>IFERROR(__xludf.DUMMYFUNCTION("IFNA(VLOOKUP(IFNA(REGEXEXTRACT(F217, ""(Пасхи|50-ці|посту)""),""""),lists!$A$39:$B$41,2,FALSE),"""")"),"pentecost")</f>
        <v>pentecost</v>
      </c>
      <c r="O217" s="19" t="str">
        <f>IFERROR(__xludf.DUMMYFUNCTION("IFNA(REGEXEXTRACT(F217, ""\d{1,2}""),"""")"),"16")</f>
        <v>16</v>
      </c>
      <c r="P217" s="20" t="b">
        <f t="shared" si="3"/>
        <v>0</v>
      </c>
    </row>
    <row r="218">
      <c r="A218" s="9" t="s">
        <v>477</v>
      </c>
      <c r="B218" s="9" t="str">
        <f t="shared" si="1"/>
        <v>2 Кор.</v>
      </c>
      <c r="C218" s="10" t="s">
        <v>17</v>
      </c>
      <c r="D218" s="11" t="str">
        <f t="shared" si="2"/>
        <v>182</v>
      </c>
      <c r="E218" s="12" t="s">
        <v>18</v>
      </c>
      <c r="F218" s="25" t="s">
        <v>478</v>
      </c>
      <c r="G218" s="14"/>
      <c r="H218" s="22"/>
      <c r="I218" s="16" t="s">
        <v>29</v>
      </c>
      <c r="J218" s="23" t="s">
        <v>346</v>
      </c>
      <c r="K218" s="17"/>
      <c r="L218" s="16">
        <v>3.0</v>
      </c>
      <c r="M218" s="18">
        <f>IFNA( VLOOKUP(LEFT(F218, IFERROR(FIND(" ", F218, 1),1) - 1), lists!$A$31:$B$37, 2, FALSE),"")</f>
        <v>3</v>
      </c>
      <c r="N218" s="18" t="str">
        <f>IFERROR(__xludf.DUMMYFUNCTION("IFNA(VLOOKUP(IFNA(REGEXEXTRACT(F218, ""(Пасхи|50-ці|посту)""),""""),lists!$A$39:$B$41,2,FALSE),"""")"),"pentecost")</f>
        <v>pentecost</v>
      </c>
      <c r="O218" s="19" t="str">
        <f>IFERROR(__xludf.DUMMYFUNCTION("IFNA(REGEXEXTRACT(F218, ""\d{1,2}""),"""")"),"12")</f>
        <v>12</v>
      </c>
      <c r="P218" s="20" t="b">
        <f t="shared" si="3"/>
        <v>0</v>
      </c>
    </row>
    <row r="219">
      <c r="A219" s="9" t="s">
        <v>479</v>
      </c>
      <c r="B219" s="9" t="str">
        <f t="shared" si="1"/>
        <v>2 Кор.</v>
      </c>
      <c r="C219" s="10" t="s">
        <v>17</v>
      </c>
      <c r="D219" s="11" t="str">
        <f t="shared" si="2"/>
        <v>182</v>
      </c>
      <c r="E219" s="12" t="s">
        <v>22</v>
      </c>
      <c r="F219" s="21" t="s">
        <v>480</v>
      </c>
      <c r="G219" s="14"/>
      <c r="H219" s="22"/>
      <c r="I219" s="16" t="s">
        <v>29</v>
      </c>
      <c r="J219" s="23" t="s">
        <v>410</v>
      </c>
      <c r="K219" s="17"/>
      <c r="L219" s="16">
        <v>7.0</v>
      </c>
      <c r="M219" s="18">
        <f>IFNA( VLOOKUP(LEFT(F219, IFERROR(FIND(" ", F219, 1),1) - 1), lists!$A$31:$B$37, 2, FALSE),"")</f>
        <v>7</v>
      </c>
      <c r="N219" s="18" t="str">
        <f>IFERROR(__xludf.DUMMYFUNCTION("IFNA(VLOOKUP(IFNA(REGEXEXTRACT(F219, ""(Пасхи|50-ці|посту)""),""""),lists!$A$39:$B$41,2,FALSE),"""")"),"pentecost")</f>
        <v>pentecost</v>
      </c>
      <c r="O219" s="19" t="str">
        <f>IFERROR(__xludf.DUMMYFUNCTION("IFNA(REGEXEXTRACT(F219, ""\d{1,2}""),"""")"),"17")</f>
        <v>17</v>
      </c>
      <c r="P219" s="20" t="b">
        <f t="shared" si="3"/>
        <v>0</v>
      </c>
    </row>
    <row r="220">
      <c r="A220" s="9" t="s">
        <v>481</v>
      </c>
      <c r="B220" s="9" t="str">
        <f t="shared" si="1"/>
        <v>2 Кор.</v>
      </c>
      <c r="C220" s="10" t="s">
        <v>17</v>
      </c>
      <c r="D220" s="11" t="str">
        <f t="shared" si="2"/>
        <v>183</v>
      </c>
      <c r="E220" s="9"/>
      <c r="F220" s="25" t="s">
        <v>482</v>
      </c>
      <c r="G220" s="14"/>
      <c r="H220" s="22"/>
      <c r="I220" s="16" t="s">
        <v>29</v>
      </c>
      <c r="J220" s="23" t="s">
        <v>346</v>
      </c>
      <c r="K220" s="17"/>
      <c r="L220" s="16">
        <v>4.0</v>
      </c>
      <c r="M220" s="18">
        <f>IFNA( VLOOKUP(LEFT(F220, IFERROR(FIND(" ", F220, 1),1) - 1), lists!$A$31:$B$37, 2, FALSE),"")</f>
        <v>4</v>
      </c>
      <c r="N220" s="18" t="str">
        <f>IFERROR(__xludf.DUMMYFUNCTION("IFNA(VLOOKUP(IFNA(REGEXEXTRACT(F220, ""(Пасхи|50-ці|посту)""),""""),lists!$A$39:$B$41,2,FALSE),"""")"),"pentecost")</f>
        <v>pentecost</v>
      </c>
      <c r="O220" s="19" t="str">
        <f>IFERROR(__xludf.DUMMYFUNCTION("IFNA(REGEXEXTRACT(F220, ""\d{1,2}""),"""")"),"12")</f>
        <v>12</v>
      </c>
      <c r="P220" s="20" t="b">
        <f t="shared" si="3"/>
        <v>0</v>
      </c>
    </row>
    <row r="221">
      <c r="A221" s="9" t="s">
        <v>483</v>
      </c>
      <c r="B221" s="9" t="str">
        <f t="shared" si="1"/>
        <v>2 Кор.</v>
      </c>
      <c r="C221" s="10" t="s">
        <v>17</v>
      </c>
      <c r="D221" s="11" t="str">
        <f t="shared" si="2"/>
        <v>184</v>
      </c>
      <c r="E221" s="9"/>
      <c r="F221" s="25" t="s">
        <v>484</v>
      </c>
      <c r="G221" s="14"/>
      <c r="H221" s="22"/>
      <c r="I221" s="16" t="s">
        <v>29</v>
      </c>
      <c r="J221" s="23" t="s">
        <v>346</v>
      </c>
      <c r="K221" s="17"/>
      <c r="L221" s="16">
        <v>5.0</v>
      </c>
      <c r="M221" s="18">
        <f>IFNA( VLOOKUP(LEFT(F221, IFERROR(FIND(" ", F221, 1),1) - 1), lists!$A$31:$B$37, 2, FALSE),"")</f>
        <v>5</v>
      </c>
      <c r="N221" s="18" t="str">
        <f>IFERROR(__xludf.DUMMYFUNCTION("IFNA(VLOOKUP(IFNA(REGEXEXTRACT(F221, ""(Пасхи|50-ці|посту)""),""""),lists!$A$39:$B$41,2,FALSE),"""")"),"pentecost")</f>
        <v>pentecost</v>
      </c>
      <c r="O221" s="19" t="str">
        <f>IFERROR(__xludf.DUMMYFUNCTION("IFNA(REGEXEXTRACT(F221, ""\d{1,2}""),"""")"),"12")</f>
        <v>12</v>
      </c>
      <c r="P221" s="20" t="b">
        <f t="shared" si="3"/>
        <v>0</v>
      </c>
    </row>
    <row r="222">
      <c r="A222" s="9" t="s">
        <v>485</v>
      </c>
      <c r="B222" s="9" t="str">
        <f t="shared" si="1"/>
        <v>2 Кор.</v>
      </c>
      <c r="C222" s="10" t="s">
        <v>17</v>
      </c>
      <c r="D222" s="11" t="str">
        <f t="shared" si="2"/>
        <v>185</v>
      </c>
      <c r="E222" s="9"/>
      <c r="F222" s="21" t="s">
        <v>486</v>
      </c>
      <c r="G222" s="14"/>
      <c r="H222" s="22"/>
      <c r="I222" s="16" t="s">
        <v>29</v>
      </c>
      <c r="J222" s="23" t="s">
        <v>487</v>
      </c>
      <c r="K222" s="17"/>
      <c r="L222" s="16">
        <v>6.0</v>
      </c>
      <c r="M222" s="18">
        <f>IFNA( VLOOKUP(LEFT(F222, IFERROR(FIND(" ", F222, 1),1) - 1), lists!$A$31:$B$37, 2, FALSE),"")</f>
        <v>6</v>
      </c>
      <c r="N222" s="18" t="str">
        <f>IFERROR(__xludf.DUMMYFUNCTION("IFNA(VLOOKUP(IFNA(REGEXEXTRACT(F222, ""(Пасхи|50-ці|посту)""),""""),lists!$A$39:$B$41,2,FALSE),"""")"),"pentecost")</f>
        <v>pentecost</v>
      </c>
      <c r="O222" s="19" t="str">
        <f>IFERROR(__xludf.DUMMYFUNCTION("IFNA(REGEXEXTRACT(F222, ""\d{1,2}""),"""")"),"23")</f>
        <v>23</v>
      </c>
      <c r="P222" s="20" t="b">
        <f t="shared" si="3"/>
        <v>0</v>
      </c>
    </row>
    <row r="223">
      <c r="A223" s="9" t="s">
        <v>488</v>
      </c>
      <c r="B223" s="9" t="str">
        <f t="shared" si="1"/>
        <v>2 Кор.</v>
      </c>
      <c r="C223" s="10" t="s">
        <v>17</v>
      </c>
      <c r="D223" s="11" t="str">
        <f t="shared" si="2"/>
        <v>186</v>
      </c>
      <c r="E223" s="9"/>
      <c r="F223" s="25" t="s">
        <v>489</v>
      </c>
      <c r="G223" s="14"/>
      <c r="H223" s="22"/>
      <c r="I223" s="16" t="s">
        <v>29</v>
      </c>
      <c r="J223" s="23" t="s">
        <v>349</v>
      </c>
      <c r="K223" s="17"/>
      <c r="L223" s="16">
        <v>1.0</v>
      </c>
      <c r="M223" s="18">
        <f>IFNA( VLOOKUP(LEFT(F223, IFERROR(FIND(" ", F223, 1),1) - 1), lists!$A$31:$B$37, 2, FALSE),"")</f>
        <v>1</v>
      </c>
      <c r="N223" s="18" t="str">
        <f>IFERROR(__xludf.DUMMYFUNCTION("IFNA(VLOOKUP(IFNA(REGEXEXTRACT(F223, ""(Пасхи|50-ці|посту)""),""""),lists!$A$39:$B$41,2,FALSE),"""")"),"pentecost")</f>
        <v>pentecost</v>
      </c>
      <c r="O223" s="19" t="str">
        <f>IFERROR(__xludf.DUMMYFUNCTION("IFNA(REGEXEXTRACT(F223, ""\d{1,2}""),"""")"),"13")</f>
        <v>13</v>
      </c>
      <c r="P223" s="20" t="b">
        <f t="shared" si="3"/>
        <v>0</v>
      </c>
    </row>
    <row r="224">
      <c r="A224" s="9" t="s">
        <v>490</v>
      </c>
      <c r="B224" s="9" t="str">
        <f t="shared" si="1"/>
        <v>2 Кор.</v>
      </c>
      <c r="C224" s="10" t="s">
        <v>17</v>
      </c>
      <c r="D224" s="11" t="str">
        <f t="shared" si="2"/>
        <v>187</v>
      </c>
      <c r="E224" s="9"/>
      <c r="F224" s="25" t="s">
        <v>491</v>
      </c>
      <c r="G224" s="14"/>
      <c r="H224" s="22"/>
      <c r="I224" s="16" t="s">
        <v>29</v>
      </c>
      <c r="J224" s="23" t="s">
        <v>349</v>
      </c>
      <c r="K224" s="17"/>
      <c r="L224" s="16">
        <v>2.0</v>
      </c>
      <c r="M224" s="18">
        <f>IFNA( VLOOKUP(LEFT(F224, IFERROR(FIND(" ", F224, 1),1) - 1), lists!$A$31:$B$37, 2, FALSE),"")</f>
        <v>2</v>
      </c>
      <c r="N224" s="18" t="str">
        <f>IFERROR(__xludf.DUMMYFUNCTION("IFNA(VLOOKUP(IFNA(REGEXEXTRACT(F224, ""(Пасхи|50-ці|посту)""),""""),lists!$A$39:$B$41,2,FALSE),"""")"),"pentecost")</f>
        <v>pentecost</v>
      </c>
      <c r="O224" s="19" t="str">
        <f>IFERROR(__xludf.DUMMYFUNCTION("IFNA(REGEXEXTRACT(F224, ""\d{1,2}""),"""")"),"13")</f>
        <v>13</v>
      </c>
      <c r="P224" s="20" t="b">
        <f t="shared" si="3"/>
        <v>0</v>
      </c>
    </row>
    <row r="225">
      <c r="A225" s="9" t="s">
        <v>492</v>
      </c>
      <c r="B225" s="9" t="str">
        <f t="shared" si="1"/>
        <v>2 Кор.</v>
      </c>
      <c r="C225" s="10" t="s">
        <v>17</v>
      </c>
      <c r="D225" s="11" t="str">
        <f t="shared" si="2"/>
        <v>188</v>
      </c>
      <c r="E225" s="9"/>
      <c r="F225" s="27" t="s">
        <v>493</v>
      </c>
      <c r="G225" s="14"/>
      <c r="H225" s="22"/>
      <c r="I225" s="16" t="s">
        <v>29</v>
      </c>
      <c r="J225" s="23" t="s">
        <v>435</v>
      </c>
      <c r="K225" s="17"/>
      <c r="L225" s="16">
        <v>7.0</v>
      </c>
      <c r="M225" s="18">
        <f>IFNA( VLOOKUP(LEFT(F225, IFERROR(FIND(" ", F225, 1),1) - 1), lists!$A$31:$B$37, 2, FALSE),"")</f>
        <v>7</v>
      </c>
      <c r="N225" s="18" t="str">
        <f>IFERROR(__xludf.DUMMYFUNCTION("IFNA(VLOOKUP(IFNA(REGEXEXTRACT(F225, ""(Пасхи|50-ці|посту)""),""""),lists!$A$39:$B$41,2,FALSE),"""")"),"pentecost")</f>
        <v>pentecost</v>
      </c>
      <c r="O225" s="19" t="str">
        <f>IFERROR(__xludf.DUMMYFUNCTION("IFNA(REGEXEXTRACT(F225, ""\d{1,2}""),"""")"),"18")</f>
        <v>18</v>
      </c>
      <c r="P225" s="20" t="b">
        <f t="shared" si="3"/>
        <v>0</v>
      </c>
    </row>
    <row r="226">
      <c r="A226" s="9" t="s">
        <v>494</v>
      </c>
      <c r="B226" s="9" t="str">
        <f t="shared" si="1"/>
        <v>2 Кор.</v>
      </c>
      <c r="C226" s="10" t="s">
        <v>17</v>
      </c>
      <c r="D226" s="11" t="str">
        <f t="shared" si="2"/>
        <v>189</v>
      </c>
      <c r="E226" s="9"/>
      <c r="F226" s="25" t="s">
        <v>495</v>
      </c>
      <c r="G226" s="14"/>
      <c r="H226" s="22"/>
      <c r="I226" s="16" t="s">
        <v>29</v>
      </c>
      <c r="J226" s="23" t="s">
        <v>349</v>
      </c>
      <c r="K226" s="17"/>
      <c r="L226" s="16">
        <v>3.0</v>
      </c>
      <c r="M226" s="18">
        <f>IFNA( VLOOKUP(LEFT(F226, IFERROR(FIND(" ", F226, 1),1) - 1), lists!$A$31:$B$37, 2, FALSE),"")</f>
        <v>3</v>
      </c>
      <c r="N226" s="18" t="str">
        <f>IFERROR(__xludf.DUMMYFUNCTION("IFNA(VLOOKUP(IFNA(REGEXEXTRACT(F226, ""(Пасхи|50-ці|посту)""),""""),lists!$A$39:$B$41,2,FALSE),"""")"),"pentecost")</f>
        <v>pentecost</v>
      </c>
      <c r="O226" s="19" t="str">
        <f>IFERROR(__xludf.DUMMYFUNCTION("IFNA(REGEXEXTRACT(F226, ""\d{1,2}""),"""")"),"13")</f>
        <v>13</v>
      </c>
      <c r="P226" s="20" t="b">
        <f t="shared" si="3"/>
        <v>0</v>
      </c>
    </row>
    <row r="227">
      <c r="A227" s="9" t="s">
        <v>496</v>
      </c>
      <c r="B227" s="9" t="str">
        <f t="shared" si="1"/>
        <v>2 Кор.</v>
      </c>
      <c r="C227" s="10" t="s">
        <v>17</v>
      </c>
      <c r="D227" s="11" t="str">
        <f t="shared" si="2"/>
        <v>190</v>
      </c>
      <c r="E227" s="9"/>
      <c r="F227" s="25" t="s">
        <v>497</v>
      </c>
      <c r="G227" s="25"/>
      <c r="H227" s="22"/>
      <c r="I227" s="16" t="s">
        <v>29</v>
      </c>
      <c r="J227" s="23" t="s">
        <v>349</v>
      </c>
      <c r="K227" s="17"/>
      <c r="L227" s="16">
        <v>4.0</v>
      </c>
      <c r="M227" s="18">
        <f>IFNA( VLOOKUP(LEFT(F227, IFERROR(FIND(" ", F227, 1),1) - 1), lists!$A$31:$B$37, 2, FALSE),"")</f>
        <v>4</v>
      </c>
      <c r="N227" s="18" t="str">
        <f>IFERROR(__xludf.DUMMYFUNCTION("IFNA(VLOOKUP(IFNA(REGEXEXTRACT(F227, ""(Пасхи|50-ці|посту)""),""""),lists!$A$39:$B$41,2,FALSE),"""")"),"pentecost")</f>
        <v>pentecost</v>
      </c>
      <c r="O227" s="19" t="str">
        <f>IFERROR(__xludf.DUMMYFUNCTION("IFNA(REGEXEXTRACT(F227, ""\d{1,2}""),"""")"),"13")</f>
        <v>13</v>
      </c>
      <c r="P227" s="20" t="b">
        <f t="shared" si="3"/>
        <v>0</v>
      </c>
    </row>
    <row r="228">
      <c r="A228" s="9" t="s">
        <v>498</v>
      </c>
      <c r="B228" s="9" t="str">
        <f t="shared" si="1"/>
        <v>2 Кор.</v>
      </c>
      <c r="C228" s="10" t="s">
        <v>17</v>
      </c>
      <c r="D228" s="11" t="str">
        <f t="shared" si="2"/>
        <v>191</v>
      </c>
      <c r="E228" s="9"/>
      <c r="F228" s="21" t="s">
        <v>499</v>
      </c>
      <c r="G228" s="14"/>
      <c r="H228" s="22"/>
      <c r="I228" s="16" t="s">
        <v>29</v>
      </c>
      <c r="J228" s="23" t="s">
        <v>500</v>
      </c>
      <c r="K228" s="17"/>
      <c r="L228" s="16">
        <v>6.0</v>
      </c>
      <c r="M228" s="18">
        <f>IFNA( VLOOKUP(LEFT(F228, IFERROR(FIND(" ", F228, 1),1) - 1), lists!$A$31:$B$37, 2, FALSE),"")</f>
        <v>6</v>
      </c>
      <c r="N228" s="18" t="str">
        <f>IFERROR(__xludf.DUMMYFUNCTION("IFNA(VLOOKUP(IFNA(REGEXEXTRACT(F228, ""(Пасхи|50-ці|посту)""),""""),lists!$A$39:$B$41,2,FALSE),"""")"),"pentecost")</f>
        <v>pentecost</v>
      </c>
      <c r="O228" s="19" t="str">
        <f>IFERROR(__xludf.DUMMYFUNCTION("IFNA(REGEXEXTRACT(F228, ""\d{1,2}""),"""")"),"24")</f>
        <v>24</v>
      </c>
      <c r="P228" s="20" t="b">
        <f t="shared" si="3"/>
        <v>0</v>
      </c>
    </row>
    <row r="229">
      <c r="A229" s="9" t="s">
        <v>501</v>
      </c>
      <c r="B229" s="9" t="str">
        <f t="shared" si="1"/>
        <v>2 Кор.</v>
      </c>
      <c r="C229" s="10" t="s">
        <v>17</v>
      </c>
      <c r="D229" s="11" t="str">
        <f t="shared" si="2"/>
        <v>192</v>
      </c>
      <c r="E229" s="9"/>
      <c r="F229" s="25" t="s">
        <v>502</v>
      </c>
      <c r="G229" s="14"/>
      <c r="H229" s="22"/>
      <c r="I229" s="16" t="s">
        <v>29</v>
      </c>
      <c r="J229" s="23" t="s">
        <v>349</v>
      </c>
      <c r="K229" s="17"/>
      <c r="L229" s="16">
        <v>5.0</v>
      </c>
      <c r="M229" s="18">
        <f>IFNA( VLOOKUP(LEFT(F229, IFERROR(FIND(" ", F229, 1),1) - 1), lists!$A$31:$B$37, 2, FALSE),"")</f>
        <v>5</v>
      </c>
      <c r="N229" s="18" t="str">
        <f>IFERROR(__xludf.DUMMYFUNCTION("IFNA(VLOOKUP(IFNA(REGEXEXTRACT(F229, ""(Пасхи|50-ці|посту)""),""""),lists!$A$39:$B$41,2,FALSE),"""")"),"pentecost")</f>
        <v>pentecost</v>
      </c>
      <c r="O229" s="19" t="str">
        <f>IFERROR(__xludf.DUMMYFUNCTION("IFNA(REGEXEXTRACT(F229, ""\d{1,2}""),"""")"),"13")</f>
        <v>13</v>
      </c>
      <c r="P229" s="20" t="b">
        <f t="shared" si="3"/>
        <v>0</v>
      </c>
    </row>
    <row r="230">
      <c r="A230" s="9" t="s">
        <v>503</v>
      </c>
      <c r="B230" s="9" t="str">
        <f t="shared" si="1"/>
        <v>2 Кор.</v>
      </c>
      <c r="C230" s="10" t="s">
        <v>17</v>
      </c>
      <c r="D230" s="11" t="str">
        <f t="shared" si="2"/>
        <v>193</v>
      </c>
      <c r="E230" s="9"/>
      <c r="F230" s="21" t="s">
        <v>504</v>
      </c>
      <c r="G230" s="14"/>
      <c r="H230" s="15" t="s">
        <v>70</v>
      </c>
      <c r="I230" s="16" t="s">
        <v>71</v>
      </c>
      <c r="J230" s="23"/>
      <c r="K230" s="17"/>
      <c r="L230" s="16" t="s">
        <v>71</v>
      </c>
      <c r="M230" s="18" t="str">
        <f>IFNA( VLOOKUP(LEFT(F230, IFERROR(FIND(" ", F230, 1),1) - 1), lists!$A$31:$B$37, 2, FALSE),"")</f>
        <v/>
      </c>
      <c r="N230" s="18" t="str">
        <f>IFERROR(__xludf.DUMMYFUNCTION("IFNA(VLOOKUP(IFNA(REGEXEXTRACT(F230, ""(Пасхи|50-ці|посту)""),""""),lists!$A$39:$B$41,2,FALSE),"""")"),"")</f>
        <v/>
      </c>
      <c r="O230" s="19" t="str">
        <f>IFERROR(__xludf.DUMMYFUNCTION("IFNA(REGEXEXTRACT(F230, ""\d{1,2}""),"""")"),"29")</f>
        <v>29</v>
      </c>
      <c r="P230" s="20" t="b">
        <f t="shared" si="3"/>
        <v>0</v>
      </c>
    </row>
    <row r="231">
      <c r="A231" s="9" t="s">
        <v>505</v>
      </c>
      <c r="B231" s="9" t="str">
        <f t="shared" si="1"/>
        <v>2 Кор.</v>
      </c>
      <c r="C231" s="10" t="s">
        <v>17</v>
      </c>
      <c r="D231" s="11" t="str">
        <f t="shared" si="2"/>
        <v>194</v>
      </c>
      <c r="E231" s="9"/>
      <c r="F231" s="21" t="s">
        <v>506</v>
      </c>
      <c r="G231" s="14"/>
      <c r="H231" s="22"/>
      <c r="I231" s="16" t="s">
        <v>29</v>
      </c>
      <c r="J231" s="23" t="s">
        <v>439</v>
      </c>
      <c r="K231" s="17"/>
      <c r="L231" s="16">
        <v>7.0</v>
      </c>
      <c r="M231" s="18">
        <f>IFNA( VLOOKUP(LEFT(F231, IFERROR(FIND(" ", F231, 1),1) - 1), lists!$A$31:$B$37, 2, FALSE),"")</f>
        <v>7</v>
      </c>
      <c r="N231" s="18" t="str">
        <f>IFERROR(__xludf.DUMMYFUNCTION("IFNA(VLOOKUP(IFNA(REGEXEXTRACT(F231, ""(Пасхи|50-ці|посту)""),""""),lists!$A$39:$B$41,2,FALSE),"""")"),"pentecost")</f>
        <v>pentecost</v>
      </c>
      <c r="O231" s="19" t="str">
        <f>IFERROR(__xludf.DUMMYFUNCTION("IFNA(REGEXEXTRACT(F231, ""\d{1,2}""),"""")"),"19")</f>
        <v>19</v>
      </c>
      <c r="P231" s="20" t="b">
        <f t="shared" si="3"/>
        <v>0</v>
      </c>
    </row>
    <row r="232">
      <c r="A232" s="9" t="s">
        <v>507</v>
      </c>
      <c r="B232" s="9" t="str">
        <f t="shared" si="1"/>
        <v>2 Кор.</v>
      </c>
      <c r="C232" s="10" t="s">
        <v>17</v>
      </c>
      <c r="D232" s="11" t="str">
        <f t="shared" si="2"/>
        <v>195</v>
      </c>
      <c r="E232" s="9"/>
      <c r="F232" s="25" t="s">
        <v>508</v>
      </c>
      <c r="G232" s="14"/>
      <c r="H232" s="22"/>
      <c r="I232" s="16" t="s">
        <v>29</v>
      </c>
      <c r="J232" s="23" t="s">
        <v>360</v>
      </c>
      <c r="K232" s="17"/>
      <c r="L232" s="16">
        <v>1.0</v>
      </c>
      <c r="M232" s="18">
        <f>IFNA( VLOOKUP(LEFT(F232, IFERROR(FIND(" ", F232, 1),1) - 1), lists!$A$31:$B$37, 2, FALSE),"")</f>
        <v>1</v>
      </c>
      <c r="N232" s="18" t="str">
        <f>IFERROR(__xludf.DUMMYFUNCTION("IFNA(VLOOKUP(IFNA(REGEXEXTRACT(F232, ""(Пасхи|50-ці|посту)""),""""),lists!$A$39:$B$41,2,FALSE),"""")"),"pentecost")</f>
        <v>pentecost</v>
      </c>
      <c r="O232" s="19" t="str">
        <f>IFERROR(__xludf.DUMMYFUNCTION("IFNA(REGEXEXTRACT(F232, ""\d{1,2}""),"""")"),"14")</f>
        <v>14</v>
      </c>
      <c r="P232" s="20" t="b">
        <f t="shared" si="3"/>
        <v>0</v>
      </c>
    </row>
    <row r="233">
      <c r="A233" s="9" t="s">
        <v>509</v>
      </c>
      <c r="B233" s="9" t="str">
        <f t="shared" si="1"/>
        <v>2 Кор.</v>
      </c>
      <c r="C233" s="10" t="s">
        <v>17</v>
      </c>
      <c r="D233" s="11" t="str">
        <f t="shared" si="2"/>
        <v>196</v>
      </c>
      <c r="E233" s="9"/>
      <c r="F233" s="25" t="s">
        <v>510</v>
      </c>
      <c r="G233" s="14"/>
      <c r="H233" s="22"/>
      <c r="I233" s="16" t="s">
        <v>29</v>
      </c>
      <c r="J233" s="23" t="s">
        <v>360</v>
      </c>
      <c r="K233" s="17"/>
      <c r="L233" s="16">
        <v>2.0</v>
      </c>
      <c r="M233" s="18">
        <f>IFNA( VLOOKUP(LEFT(F233, IFERROR(FIND(" ", F233, 1),1) - 1), lists!$A$31:$B$37, 2, FALSE),"")</f>
        <v>2</v>
      </c>
      <c r="N233" s="18" t="str">
        <f>IFERROR(__xludf.DUMMYFUNCTION("IFNA(VLOOKUP(IFNA(REGEXEXTRACT(F233, ""(Пасхи|50-ці|посту)""),""""),lists!$A$39:$B$41,2,FALSE),"""")"),"pentecost")</f>
        <v>pentecost</v>
      </c>
      <c r="O233" s="19" t="str">
        <f>IFERROR(__xludf.DUMMYFUNCTION("IFNA(REGEXEXTRACT(F233, ""\d{1,2}""),"""")"),"14")</f>
        <v>14</v>
      </c>
      <c r="P233" s="20" t="b">
        <f t="shared" si="3"/>
        <v>0</v>
      </c>
    </row>
    <row r="234">
      <c r="A234" s="9" t="s">
        <v>511</v>
      </c>
      <c r="B234" s="9" t="str">
        <f t="shared" si="1"/>
        <v>2 Кор.</v>
      </c>
      <c r="C234" s="10" t="s">
        <v>17</v>
      </c>
      <c r="D234" s="11" t="str">
        <f t="shared" si="2"/>
        <v>197</v>
      </c>
      <c r="E234" s="9"/>
      <c r="F234" s="25" t="s">
        <v>512</v>
      </c>
      <c r="G234" s="14"/>
      <c r="H234" s="22"/>
      <c r="I234" s="16" t="s">
        <v>29</v>
      </c>
      <c r="J234" s="23" t="s">
        <v>360</v>
      </c>
      <c r="K234" s="17"/>
      <c r="L234" s="16">
        <v>3.0</v>
      </c>
      <c r="M234" s="18">
        <f>IFNA( VLOOKUP(LEFT(F234, IFERROR(FIND(" ", F234, 1),1) - 1), lists!$A$31:$B$37, 2, FALSE),"")</f>
        <v>3</v>
      </c>
      <c r="N234" s="18" t="str">
        <f>IFERROR(__xludf.DUMMYFUNCTION("IFNA(VLOOKUP(IFNA(REGEXEXTRACT(F234, ""(Пасхи|50-ці|посту)""),""""),lists!$A$39:$B$41,2,FALSE),"""")"),"pentecost")</f>
        <v>pentecost</v>
      </c>
      <c r="O234" s="19" t="str">
        <f>IFERROR(__xludf.DUMMYFUNCTION("IFNA(REGEXEXTRACT(F234, ""\d{1,2}""),"""")"),"14")</f>
        <v>14</v>
      </c>
      <c r="P234" s="20" t="b">
        <f t="shared" si="3"/>
        <v>0</v>
      </c>
    </row>
    <row r="235">
      <c r="A235" s="9" t="s">
        <v>513</v>
      </c>
      <c r="B235" s="9" t="str">
        <f t="shared" si="1"/>
        <v>Гал.</v>
      </c>
      <c r="C235" s="10" t="s">
        <v>17</v>
      </c>
      <c r="D235" s="11" t="str">
        <f t="shared" si="2"/>
        <v>198</v>
      </c>
      <c r="E235" s="9"/>
      <c r="F235" s="25" t="s">
        <v>514</v>
      </c>
      <c r="G235" s="14"/>
      <c r="H235" s="22"/>
      <c r="I235" s="16" t="s">
        <v>29</v>
      </c>
      <c r="J235" s="23" t="s">
        <v>360</v>
      </c>
      <c r="K235" s="17"/>
      <c r="L235" s="16">
        <v>4.0</v>
      </c>
      <c r="M235" s="18">
        <f>IFNA( VLOOKUP(LEFT(F235, IFERROR(FIND(" ", F235, 1),1) - 1), lists!$A$31:$B$37, 2, FALSE),"")</f>
        <v>4</v>
      </c>
      <c r="N235" s="18" t="str">
        <f>IFERROR(__xludf.DUMMYFUNCTION("IFNA(VLOOKUP(IFNA(REGEXEXTRACT(F235, ""(Пасхи|50-ці|посту)""),""""),lists!$A$39:$B$41,2,FALSE),"""")"),"pentecost")</f>
        <v>pentecost</v>
      </c>
      <c r="O235" s="19" t="str">
        <f>IFERROR(__xludf.DUMMYFUNCTION("IFNA(REGEXEXTRACT(F235, ""\d{1,2}""),"""")"),"14")</f>
        <v>14</v>
      </c>
      <c r="P235" s="20" t="b">
        <f t="shared" si="3"/>
        <v>0</v>
      </c>
    </row>
    <row r="236">
      <c r="A236" s="9" t="s">
        <v>515</v>
      </c>
      <c r="B236" s="9" t="str">
        <f t="shared" si="1"/>
        <v>Гал.</v>
      </c>
      <c r="C236" s="10" t="s">
        <v>17</v>
      </c>
      <c r="D236" s="11" t="str">
        <f t="shared" si="2"/>
        <v>199</v>
      </c>
      <c r="E236" s="9"/>
      <c r="F236" s="27" t="s">
        <v>516</v>
      </c>
      <c r="G236" s="14"/>
      <c r="H236" s="22"/>
      <c r="I236" s="16" t="s">
        <v>29</v>
      </c>
      <c r="J236" s="23" t="s">
        <v>517</v>
      </c>
      <c r="K236" s="17"/>
      <c r="L236" s="16">
        <v>6.0</v>
      </c>
      <c r="M236" s="18">
        <f>IFNA( VLOOKUP(LEFT(F236, IFERROR(FIND(" ", F236, 1),1) - 1), lists!$A$31:$B$37, 2, FALSE),"")</f>
        <v>6</v>
      </c>
      <c r="N236" s="18" t="str">
        <f>IFERROR(__xludf.DUMMYFUNCTION("IFNA(VLOOKUP(IFNA(REGEXEXTRACT(F236, ""(Пасхи|50-ці|посту)""),""""),lists!$A$39:$B$41,2,FALSE),"""")"),"pentecost")</f>
        <v>pentecost</v>
      </c>
      <c r="O236" s="19" t="str">
        <f>IFERROR(__xludf.DUMMYFUNCTION("IFNA(REGEXEXTRACT(F236, ""\d{1,2}""),"""")"),"25")</f>
        <v>25</v>
      </c>
      <c r="P236" s="20" t="b">
        <f t="shared" si="3"/>
        <v>0</v>
      </c>
    </row>
    <row r="237">
      <c r="A237" s="9" t="s">
        <v>518</v>
      </c>
      <c r="B237" s="9" t="str">
        <f t="shared" si="1"/>
        <v>Гал.</v>
      </c>
      <c r="C237" s="10" t="s">
        <v>17</v>
      </c>
      <c r="D237" s="11" t="str">
        <f t="shared" si="2"/>
        <v>200</v>
      </c>
      <c r="E237" s="9"/>
      <c r="F237" s="37" t="s">
        <v>519</v>
      </c>
      <c r="G237" s="25" t="s">
        <v>520</v>
      </c>
      <c r="H237" s="22"/>
      <c r="I237" s="16" t="s">
        <v>29</v>
      </c>
      <c r="J237" s="23" t="s">
        <v>161</v>
      </c>
      <c r="K237" s="17"/>
      <c r="L237" s="16">
        <v>7.0</v>
      </c>
      <c r="M237" s="18">
        <f>IFNA( VLOOKUP(LEFT(F237, IFERROR(FIND(" ", F237, 1),1) - 1), lists!$A$31:$B$37, 2, FALSE),"")</f>
        <v>7</v>
      </c>
      <c r="N237" s="18" t="str">
        <f>IFERROR(__xludf.DUMMYFUNCTION("IFNA(VLOOKUP(IFNA(REGEXEXTRACT(F237, ""(Пасхи|50-ці|посту)""),""""),lists!$A$39:$B$41,2,FALSE),"""")"),"pentecost")</f>
        <v>pentecost</v>
      </c>
      <c r="O237" s="19" t="str">
        <f>IFERROR(__xludf.DUMMYFUNCTION("IFNA(REGEXEXTRACT(F237, ""\d{1,2}""),"""")"),"20")</f>
        <v>20</v>
      </c>
      <c r="P237" s="20" t="b">
        <f t="shared" si="3"/>
        <v>0</v>
      </c>
    </row>
    <row r="238">
      <c r="A238" s="9" t="s">
        <v>521</v>
      </c>
      <c r="B238" s="9" t="str">
        <f t="shared" si="1"/>
        <v>Гал.</v>
      </c>
      <c r="C238" s="10" t="s">
        <v>17</v>
      </c>
      <c r="D238" s="11" t="str">
        <f t="shared" si="2"/>
        <v>201</v>
      </c>
      <c r="E238" s="9"/>
      <c r="F238" s="25" t="s">
        <v>520</v>
      </c>
      <c r="G238" s="14"/>
      <c r="H238" s="22"/>
      <c r="I238" s="16" t="s">
        <v>29</v>
      </c>
      <c r="J238" s="23" t="s">
        <v>360</v>
      </c>
      <c r="K238" s="17"/>
      <c r="L238" s="16">
        <v>5.0</v>
      </c>
      <c r="M238" s="18">
        <f>IFNA( VLOOKUP(LEFT(F238, IFERROR(FIND(" ", F238, 1),1) - 1), lists!$A$31:$B$37, 2, FALSE),"")</f>
        <v>5</v>
      </c>
      <c r="N238" s="18" t="str">
        <f>IFERROR(__xludf.DUMMYFUNCTION("IFNA(VLOOKUP(IFNA(REGEXEXTRACT(F238, ""(Пасхи|50-ці|посту)""),""""),lists!$A$39:$B$41,2,FALSE),"""")"),"pentecost")</f>
        <v>pentecost</v>
      </c>
      <c r="O238" s="19" t="str">
        <f>IFERROR(__xludf.DUMMYFUNCTION("IFNA(REGEXEXTRACT(F238, ""\d{1,2}""),"""")"),"14")</f>
        <v>14</v>
      </c>
      <c r="P238" s="20" t="b">
        <f t="shared" si="3"/>
        <v>0</v>
      </c>
    </row>
    <row r="239">
      <c r="A239" s="9" t="s">
        <v>522</v>
      </c>
      <c r="B239" s="9" t="str">
        <f t="shared" si="1"/>
        <v>Гал.</v>
      </c>
      <c r="C239" s="10" t="s">
        <v>17</v>
      </c>
      <c r="D239" s="11" t="str">
        <f t="shared" si="2"/>
        <v>202</v>
      </c>
      <c r="E239" s="9"/>
      <c r="F239" s="25" t="s">
        <v>523</v>
      </c>
      <c r="G239" s="14"/>
      <c r="H239" s="22"/>
      <c r="I239" s="16" t="s">
        <v>29</v>
      </c>
      <c r="J239" s="23" t="s">
        <v>365</v>
      </c>
      <c r="K239" s="17"/>
      <c r="L239" s="16">
        <v>1.0</v>
      </c>
      <c r="M239" s="18">
        <f>IFNA( VLOOKUP(LEFT(F239, IFERROR(FIND(" ", F239, 1),1) - 1), lists!$A$31:$B$37, 2, FALSE),"")</f>
        <v>1</v>
      </c>
      <c r="N239" s="18" t="str">
        <f>IFERROR(__xludf.DUMMYFUNCTION("IFNA(VLOOKUP(IFNA(REGEXEXTRACT(F239, ""(Пасхи|50-ці|посту)""),""""),lists!$A$39:$B$41,2,FALSE),"""")"),"pentecost")</f>
        <v>pentecost</v>
      </c>
      <c r="O239" s="19" t="str">
        <f>IFERROR(__xludf.DUMMYFUNCTION("IFNA(REGEXEXTRACT(F239, ""\d{1,2}""),"""")"),"15")</f>
        <v>15</v>
      </c>
      <c r="P239" s="20" t="b">
        <f t="shared" si="3"/>
        <v>0</v>
      </c>
    </row>
    <row r="240">
      <c r="A240" s="9" t="s">
        <v>524</v>
      </c>
      <c r="B240" s="9" t="str">
        <f t="shared" si="1"/>
        <v>Гал.</v>
      </c>
      <c r="C240" s="10" t="s">
        <v>17</v>
      </c>
      <c r="D240" s="11" t="str">
        <f t="shared" si="2"/>
        <v>203</v>
      </c>
      <c r="E240" s="9"/>
      <c r="F240" s="27" t="s">
        <v>525</v>
      </c>
      <c r="G240" s="14"/>
      <c r="H240" s="22"/>
      <c r="I240" s="16" t="s">
        <v>29</v>
      </c>
      <c r="J240" s="23" t="s">
        <v>138</v>
      </c>
      <c r="K240" s="17"/>
      <c r="L240" s="16">
        <v>7.0</v>
      </c>
      <c r="M240" s="18">
        <f>IFNA( VLOOKUP(LEFT(F240, IFERROR(FIND(" ", F240, 1),1) - 1), lists!$A$31:$B$37, 2, FALSE),"")</f>
        <v>7</v>
      </c>
      <c r="N240" s="18" t="str">
        <f>IFERROR(__xludf.DUMMYFUNCTION("IFNA(VLOOKUP(IFNA(REGEXEXTRACT(F240, ""(Пасхи|50-ці|посту)""),""""),lists!$A$39:$B$41,2,FALSE),"""")"),"pentecost")</f>
        <v>pentecost</v>
      </c>
      <c r="O240" s="19" t="str">
        <f>IFERROR(__xludf.DUMMYFUNCTION("IFNA(REGEXEXTRACT(F240, ""\d{1,2}""),"""")"),"21")</f>
        <v>21</v>
      </c>
      <c r="P240" s="20" t="b">
        <f t="shared" si="3"/>
        <v>0</v>
      </c>
    </row>
    <row r="241">
      <c r="A241" s="9" t="s">
        <v>526</v>
      </c>
      <c r="B241" s="9" t="str">
        <f t="shared" si="1"/>
        <v>Гал.</v>
      </c>
      <c r="C241" s="10" t="s">
        <v>17</v>
      </c>
      <c r="D241" s="11" t="str">
        <f t="shared" si="2"/>
        <v>204</v>
      </c>
      <c r="E241" s="9"/>
      <c r="F241" s="25" t="s">
        <v>527</v>
      </c>
      <c r="G241" s="14"/>
      <c r="H241" s="22"/>
      <c r="I241" s="16" t="s">
        <v>29</v>
      </c>
      <c r="J241" s="23" t="s">
        <v>365</v>
      </c>
      <c r="K241" s="17"/>
      <c r="L241" s="16">
        <v>2.0</v>
      </c>
      <c r="M241" s="18">
        <f>IFNA( VLOOKUP(LEFT(F241, IFERROR(FIND(" ", F241, 1),1) - 1), lists!$A$31:$B$37, 2, FALSE),"")</f>
        <v>2</v>
      </c>
      <c r="N241" s="18" t="str">
        <f>IFERROR(__xludf.DUMMYFUNCTION("IFNA(VLOOKUP(IFNA(REGEXEXTRACT(F241, ""(Пасхи|50-ці|посту)""),""""),lists!$A$39:$B$41,2,FALSE),"""")"),"pentecost")</f>
        <v>pentecost</v>
      </c>
      <c r="O241" s="19" t="str">
        <f>IFERROR(__xludf.DUMMYFUNCTION("IFNA(REGEXEXTRACT(F241, ""\d{1,2}""),"""")"),"15")</f>
        <v>15</v>
      </c>
      <c r="P241" s="20" t="b">
        <f t="shared" si="3"/>
        <v>0</v>
      </c>
    </row>
    <row r="242">
      <c r="A242" s="9" t="s">
        <v>528</v>
      </c>
      <c r="B242" s="9" t="str">
        <f t="shared" si="1"/>
        <v>Гал.</v>
      </c>
      <c r="C242" s="10" t="s">
        <v>17</v>
      </c>
      <c r="D242" s="11" t="str">
        <f t="shared" si="2"/>
        <v>205</v>
      </c>
      <c r="E242" s="9"/>
      <c r="F242" s="27" t="s">
        <v>529</v>
      </c>
      <c r="G242" s="14"/>
      <c r="H242" s="15" t="s">
        <v>70</v>
      </c>
      <c r="I242" s="16" t="s">
        <v>29</v>
      </c>
      <c r="J242" s="23" t="s">
        <v>208</v>
      </c>
      <c r="K242" s="17"/>
      <c r="L242" s="16">
        <v>6.0</v>
      </c>
      <c r="M242" s="18">
        <f>IFNA( VLOOKUP(LEFT(F242, IFERROR(FIND(" ", F242, 1),1) - 1), lists!$A$31:$B$37, 2, FALSE),"")</f>
        <v>6</v>
      </c>
      <c r="N242" s="18" t="str">
        <f>IFERROR(__xludf.DUMMYFUNCTION("IFNA(VLOOKUP(IFNA(REGEXEXTRACT(F242, ""(Пасхи|50-ці|посту)""),""""),lists!$A$39:$B$41,2,FALSE),"""")"),"")</f>
        <v/>
      </c>
      <c r="O242" s="19" t="str">
        <f>IFERROR(__xludf.DUMMYFUNCTION("IFNA(REGEXEXTRACT(F242, ""\d{1,2}""),"""")"),"26")</f>
        <v>26</v>
      </c>
      <c r="P242" s="20" t="b">
        <f t="shared" si="3"/>
        <v>0</v>
      </c>
    </row>
    <row r="243">
      <c r="A243" s="9" t="s">
        <v>530</v>
      </c>
      <c r="B243" s="9" t="str">
        <f t="shared" si="1"/>
        <v>Гал.</v>
      </c>
      <c r="C243" s="10" t="s">
        <v>17</v>
      </c>
      <c r="D243" s="11" t="str">
        <f t="shared" si="2"/>
        <v>206</v>
      </c>
      <c r="E243" s="9"/>
      <c r="F243" s="27" t="s">
        <v>531</v>
      </c>
      <c r="G243" s="25"/>
      <c r="H243" s="15" t="s">
        <v>532</v>
      </c>
      <c r="I243" s="16" t="s">
        <v>71</v>
      </c>
      <c r="J243" s="23" t="s">
        <v>71</v>
      </c>
      <c r="K243" s="17"/>
      <c r="L243" s="16" t="s">
        <v>71</v>
      </c>
      <c r="M243" s="18" t="str">
        <f>IFNA( VLOOKUP(LEFT(F243, IFERROR(FIND(" ", F243, 1),1) - 1), lists!$A$31:$B$37, 2, FALSE),"")</f>
        <v/>
      </c>
      <c r="N243" s="18" t="str">
        <f>IFERROR(__xludf.DUMMYFUNCTION("IFNA(VLOOKUP(IFNA(REGEXEXTRACT(F243, ""(Пасхи|50-ці|посту)""),""""),lists!$A$39:$B$41,2,FALSE),"""")"),"")</f>
        <v/>
      </c>
      <c r="O243" s="19" t="str">
        <f>IFERROR(__xludf.DUMMYFUNCTION("IFNA(REGEXEXTRACT(F243, ""\d{1,2}""),"""")"),"")</f>
        <v/>
      </c>
      <c r="P243" s="20" t="b">
        <f t="shared" si="3"/>
        <v>0</v>
      </c>
    </row>
    <row r="244">
      <c r="A244" s="9" t="s">
        <v>533</v>
      </c>
      <c r="B244" s="9" t="str">
        <f t="shared" si="1"/>
        <v>Гал.</v>
      </c>
      <c r="C244" s="10" t="s">
        <v>17</v>
      </c>
      <c r="D244" s="11" t="str">
        <f t="shared" si="2"/>
        <v>207</v>
      </c>
      <c r="E244" s="9"/>
      <c r="F244" s="25" t="s">
        <v>534</v>
      </c>
      <c r="G244" s="25"/>
      <c r="H244" s="22"/>
      <c r="I244" s="16" t="s">
        <v>29</v>
      </c>
      <c r="J244" s="23" t="s">
        <v>365</v>
      </c>
      <c r="K244" s="17"/>
      <c r="L244" s="16">
        <v>3.0</v>
      </c>
      <c r="M244" s="18">
        <f>IFNA( VLOOKUP(LEFT(F244, IFERROR(FIND(" ", F244, 1),1) - 1), lists!$A$31:$B$37, 2, FALSE),"")</f>
        <v>3</v>
      </c>
      <c r="N244" s="18" t="str">
        <f>IFERROR(__xludf.DUMMYFUNCTION("IFNA(VLOOKUP(IFNA(REGEXEXTRACT(F244, ""(Пасхи|50-ці|посту)""),""""),lists!$A$39:$B$41,2,FALSE),"""")"),"pentecost")</f>
        <v>pentecost</v>
      </c>
      <c r="O244" s="19" t="str">
        <f>IFERROR(__xludf.DUMMYFUNCTION("IFNA(REGEXEXTRACT(F244, ""\d{1,2}""),"""")"),"15")</f>
        <v>15</v>
      </c>
      <c r="P244" s="20" t="b">
        <f t="shared" si="3"/>
        <v>0</v>
      </c>
    </row>
    <row r="245">
      <c r="A245" s="9" t="s">
        <v>535</v>
      </c>
      <c r="B245" s="9" t="str">
        <f t="shared" si="1"/>
        <v>Гал.</v>
      </c>
      <c r="C245" s="10" t="s">
        <v>17</v>
      </c>
      <c r="D245" s="11" t="str">
        <f t="shared" si="2"/>
        <v>208</v>
      </c>
      <c r="E245" s="12" t="s">
        <v>18</v>
      </c>
      <c r="F245" s="25" t="s">
        <v>536</v>
      </c>
      <c r="G245" s="14"/>
      <c r="H245" s="22"/>
      <c r="I245" s="16" t="s">
        <v>29</v>
      </c>
      <c r="J245" s="23" t="s">
        <v>365</v>
      </c>
      <c r="K245" s="17"/>
      <c r="L245" s="16">
        <v>4.0</v>
      </c>
      <c r="M245" s="18">
        <f>IFNA( VLOOKUP(LEFT(F245, IFERROR(FIND(" ", F245, 1),1) - 1), lists!$A$31:$B$37, 2, FALSE),"")</f>
        <v>4</v>
      </c>
      <c r="N245" s="18" t="str">
        <f>IFERROR(__xludf.DUMMYFUNCTION("IFNA(VLOOKUP(IFNA(REGEXEXTRACT(F245, ""(Пасхи|50-ці|посту)""),""""),lists!$A$39:$B$41,2,FALSE),"""")"),"pentecost")</f>
        <v>pentecost</v>
      </c>
      <c r="O245" s="19" t="str">
        <f>IFERROR(__xludf.DUMMYFUNCTION("IFNA(REGEXEXTRACT(F245, ""\d{1,2}""),"""")"),"15")</f>
        <v>15</v>
      </c>
      <c r="P245" s="20" t="b">
        <f t="shared" si="3"/>
        <v>0</v>
      </c>
    </row>
    <row r="246">
      <c r="A246" s="9" t="s">
        <v>537</v>
      </c>
      <c r="B246" s="9" t="str">
        <f t="shared" si="1"/>
        <v>Гал.</v>
      </c>
      <c r="C246" s="10" t="s">
        <v>17</v>
      </c>
      <c r="D246" s="11" t="str">
        <f t="shared" si="2"/>
        <v>208</v>
      </c>
      <c r="E246" s="12" t="s">
        <v>22</v>
      </c>
      <c r="F246" s="21" t="s">
        <v>538</v>
      </c>
      <c r="G246" s="14"/>
      <c r="H246" s="15" t="s">
        <v>70</v>
      </c>
      <c r="I246" s="16" t="s">
        <v>71</v>
      </c>
      <c r="J246" s="23" t="s">
        <v>71</v>
      </c>
      <c r="K246" s="17"/>
      <c r="L246" s="16" t="s">
        <v>71</v>
      </c>
      <c r="M246" s="18" t="str">
        <f>IFNA( VLOOKUP(LEFT(F246, IFERROR(FIND(" ", F246, 1),1) - 1), lists!$A$31:$B$37, 2, FALSE),"")</f>
        <v/>
      </c>
      <c r="N246" s="18" t="str">
        <f>IFERROR(__xludf.DUMMYFUNCTION("IFNA(VLOOKUP(IFNA(REGEXEXTRACT(F246, ""(Пасхи|50-ці|посту)""),""""),lists!$A$39:$B$41,2,FALSE),"""")"),"")</f>
        <v/>
      </c>
      <c r="O246" s="19" t="str">
        <f>IFERROR(__xludf.DUMMYFUNCTION("IFNA(REGEXEXTRACT(F246, ""\d{1,2}""),"""")"),"")</f>
        <v/>
      </c>
      <c r="P246" s="20" t="b">
        <f t="shared" si="3"/>
        <v>0</v>
      </c>
    </row>
    <row r="247">
      <c r="A247" s="9" t="s">
        <v>539</v>
      </c>
      <c r="B247" s="9" t="str">
        <f t="shared" si="1"/>
        <v>Гал.</v>
      </c>
      <c r="C247" s="10" t="s">
        <v>17</v>
      </c>
      <c r="D247" s="11" t="str">
        <f t="shared" si="2"/>
        <v>209</v>
      </c>
      <c r="E247" s="9"/>
      <c r="F247" s="21" t="s">
        <v>540</v>
      </c>
      <c r="G247" s="14"/>
      <c r="H247" s="15" t="s">
        <v>70</v>
      </c>
      <c r="I247" s="16" t="s">
        <v>71</v>
      </c>
      <c r="J247" s="23" t="s">
        <v>71</v>
      </c>
      <c r="K247" s="17"/>
      <c r="L247" s="16" t="s">
        <v>71</v>
      </c>
      <c r="M247" s="18" t="str">
        <f>IFNA( VLOOKUP(LEFT(F247, IFERROR(FIND(" ", F247, 1),1) - 1), lists!$A$31:$B$37, 2, FALSE),"")</f>
        <v/>
      </c>
      <c r="N247" s="18" t="str">
        <f>IFERROR(__xludf.DUMMYFUNCTION("IFNA(VLOOKUP(IFNA(REGEXEXTRACT(F247, ""(Пасхи|50-ці|посту)""),""""),lists!$A$39:$B$41,2,FALSE),"""")"),"")</f>
        <v/>
      </c>
      <c r="O247" s="19" t="str">
        <f>IFERROR(__xludf.DUMMYFUNCTION("IFNA(REGEXEXTRACT(F247, ""\d{1,2}""),"""")"),"")</f>
        <v/>
      </c>
      <c r="P247" s="20" t="b">
        <f t="shared" si="3"/>
        <v>0</v>
      </c>
    </row>
    <row r="248">
      <c r="A248" s="9" t="s">
        <v>541</v>
      </c>
      <c r="B248" s="9" t="str">
        <f t="shared" si="1"/>
        <v>Гал.</v>
      </c>
      <c r="C248" s="10" t="s">
        <v>17</v>
      </c>
      <c r="D248" s="11" t="str">
        <f t="shared" si="2"/>
        <v>210</v>
      </c>
      <c r="E248" s="12" t="s">
        <v>18</v>
      </c>
      <c r="F248" s="25" t="s">
        <v>542</v>
      </c>
      <c r="G248" s="14"/>
      <c r="H248" s="22"/>
      <c r="I248" s="16" t="s">
        <v>29</v>
      </c>
      <c r="J248" s="23" t="s">
        <v>365</v>
      </c>
      <c r="K248" s="17"/>
      <c r="L248" s="16">
        <v>5.0</v>
      </c>
      <c r="M248" s="18">
        <f>IFNA( VLOOKUP(LEFT(F248, IFERROR(FIND(" ", F248, 1),1) - 1), lists!$A$31:$B$37, 2, FALSE),"")</f>
        <v>5</v>
      </c>
      <c r="N248" s="18" t="str">
        <f>IFERROR(__xludf.DUMMYFUNCTION("IFNA(VLOOKUP(IFNA(REGEXEXTRACT(F248, ""(Пасхи|50-ці|посту)""),""""),lists!$A$39:$B$41,2,FALSE),"""")"),"pentecost")</f>
        <v>pentecost</v>
      </c>
      <c r="O248" s="19" t="str">
        <f>IFERROR(__xludf.DUMMYFUNCTION("IFNA(REGEXEXTRACT(F248, ""\d{1,2}""),"""")"),"15")</f>
        <v>15</v>
      </c>
      <c r="P248" s="20" t="b">
        <f t="shared" si="3"/>
        <v>0</v>
      </c>
    </row>
    <row r="249">
      <c r="A249" s="9" t="s">
        <v>543</v>
      </c>
      <c r="B249" s="9" t="str">
        <f t="shared" si="1"/>
        <v>Гал.</v>
      </c>
      <c r="C249" s="10" t="s">
        <v>17</v>
      </c>
      <c r="D249" s="11" t="str">
        <f t="shared" si="2"/>
        <v>210</v>
      </c>
      <c r="E249" s="12" t="s">
        <v>22</v>
      </c>
      <c r="F249" s="21" t="s">
        <v>544</v>
      </c>
      <c r="G249" s="14"/>
      <c r="H249" s="15" t="s">
        <v>70</v>
      </c>
      <c r="I249" s="16" t="s">
        <v>71</v>
      </c>
      <c r="J249" s="23" t="s">
        <v>315</v>
      </c>
      <c r="K249" s="17"/>
      <c r="L249" s="16" t="s">
        <v>71</v>
      </c>
      <c r="M249" s="18" t="str">
        <f>IFNA( VLOOKUP(LEFT(F249, IFERROR(FIND(" ", F249, 1),1) - 1), lists!$A$31:$B$37, 2, FALSE),"")</f>
        <v/>
      </c>
      <c r="N249" s="18" t="str">
        <f>IFERROR(__xludf.DUMMYFUNCTION("IFNA(VLOOKUP(IFNA(REGEXEXTRACT(F249, ""(Пасхи|50-ці|посту)""),""""),lists!$A$39:$B$41,2,FALSE),"""")"),"")</f>
        <v/>
      </c>
      <c r="O249" s="19" t="str">
        <f>IFERROR(__xludf.DUMMYFUNCTION("IFNA(REGEXEXTRACT(F249, ""\d{1,2}""),"""")"),"9")</f>
        <v>9</v>
      </c>
      <c r="P249" s="20" t="b">
        <f t="shared" si="3"/>
        <v>0</v>
      </c>
    </row>
    <row r="250">
      <c r="A250" s="12" t="s">
        <v>545</v>
      </c>
      <c r="B250" s="9" t="str">
        <f t="shared" si="1"/>
        <v>Гал.</v>
      </c>
      <c r="C250" s="10" t="s">
        <v>17</v>
      </c>
      <c r="D250" s="11" t="str">
        <f t="shared" si="2"/>
        <v>210</v>
      </c>
      <c r="E250" s="12" t="s">
        <v>116</v>
      </c>
      <c r="F250" s="25" t="s">
        <v>546</v>
      </c>
      <c r="G250" s="14"/>
      <c r="H250" s="15" t="s">
        <v>70</v>
      </c>
      <c r="I250" s="16" t="s">
        <v>71</v>
      </c>
      <c r="J250" s="23" t="s">
        <v>71</v>
      </c>
      <c r="K250" s="17"/>
      <c r="L250" s="16" t="s">
        <v>71</v>
      </c>
      <c r="M250" s="18" t="str">
        <f>IFNA( VLOOKUP(LEFT(F250, IFERROR(FIND(" ", F250, 1),1) - 1), lists!$A$31:$B$37, 2, FALSE),"")</f>
        <v/>
      </c>
      <c r="N250" s="18" t="str">
        <f>IFERROR(__xludf.DUMMYFUNCTION("IFNA(VLOOKUP(IFNA(REGEXEXTRACT(F250, ""(Пасхи|50-ці|посту)""),""""),lists!$A$39:$B$41,2,FALSE),"""")"),"")</f>
        <v/>
      </c>
      <c r="O250" s="19" t="str">
        <f>IFERROR(__xludf.DUMMYFUNCTION("IFNA(REGEXEXTRACT(F250, ""\d{1,2}""),"""")"),"")</f>
        <v/>
      </c>
      <c r="P250" s="20" t="b">
        <f t="shared" si="3"/>
        <v>0</v>
      </c>
    </row>
    <row r="251">
      <c r="A251" s="9" t="s">
        <v>547</v>
      </c>
      <c r="B251" s="9" t="str">
        <f t="shared" si="1"/>
        <v>Гал.</v>
      </c>
      <c r="C251" s="10" t="s">
        <v>17</v>
      </c>
      <c r="D251" s="11" t="str">
        <f t="shared" si="2"/>
        <v>211</v>
      </c>
      <c r="E251" s="9"/>
      <c r="F251" s="25" t="s">
        <v>548</v>
      </c>
      <c r="G251" s="14"/>
      <c r="H251" s="22"/>
      <c r="I251" s="16" t="s">
        <v>29</v>
      </c>
      <c r="J251" s="23" t="s">
        <v>399</v>
      </c>
      <c r="K251" s="17"/>
      <c r="L251" s="16">
        <v>1.0</v>
      </c>
      <c r="M251" s="18">
        <f>IFNA( VLOOKUP(LEFT(F251, IFERROR(FIND(" ", F251, 1),1) - 1), lists!$A$31:$B$37, 2, FALSE),"")</f>
        <v>1</v>
      </c>
      <c r="N251" s="18" t="str">
        <f>IFERROR(__xludf.DUMMYFUNCTION("IFNA(VLOOKUP(IFNA(REGEXEXTRACT(F251, ""(Пасхи|50-ці|посту)""),""""),lists!$A$39:$B$41,2,FALSE),"""")"),"pentecost")</f>
        <v>pentecost</v>
      </c>
      <c r="O251" s="19" t="str">
        <f>IFERROR(__xludf.DUMMYFUNCTION("IFNA(REGEXEXTRACT(F251, ""\d{1,2}""),"""")"),"16")</f>
        <v>16</v>
      </c>
      <c r="P251" s="20" t="b">
        <f t="shared" si="3"/>
        <v>0</v>
      </c>
    </row>
    <row r="252">
      <c r="A252" s="9" t="s">
        <v>549</v>
      </c>
      <c r="B252" s="9" t="str">
        <f t="shared" si="1"/>
        <v>Гал.</v>
      </c>
      <c r="C252" s="10" t="s">
        <v>17</v>
      </c>
      <c r="D252" s="11" t="str">
        <f t="shared" si="2"/>
        <v>212</v>
      </c>
      <c r="E252" s="9"/>
      <c r="F252" s="25" t="s">
        <v>550</v>
      </c>
      <c r="G252" s="14"/>
      <c r="H252" s="22"/>
      <c r="I252" s="16" t="s">
        <v>29</v>
      </c>
      <c r="J252" s="23" t="s">
        <v>399</v>
      </c>
      <c r="K252" s="17"/>
      <c r="L252" s="16">
        <v>2.0</v>
      </c>
      <c r="M252" s="18">
        <f>IFNA( VLOOKUP(LEFT(F252, IFERROR(FIND(" ", F252, 1),1) - 1), lists!$A$31:$B$37, 2, FALSE),"")</f>
        <v>2</v>
      </c>
      <c r="N252" s="18" t="str">
        <f>IFERROR(__xludf.DUMMYFUNCTION("IFNA(VLOOKUP(IFNA(REGEXEXTRACT(F252, ""(Пасхи|50-ці|посту)""),""""),lists!$A$39:$B$41,2,FALSE),"""")"),"pentecost")</f>
        <v>pentecost</v>
      </c>
      <c r="O252" s="19" t="str">
        <f>IFERROR(__xludf.DUMMYFUNCTION("IFNA(REGEXEXTRACT(F252, ""\d{1,2}""),"""")"),"16")</f>
        <v>16</v>
      </c>
      <c r="P252" s="20" t="b">
        <f t="shared" si="3"/>
        <v>0</v>
      </c>
    </row>
    <row r="253">
      <c r="A253" s="9" t="s">
        <v>551</v>
      </c>
      <c r="B253" s="9" t="str">
        <f t="shared" si="1"/>
        <v>Гал.</v>
      </c>
      <c r="C253" s="10" t="s">
        <v>17</v>
      </c>
      <c r="D253" s="11" t="str">
        <f t="shared" si="2"/>
        <v>213</v>
      </c>
      <c r="E253" s="9"/>
      <c r="F253" s="27" t="s">
        <v>552</v>
      </c>
      <c r="G253" s="14"/>
      <c r="H253" s="22"/>
      <c r="I253" s="16" t="s">
        <v>29</v>
      </c>
      <c r="J253" s="23" t="s">
        <v>553</v>
      </c>
      <c r="K253" s="17"/>
      <c r="L253" s="16">
        <v>6.0</v>
      </c>
      <c r="M253" s="18">
        <f>IFNA( VLOOKUP(LEFT(F253, IFERROR(FIND(" ", F253, 1),1) - 1), lists!$A$31:$B$37, 2, FALSE),"")</f>
        <v>6</v>
      </c>
      <c r="N253" s="18" t="str">
        <f>IFERROR(__xludf.DUMMYFUNCTION("IFNA(VLOOKUP(IFNA(REGEXEXTRACT(F253, ""(Пасхи|50-ці|посту)""),""""),lists!$A$39:$B$41,2,FALSE),"""")"),"pentecost")</f>
        <v>pentecost</v>
      </c>
      <c r="O253" s="19" t="str">
        <f>IFERROR(__xludf.DUMMYFUNCTION("IFNA(REGEXEXTRACT(F253, ""\d{1,2}""),"""")"),"27")</f>
        <v>27</v>
      </c>
      <c r="P253" s="20" t="b">
        <f t="shared" si="3"/>
        <v>0</v>
      </c>
    </row>
    <row r="254">
      <c r="A254" s="9" t="s">
        <v>554</v>
      </c>
      <c r="B254" s="9" t="str">
        <f t="shared" si="1"/>
        <v>Гал.</v>
      </c>
      <c r="C254" s="10" t="s">
        <v>17</v>
      </c>
      <c r="D254" s="11" t="str">
        <f t="shared" si="2"/>
        <v>214</v>
      </c>
      <c r="E254" s="9"/>
      <c r="F254" s="25" t="s">
        <v>555</v>
      </c>
      <c r="G254" s="14"/>
      <c r="H254" s="22"/>
      <c r="I254" s="16" t="s">
        <v>29</v>
      </c>
      <c r="J254" s="23" t="s">
        <v>399</v>
      </c>
      <c r="K254" s="17"/>
      <c r="L254" s="16">
        <v>3.0</v>
      </c>
      <c r="M254" s="18">
        <f>IFNA( VLOOKUP(LEFT(F254, IFERROR(FIND(" ", F254, 1),1) - 1), lists!$A$31:$B$37, 2, FALSE),"")</f>
        <v>3</v>
      </c>
      <c r="N254" s="18" t="str">
        <f>IFERROR(__xludf.DUMMYFUNCTION("IFNA(VLOOKUP(IFNA(REGEXEXTRACT(F254, ""(Пасхи|50-ці|посту)""),""""),lists!$A$39:$B$41,2,FALSE),"""")"),"pentecost")</f>
        <v>pentecost</v>
      </c>
      <c r="O254" s="19" t="str">
        <f>IFERROR(__xludf.DUMMYFUNCTION("IFNA(REGEXEXTRACT(F254, ""\d{1,2}""),"""")"),"16")</f>
        <v>16</v>
      </c>
      <c r="P254" s="20" t="b">
        <f t="shared" si="3"/>
        <v>0</v>
      </c>
    </row>
    <row r="255">
      <c r="A255" s="9" t="s">
        <v>556</v>
      </c>
      <c r="B255" s="9" t="str">
        <f t="shared" si="1"/>
        <v>Гал.</v>
      </c>
      <c r="C255" s="10" t="s">
        <v>17</v>
      </c>
      <c r="D255" s="11" t="str">
        <f t="shared" si="2"/>
        <v>215</v>
      </c>
      <c r="E255" s="26" t="s">
        <v>18</v>
      </c>
      <c r="F255" s="27" t="s">
        <v>557</v>
      </c>
      <c r="G255" s="14"/>
      <c r="H255" s="22"/>
      <c r="I255" s="16" t="s">
        <v>29</v>
      </c>
      <c r="J255" s="23" t="s">
        <v>470</v>
      </c>
      <c r="K255" s="17"/>
      <c r="L255" s="16">
        <v>7.0</v>
      </c>
      <c r="M255" s="18">
        <f>IFNA( VLOOKUP(LEFT(F255, IFERROR(FIND(" ", F255, 1),1) - 1), lists!$A$31:$B$37, 2, FALSE),"")</f>
        <v>7</v>
      </c>
      <c r="N255" s="18" t="str">
        <f>IFERROR(__xludf.DUMMYFUNCTION("IFNA(VLOOKUP(IFNA(REGEXEXTRACT(F255, ""(Пасхи|50-ці|посту)""),""""),lists!$A$39:$B$41,2,FALSE),"""")"),"pentecost")</f>
        <v>pentecost</v>
      </c>
      <c r="O255" s="19" t="str">
        <f>IFERROR(__xludf.DUMMYFUNCTION("IFNA(REGEXEXTRACT(F255, ""\d{1,2}""),"""")"),"22")</f>
        <v>22</v>
      </c>
      <c r="P255" s="20" t="b">
        <f t="shared" si="3"/>
        <v>0</v>
      </c>
    </row>
    <row r="256">
      <c r="A256" s="9" t="s">
        <v>558</v>
      </c>
      <c r="B256" s="9" t="str">
        <f t="shared" si="1"/>
        <v>Гал.</v>
      </c>
      <c r="C256" s="10" t="s">
        <v>17</v>
      </c>
      <c r="D256" s="11" t="str">
        <f t="shared" si="2"/>
        <v>215</v>
      </c>
      <c r="E256" s="26" t="s">
        <v>22</v>
      </c>
      <c r="F256" s="27" t="s">
        <v>559</v>
      </c>
      <c r="G256" s="14"/>
      <c r="H256" s="15" t="s">
        <v>532</v>
      </c>
      <c r="I256" s="16" t="s">
        <v>71</v>
      </c>
      <c r="J256" s="23" t="s">
        <v>166</v>
      </c>
      <c r="K256" s="17"/>
      <c r="L256" s="16" t="s">
        <v>71</v>
      </c>
      <c r="M256" s="18" t="str">
        <f>IFNA( VLOOKUP(LEFT(F256, IFERROR(FIND(" ", F256, 1),1) - 1), lists!$A$31:$B$37, 2, FALSE),"")</f>
        <v/>
      </c>
      <c r="N256" s="18" t="str">
        <f>IFERROR(__xludf.DUMMYFUNCTION("IFNA(VLOOKUP(IFNA(REGEXEXTRACT(F256, ""(Пасхи|50-ці|посту)""),""""),lists!$A$39:$B$41,2,FALSE),"""")"),"")</f>
        <v/>
      </c>
      <c r="O256" s="19" t="str">
        <f>IFERROR(__xludf.DUMMYFUNCTION("IFNA(REGEXEXTRACT(F256, ""\d{1,2}""),"""")"),"1")</f>
        <v>1</v>
      </c>
      <c r="P256" s="20" t="b">
        <f t="shared" si="3"/>
        <v>0</v>
      </c>
    </row>
    <row r="257">
      <c r="A257" s="9" t="s">
        <v>560</v>
      </c>
      <c r="B257" s="9" t="str">
        <f t="shared" si="1"/>
        <v>Еф.</v>
      </c>
      <c r="C257" s="10" t="s">
        <v>17</v>
      </c>
      <c r="D257" s="11" t="str">
        <f t="shared" si="2"/>
        <v>216</v>
      </c>
      <c r="E257" s="9"/>
      <c r="F257" s="25" t="s">
        <v>561</v>
      </c>
      <c r="G257" s="14"/>
      <c r="H257" s="22"/>
      <c r="I257" s="16" t="s">
        <v>29</v>
      </c>
      <c r="J257" s="23" t="s">
        <v>399</v>
      </c>
      <c r="K257" s="17"/>
      <c r="L257" s="16">
        <v>4.0</v>
      </c>
      <c r="M257" s="18">
        <f>IFNA( VLOOKUP(LEFT(F257, IFERROR(FIND(" ", F257, 1),1) - 1), lists!$A$31:$B$37, 2, FALSE),"")</f>
        <v>4</v>
      </c>
      <c r="N257" s="18" t="str">
        <f>IFERROR(__xludf.DUMMYFUNCTION("IFNA(VLOOKUP(IFNA(REGEXEXTRACT(F257, ""(Пасхи|50-ці|посту)""),""""),lists!$A$39:$B$41,2,FALSE),"""")"),"pentecost")</f>
        <v>pentecost</v>
      </c>
      <c r="O257" s="19" t="str">
        <f>IFERROR(__xludf.DUMMYFUNCTION("IFNA(REGEXEXTRACT(F257, ""\d{1,2}""),"""")"),"16")</f>
        <v>16</v>
      </c>
      <c r="P257" s="20" t="b">
        <f t="shared" si="3"/>
        <v>0</v>
      </c>
    </row>
    <row r="258">
      <c r="A258" s="9" t="s">
        <v>562</v>
      </c>
      <c r="B258" s="9" t="str">
        <f t="shared" si="1"/>
        <v>Еф.</v>
      </c>
      <c r="C258" s="10" t="s">
        <v>17</v>
      </c>
      <c r="D258" s="11" t="str">
        <f t="shared" si="2"/>
        <v>217</v>
      </c>
      <c r="E258" s="9"/>
      <c r="F258" s="25" t="s">
        <v>563</v>
      </c>
      <c r="G258" s="14"/>
      <c r="H258" s="22"/>
      <c r="I258" s="16" t="s">
        <v>29</v>
      </c>
      <c r="J258" s="23" t="s">
        <v>399</v>
      </c>
      <c r="K258" s="17"/>
      <c r="L258" s="16">
        <v>5.0</v>
      </c>
      <c r="M258" s="18">
        <f>IFNA( VLOOKUP(LEFT(F258, IFERROR(FIND(" ", F258, 1),1) - 1), lists!$A$31:$B$37, 2, FALSE),"")</f>
        <v>5</v>
      </c>
      <c r="N258" s="18" t="str">
        <f>IFERROR(__xludf.DUMMYFUNCTION("IFNA(VLOOKUP(IFNA(REGEXEXTRACT(F258, ""(Пасхи|50-ці|посту)""),""""),lists!$A$39:$B$41,2,FALSE),"""")"),"pentecost")</f>
        <v>pentecost</v>
      </c>
      <c r="O258" s="19" t="str">
        <f>IFERROR(__xludf.DUMMYFUNCTION("IFNA(REGEXEXTRACT(F258, ""\d{1,2}""),"""")"),"16")</f>
        <v>16</v>
      </c>
      <c r="P258" s="20" t="b">
        <f t="shared" si="3"/>
        <v>0</v>
      </c>
    </row>
    <row r="259">
      <c r="A259" s="9" t="s">
        <v>564</v>
      </c>
      <c r="B259" s="9" t="str">
        <f t="shared" si="1"/>
        <v>Еф.</v>
      </c>
      <c r="C259" s="10" t="s">
        <v>17</v>
      </c>
      <c r="D259" s="11" t="str">
        <f t="shared" si="2"/>
        <v>218</v>
      </c>
      <c r="E259" s="9"/>
      <c r="F259" s="21" t="s">
        <v>565</v>
      </c>
      <c r="G259" s="14"/>
      <c r="H259" s="22"/>
      <c r="I259" s="16" t="s">
        <v>29</v>
      </c>
      <c r="J259" s="23" t="s">
        <v>278</v>
      </c>
      <c r="K259" s="17"/>
      <c r="L259" s="16">
        <v>6.0</v>
      </c>
      <c r="M259" s="18">
        <f>IFNA( VLOOKUP(LEFT(F259, IFERROR(FIND(" ", F259, 1),1) - 1), lists!$A$31:$B$37, 2, FALSE),"")</f>
        <v>6</v>
      </c>
      <c r="N259" s="18" t="str">
        <f>IFERROR(__xludf.DUMMYFUNCTION("IFNA(VLOOKUP(IFNA(REGEXEXTRACT(F259, ""(Пасхи|50-ці|посту)""),""""),lists!$A$39:$B$41,2,FALSE),"""")"),"pentecost")</f>
        <v>pentecost</v>
      </c>
      <c r="O259" s="19" t="str">
        <f>IFERROR(__xludf.DUMMYFUNCTION("IFNA(REGEXEXTRACT(F259, ""\d{1,2}""),"""")"),"28")</f>
        <v>28</v>
      </c>
      <c r="P259" s="20" t="b">
        <f t="shared" si="3"/>
        <v>0</v>
      </c>
    </row>
    <row r="260">
      <c r="A260" s="9" t="s">
        <v>566</v>
      </c>
      <c r="B260" s="9" t="str">
        <f t="shared" si="1"/>
        <v>Еф.</v>
      </c>
      <c r="C260" s="10" t="s">
        <v>17</v>
      </c>
      <c r="D260" s="11" t="str">
        <f t="shared" si="2"/>
        <v>219</v>
      </c>
      <c r="E260" s="9"/>
      <c r="F260" s="25" t="s">
        <v>567</v>
      </c>
      <c r="G260" s="14"/>
      <c r="H260" s="22"/>
      <c r="I260" s="16" t="s">
        <v>29</v>
      </c>
      <c r="J260" s="23" t="s">
        <v>410</v>
      </c>
      <c r="K260" s="17"/>
      <c r="L260" s="16">
        <v>1.0</v>
      </c>
      <c r="M260" s="18">
        <f>IFNA( VLOOKUP(LEFT(F260, IFERROR(FIND(" ", F260, 1),1) - 1), lists!$A$31:$B$37, 2, FALSE),"")</f>
        <v>1</v>
      </c>
      <c r="N260" s="18" t="str">
        <f>IFERROR(__xludf.DUMMYFUNCTION("IFNA(VLOOKUP(IFNA(REGEXEXTRACT(F260, ""(Пасхи|50-ці|посту)""),""""),lists!$A$39:$B$41,2,FALSE),"""")"),"pentecost")</f>
        <v>pentecost</v>
      </c>
      <c r="O260" s="19" t="str">
        <f>IFERROR(__xludf.DUMMYFUNCTION("IFNA(REGEXEXTRACT(F260, ""\d{1,2}""),"""")"),"17")</f>
        <v>17</v>
      </c>
      <c r="P260" s="20" t="b">
        <f t="shared" si="3"/>
        <v>0</v>
      </c>
    </row>
    <row r="261">
      <c r="A261" s="9" t="s">
        <v>568</v>
      </c>
      <c r="B261" s="9" t="str">
        <f t="shared" si="1"/>
        <v>Еф.</v>
      </c>
      <c r="C261" s="10" t="s">
        <v>17</v>
      </c>
      <c r="D261" s="11" t="str">
        <f t="shared" si="2"/>
        <v>220</v>
      </c>
      <c r="E261" s="12" t="s">
        <v>18</v>
      </c>
      <c r="F261" s="25" t="s">
        <v>569</v>
      </c>
      <c r="G261" s="14"/>
      <c r="H261" s="22"/>
      <c r="I261" s="16" t="s">
        <v>29</v>
      </c>
      <c r="J261" s="23" t="s">
        <v>487</v>
      </c>
      <c r="K261" s="17"/>
      <c r="L261" s="16">
        <v>7.0</v>
      </c>
      <c r="M261" s="18">
        <f>IFNA( VLOOKUP(LEFT(F261, IFERROR(FIND(" ", F261, 1),1) - 1), lists!$A$31:$B$37, 2, FALSE),"")</f>
        <v>7</v>
      </c>
      <c r="N261" s="18" t="str">
        <f>IFERROR(__xludf.DUMMYFUNCTION("IFNA(VLOOKUP(IFNA(REGEXEXTRACT(F261, ""(Пасхи|50-ці|посту)""),""""),lists!$A$39:$B$41,2,FALSE),"""")"),"pentecost")</f>
        <v>pentecost</v>
      </c>
      <c r="O261" s="19" t="str">
        <f>IFERROR(__xludf.DUMMYFUNCTION("IFNA(REGEXEXTRACT(F261, ""\d{1,2}""),"""")"),"23")</f>
        <v>23</v>
      </c>
      <c r="P261" s="20" t="b">
        <f t="shared" si="3"/>
        <v>0</v>
      </c>
    </row>
    <row r="262">
      <c r="A262" s="9" t="s">
        <v>570</v>
      </c>
      <c r="B262" s="9" t="str">
        <f t="shared" si="1"/>
        <v>Еф.</v>
      </c>
      <c r="C262" s="10" t="s">
        <v>17</v>
      </c>
      <c r="D262" s="11" t="str">
        <f t="shared" si="2"/>
        <v>220</v>
      </c>
      <c r="E262" s="12" t="s">
        <v>22</v>
      </c>
      <c r="F262" s="25" t="s">
        <v>571</v>
      </c>
      <c r="G262" s="14"/>
      <c r="H262" s="22"/>
      <c r="I262" s="16" t="s">
        <v>29</v>
      </c>
      <c r="J262" s="23" t="s">
        <v>572</v>
      </c>
      <c r="K262" s="17"/>
      <c r="L262" s="16">
        <v>6.0</v>
      </c>
      <c r="M262" s="18">
        <f>IFNA( VLOOKUP(LEFT(F262, IFERROR(FIND(" ", F262, 1),1) - 1), lists!$A$31:$B$37, 2, FALSE),"")</f>
        <v>6</v>
      </c>
      <c r="N262" s="18" t="str">
        <f>IFERROR(__xludf.DUMMYFUNCTION("IFNA(VLOOKUP(IFNA(REGEXEXTRACT(F262, ""(Пасхи|50-ці|посту)""),""""),lists!$A$39:$B$41,2,FALSE),"""")"),"pentecost")</f>
        <v>pentecost</v>
      </c>
      <c r="O262" s="19" t="str">
        <f>IFERROR(__xludf.DUMMYFUNCTION("IFNA(REGEXEXTRACT(F262, ""\d{1,2}""),"""")"),"29")</f>
        <v>29</v>
      </c>
      <c r="P262" s="20" t="b">
        <f t="shared" si="3"/>
        <v>0</v>
      </c>
    </row>
    <row r="263">
      <c r="A263" s="9" t="s">
        <v>573</v>
      </c>
      <c r="B263" s="9" t="str">
        <f t="shared" si="1"/>
        <v>Еф.</v>
      </c>
      <c r="C263" s="10" t="s">
        <v>17</v>
      </c>
      <c r="D263" s="11" t="str">
        <f t="shared" si="2"/>
        <v>221</v>
      </c>
      <c r="E263" s="9"/>
      <c r="F263" s="25" t="s">
        <v>574</v>
      </c>
      <c r="G263" s="14"/>
      <c r="H263" s="22"/>
      <c r="I263" s="16" t="s">
        <v>29</v>
      </c>
      <c r="J263" s="23" t="s">
        <v>500</v>
      </c>
      <c r="K263" s="17"/>
      <c r="L263" s="16">
        <v>7.0</v>
      </c>
      <c r="M263" s="18">
        <f>IFNA( VLOOKUP(LEFT(F263, IFERROR(FIND(" ", F263, 1),1) - 1), lists!$A$31:$B$37, 2, FALSE),"")</f>
        <v>7</v>
      </c>
      <c r="N263" s="18" t="str">
        <f>IFERROR(__xludf.DUMMYFUNCTION("IFNA(VLOOKUP(IFNA(REGEXEXTRACT(F263, ""(Пасхи|50-ці|посту)""),""""),lists!$A$39:$B$41,2,FALSE),"""")"),"pentecost")</f>
        <v>pentecost</v>
      </c>
      <c r="O263" s="19" t="str">
        <f>IFERROR(__xludf.DUMMYFUNCTION("IFNA(REGEXEXTRACT(F263, ""\d{1,2}""),"""")"),"24")</f>
        <v>24</v>
      </c>
      <c r="P263" s="20" t="b">
        <f t="shared" si="3"/>
        <v>0</v>
      </c>
    </row>
    <row r="264">
      <c r="A264" s="9" t="s">
        <v>575</v>
      </c>
      <c r="B264" s="9" t="str">
        <f t="shared" si="1"/>
        <v>Еф.</v>
      </c>
      <c r="C264" s="10" t="s">
        <v>17</v>
      </c>
      <c r="D264" s="11" t="str">
        <f t="shared" si="2"/>
        <v>222</v>
      </c>
      <c r="E264" s="9"/>
      <c r="F264" s="25" t="s">
        <v>576</v>
      </c>
      <c r="G264" s="14"/>
      <c r="H264" s="22"/>
      <c r="I264" s="16" t="s">
        <v>29</v>
      </c>
      <c r="J264" s="23" t="s">
        <v>410</v>
      </c>
      <c r="K264" s="17"/>
      <c r="L264" s="16">
        <v>2.0</v>
      </c>
      <c r="M264" s="18">
        <f>IFNA( VLOOKUP(LEFT(F264, IFERROR(FIND(" ", F264, 1),1) - 1), lists!$A$31:$B$37, 2, FALSE),"")</f>
        <v>2</v>
      </c>
      <c r="N264" s="18" t="str">
        <f>IFERROR(__xludf.DUMMYFUNCTION("IFNA(VLOOKUP(IFNA(REGEXEXTRACT(F264, ""(Пасхи|50-ці|посту)""),""""),lists!$A$39:$B$41,2,FALSE),"""")"),"pentecost")</f>
        <v>pentecost</v>
      </c>
      <c r="O264" s="19" t="str">
        <f>IFERROR(__xludf.DUMMYFUNCTION("IFNA(REGEXEXTRACT(F264, ""\d{1,2}""),"""")"),"17")</f>
        <v>17</v>
      </c>
      <c r="P264" s="20" t="b">
        <f t="shared" si="3"/>
        <v>0</v>
      </c>
    </row>
    <row r="265">
      <c r="A265" s="9" t="s">
        <v>577</v>
      </c>
      <c r="B265" s="9" t="str">
        <f t="shared" si="1"/>
        <v>Еф.</v>
      </c>
      <c r="C265" s="10" t="s">
        <v>17</v>
      </c>
      <c r="D265" s="11" t="str">
        <f t="shared" si="2"/>
        <v>223</v>
      </c>
      <c r="E265" s="9"/>
      <c r="F265" s="25" t="s">
        <v>578</v>
      </c>
      <c r="G265" s="14"/>
      <c r="H265" s="22"/>
      <c r="I265" s="16" t="s">
        <v>29</v>
      </c>
      <c r="J265" s="23" t="s">
        <v>410</v>
      </c>
      <c r="K265" s="17"/>
      <c r="L265" s="16">
        <v>3.0</v>
      </c>
      <c r="M265" s="18">
        <f>IFNA( VLOOKUP(LEFT(F265, IFERROR(FIND(" ", F265, 1),1) - 1), lists!$A$31:$B$37, 2, FALSE),"")</f>
        <v>3</v>
      </c>
      <c r="N265" s="18" t="str">
        <f>IFERROR(__xludf.DUMMYFUNCTION("IFNA(VLOOKUP(IFNA(REGEXEXTRACT(F265, ""(Пасхи|50-ці|посту)""),""""),lists!$A$39:$B$41,2,FALSE),"""")"),"pentecost")</f>
        <v>pentecost</v>
      </c>
      <c r="O265" s="19" t="str">
        <f>IFERROR(__xludf.DUMMYFUNCTION("IFNA(REGEXEXTRACT(F265, ""\d{1,2}""),"""")"),"17")</f>
        <v>17</v>
      </c>
      <c r="P265" s="20" t="b">
        <f t="shared" si="3"/>
        <v>0</v>
      </c>
    </row>
    <row r="266">
      <c r="A266" s="9" t="s">
        <v>579</v>
      </c>
      <c r="B266" s="9" t="str">
        <f t="shared" si="1"/>
        <v>Еф.</v>
      </c>
      <c r="C266" s="10" t="s">
        <v>17</v>
      </c>
      <c r="D266" s="11" t="str">
        <f t="shared" si="2"/>
        <v>224</v>
      </c>
      <c r="E266" s="12" t="s">
        <v>18</v>
      </c>
      <c r="F266" s="27" t="s">
        <v>580</v>
      </c>
      <c r="G266" s="14"/>
      <c r="H266" s="22"/>
      <c r="I266" s="16" t="s">
        <v>29</v>
      </c>
      <c r="J266" s="23" t="s">
        <v>517</v>
      </c>
      <c r="K266" s="17"/>
      <c r="L266" s="16">
        <v>7.0</v>
      </c>
      <c r="M266" s="18">
        <f>IFNA( VLOOKUP(LEFT(F266, IFERROR(FIND(" ", F266, 1),1) - 1), lists!$A$31:$B$37, 2, FALSE),"")</f>
        <v>7</v>
      </c>
      <c r="N266" s="18" t="str">
        <f>IFERROR(__xludf.DUMMYFUNCTION("IFNA(VLOOKUP(IFNA(REGEXEXTRACT(F266, ""(Пасхи|50-ці|посту)""),""""),lists!$A$39:$B$41,2,FALSE),"""")"),"pentecost")</f>
        <v>pentecost</v>
      </c>
      <c r="O266" s="19" t="str">
        <f>IFERROR(__xludf.DUMMYFUNCTION("IFNA(REGEXEXTRACT(F266, ""\d{1,2}""),"""")"),"25")</f>
        <v>25</v>
      </c>
      <c r="P266" s="20" t="b">
        <f t="shared" si="3"/>
        <v>0</v>
      </c>
    </row>
    <row r="267">
      <c r="A267" s="9" t="s">
        <v>581</v>
      </c>
      <c r="B267" s="9" t="str">
        <f t="shared" si="1"/>
        <v>Еф.</v>
      </c>
      <c r="C267" s="10" t="s">
        <v>17</v>
      </c>
      <c r="D267" s="11" t="str">
        <f t="shared" si="2"/>
        <v>224</v>
      </c>
      <c r="E267" s="12" t="s">
        <v>22</v>
      </c>
      <c r="F267" s="27" t="s">
        <v>582</v>
      </c>
      <c r="G267" s="14"/>
      <c r="H267" s="15" t="s">
        <v>70</v>
      </c>
      <c r="I267" s="16" t="s">
        <v>71</v>
      </c>
      <c r="J267" s="23" t="s">
        <v>71</v>
      </c>
      <c r="K267" s="17"/>
      <c r="L267" s="16">
        <v>7.0</v>
      </c>
      <c r="M267" s="18">
        <f>IFNA( VLOOKUP(LEFT(F267, IFERROR(FIND(" ", F267, 1),1) - 1), lists!$A$31:$B$37, 2, FALSE),"")</f>
        <v>7</v>
      </c>
      <c r="N267" s="18" t="str">
        <f>IFERROR(__xludf.DUMMYFUNCTION("IFNA(VLOOKUP(IFNA(REGEXEXTRACT(F267, ""(Пасхи|50-ці|посту)""),""""),lists!$A$39:$B$41,2,FALSE),"""")"),"")</f>
        <v/>
      </c>
      <c r="O267" s="19" t="str">
        <f>IFERROR(__xludf.DUMMYFUNCTION("IFNA(REGEXEXTRACT(F267, ""\d{1,2}""),"""")"),"")</f>
        <v/>
      </c>
      <c r="P267" s="20" t="b">
        <f t="shared" si="3"/>
        <v>0</v>
      </c>
    </row>
    <row r="268">
      <c r="A268" s="9" t="s">
        <v>583</v>
      </c>
      <c r="B268" s="9" t="str">
        <f t="shared" si="1"/>
        <v>Еф.</v>
      </c>
      <c r="C268" s="10" t="s">
        <v>17</v>
      </c>
      <c r="D268" s="11" t="str">
        <f t="shared" si="2"/>
        <v>225</v>
      </c>
      <c r="E268" s="9"/>
      <c r="F268" s="25" t="s">
        <v>584</v>
      </c>
      <c r="G268" s="14"/>
      <c r="H268" s="22"/>
      <c r="I268" s="16" t="s">
        <v>29</v>
      </c>
      <c r="J268" s="23" t="s">
        <v>410</v>
      </c>
      <c r="K268" s="17"/>
      <c r="L268" s="16">
        <v>4.0</v>
      </c>
      <c r="M268" s="18">
        <f>IFNA( VLOOKUP(LEFT(F268, IFERROR(FIND(" ", F268, 1),1) - 1), lists!$A$31:$B$37, 2, FALSE),"")</f>
        <v>4</v>
      </c>
      <c r="N268" s="18" t="str">
        <f>IFERROR(__xludf.DUMMYFUNCTION("IFNA(VLOOKUP(IFNA(REGEXEXTRACT(F268, ""(Пасхи|50-ці|посту)""),""""),lists!$A$39:$B$41,2,FALSE),"""")"),"pentecost")</f>
        <v>pentecost</v>
      </c>
      <c r="O268" s="19" t="str">
        <f>IFERROR(__xludf.DUMMYFUNCTION("IFNA(REGEXEXTRACT(F268, ""\d{1,2}""),"""")"),"17")</f>
        <v>17</v>
      </c>
      <c r="P268" s="20" t="b">
        <f t="shared" si="3"/>
        <v>0</v>
      </c>
    </row>
    <row r="269">
      <c r="A269" s="9" t="s">
        <v>585</v>
      </c>
      <c r="B269" s="9" t="str">
        <f t="shared" si="1"/>
        <v>Еф.</v>
      </c>
      <c r="C269" s="10" t="s">
        <v>17</v>
      </c>
      <c r="D269" s="11" t="str">
        <f t="shared" si="2"/>
        <v>226</v>
      </c>
      <c r="E269" s="9"/>
      <c r="F269" s="25" t="s">
        <v>586</v>
      </c>
      <c r="G269" s="14"/>
      <c r="H269" s="22"/>
      <c r="I269" s="16" t="s">
        <v>29</v>
      </c>
      <c r="J269" s="23" t="s">
        <v>410</v>
      </c>
      <c r="K269" s="17"/>
      <c r="L269" s="16">
        <v>5.0</v>
      </c>
      <c r="M269" s="18">
        <f>IFNA( VLOOKUP(LEFT(F269, IFERROR(FIND(" ", F269, 1),1) - 1), lists!$A$31:$B$37, 2, FALSE),"")</f>
        <v>5</v>
      </c>
      <c r="N269" s="18" t="str">
        <f>IFERROR(__xludf.DUMMYFUNCTION("IFNA(VLOOKUP(IFNA(REGEXEXTRACT(F269, ""(Пасхи|50-ці|посту)""),""""),lists!$A$39:$B$41,2,FALSE),"""")"),"pentecost")</f>
        <v>pentecost</v>
      </c>
      <c r="O269" s="19" t="str">
        <f>IFERROR(__xludf.DUMMYFUNCTION("IFNA(REGEXEXTRACT(F269, ""\d{1,2}""),"""")"),"17")</f>
        <v>17</v>
      </c>
      <c r="P269" s="20" t="b">
        <f t="shared" si="3"/>
        <v>0</v>
      </c>
    </row>
    <row r="270">
      <c r="A270" s="9" t="s">
        <v>587</v>
      </c>
      <c r="B270" s="9" t="str">
        <f t="shared" si="1"/>
        <v>Еф.</v>
      </c>
      <c r="C270" s="10" t="s">
        <v>17</v>
      </c>
      <c r="D270" s="11" t="str">
        <f t="shared" si="2"/>
        <v>227</v>
      </c>
      <c r="E270" s="9"/>
      <c r="F270" s="25" t="s">
        <v>588</v>
      </c>
      <c r="G270" s="14"/>
      <c r="H270" s="22"/>
      <c r="I270" s="16" t="s">
        <v>29</v>
      </c>
      <c r="J270" s="23" t="s">
        <v>435</v>
      </c>
      <c r="K270" s="17"/>
      <c r="L270" s="16">
        <v>1.0</v>
      </c>
      <c r="M270" s="18">
        <f>IFNA( VLOOKUP(LEFT(F270, IFERROR(FIND(" ", F270, 1),1) - 1), lists!$A$31:$B$37, 2, FALSE),"")</f>
        <v>1</v>
      </c>
      <c r="N270" s="18" t="str">
        <f>IFERROR(__xludf.DUMMYFUNCTION("IFNA(VLOOKUP(IFNA(REGEXEXTRACT(F270, ""(Пасхи|50-ці|посту)""),""""),lists!$A$39:$B$41,2,FALSE),"""")"),"pentecost")</f>
        <v>pentecost</v>
      </c>
      <c r="O270" s="19" t="str">
        <f>IFERROR(__xludf.DUMMYFUNCTION("IFNA(REGEXEXTRACT(F270, ""\d{1,2}""),"""")"),"18")</f>
        <v>18</v>
      </c>
      <c r="P270" s="20" t="b">
        <f t="shared" si="3"/>
        <v>0</v>
      </c>
    </row>
    <row r="271">
      <c r="A271" s="12" t="s">
        <v>589</v>
      </c>
      <c r="B271" s="9" t="str">
        <f t="shared" si="1"/>
        <v>Еф.</v>
      </c>
      <c r="C271" s="10" t="s">
        <v>17</v>
      </c>
      <c r="D271" s="11" t="str">
        <f t="shared" si="2"/>
        <v>228</v>
      </c>
      <c r="E271" s="9"/>
      <c r="F271" s="25" t="s">
        <v>590</v>
      </c>
      <c r="G271" s="14"/>
      <c r="H271" s="22"/>
      <c r="I271" s="16" t="s">
        <v>29</v>
      </c>
      <c r="J271" s="23" t="s">
        <v>591</v>
      </c>
      <c r="K271" s="17"/>
      <c r="L271" s="16">
        <v>6.0</v>
      </c>
      <c r="M271" s="18">
        <f>IFNA( VLOOKUP(LEFT(F271, IFERROR(FIND(" ", F271, 1),1) - 1), lists!$A$31:$B$37, 2, FALSE),"")</f>
        <v>6</v>
      </c>
      <c r="N271" s="18" t="str">
        <f>IFERROR(__xludf.DUMMYFUNCTION("IFNA(VLOOKUP(IFNA(REGEXEXTRACT(F271, ""(Пасхи|50-ці|посту)""),""""),lists!$A$39:$B$41,2,FALSE),"""")"),"pentecost")</f>
        <v>pentecost</v>
      </c>
      <c r="O271" s="19" t="str">
        <f>IFERROR(__xludf.DUMMYFUNCTION("IFNA(REGEXEXTRACT(F271, ""\d{1,2}""),"""")"),"30")</f>
        <v>30</v>
      </c>
      <c r="P271" s="20" t="b">
        <f t="shared" si="3"/>
        <v>0</v>
      </c>
    </row>
    <row r="272">
      <c r="A272" s="9" t="s">
        <v>592</v>
      </c>
      <c r="B272" s="9" t="str">
        <f t="shared" si="1"/>
        <v>Еф.</v>
      </c>
      <c r="C272" s="10" t="s">
        <v>17</v>
      </c>
      <c r="D272" s="11" t="str">
        <f t="shared" si="2"/>
        <v>229</v>
      </c>
      <c r="E272" s="9"/>
      <c r="F272" s="25" t="s">
        <v>593</v>
      </c>
      <c r="G272" s="14"/>
      <c r="H272" s="22"/>
      <c r="I272" s="16" t="s">
        <v>29</v>
      </c>
      <c r="J272" s="23" t="s">
        <v>208</v>
      </c>
      <c r="K272" s="17"/>
      <c r="L272" s="16">
        <v>7.0</v>
      </c>
      <c r="M272" s="18">
        <f>IFNA( VLOOKUP(LEFT(F272, IFERROR(FIND(" ", F272, 1),1) - 1), lists!$A$31:$B$37, 2, FALSE),"")</f>
        <v>7</v>
      </c>
      <c r="N272" s="18" t="str">
        <f>IFERROR(__xludf.DUMMYFUNCTION("IFNA(VLOOKUP(IFNA(REGEXEXTRACT(F272, ""(Пасхи|50-ці|посту)""),""""),lists!$A$39:$B$41,2,FALSE),"""")"),"pentecost")</f>
        <v>pentecost</v>
      </c>
      <c r="O272" s="19" t="str">
        <f>IFERROR(__xludf.DUMMYFUNCTION("IFNA(REGEXEXTRACT(F272, ""\d{1,2}""),"""")"),"26")</f>
        <v>26</v>
      </c>
      <c r="P272" s="20" t="b">
        <f t="shared" si="3"/>
        <v>0</v>
      </c>
    </row>
    <row r="273">
      <c r="A273" s="9" t="s">
        <v>594</v>
      </c>
      <c r="B273" s="9" t="str">
        <f t="shared" si="1"/>
        <v>Еф.</v>
      </c>
      <c r="C273" s="10" t="s">
        <v>17</v>
      </c>
      <c r="D273" s="11" t="str">
        <f t="shared" si="2"/>
        <v>230</v>
      </c>
      <c r="E273" s="9"/>
      <c r="F273" s="25" t="s">
        <v>595</v>
      </c>
      <c r="G273" s="14"/>
      <c r="H273" s="22"/>
      <c r="I273" s="16" t="s">
        <v>29</v>
      </c>
      <c r="J273" s="23" t="s">
        <v>435</v>
      </c>
      <c r="K273" s="17"/>
      <c r="L273" s="16">
        <v>2.0</v>
      </c>
      <c r="M273" s="18">
        <f>IFNA( VLOOKUP(LEFT(F273, IFERROR(FIND(" ", F273, 1),1) - 1), lists!$A$31:$B$37, 2, FALSE),"")</f>
        <v>2</v>
      </c>
      <c r="N273" s="18" t="str">
        <f>IFERROR(__xludf.DUMMYFUNCTION("IFNA(VLOOKUP(IFNA(REGEXEXTRACT(F273, ""(Пасхи|50-ці|посту)""),""""),lists!$A$39:$B$41,2,FALSE),"""")"),"pentecost")</f>
        <v>pentecost</v>
      </c>
      <c r="O273" s="19" t="str">
        <f>IFERROR(__xludf.DUMMYFUNCTION("IFNA(REGEXEXTRACT(F273, ""\d{1,2}""),"""")"),"18")</f>
        <v>18</v>
      </c>
      <c r="P273" s="20" t="b">
        <f t="shared" si="3"/>
        <v>0</v>
      </c>
    </row>
    <row r="274">
      <c r="A274" s="9" t="s">
        <v>596</v>
      </c>
      <c r="B274" s="9" t="str">
        <f t="shared" si="1"/>
        <v>Еф.</v>
      </c>
      <c r="C274" s="10" t="s">
        <v>17</v>
      </c>
      <c r="D274" s="11" t="str">
        <f t="shared" si="2"/>
        <v>231</v>
      </c>
      <c r="E274" s="9"/>
      <c r="F274" s="25" t="s">
        <v>597</v>
      </c>
      <c r="G274" s="14"/>
      <c r="H274" s="22"/>
      <c r="I274" s="16" t="s">
        <v>29</v>
      </c>
      <c r="J274" s="23" t="s">
        <v>435</v>
      </c>
      <c r="K274" s="17"/>
      <c r="L274" s="16">
        <v>3.0</v>
      </c>
      <c r="M274" s="18">
        <f>IFNA( VLOOKUP(LEFT(F274, IFERROR(FIND(" ", F274, 1),1) - 1), lists!$A$31:$B$37, 2, FALSE),"")</f>
        <v>3</v>
      </c>
      <c r="N274" s="18" t="str">
        <f>IFERROR(__xludf.DUMMYFUNCTION("IFNA(VLOOKUP(IFNA(REGEXEXTRACT(F274, ""(Пасхи|50-ці|посту)""),""""),lists!$A$39:$B$41,2,FALSE),"""")"),"pentecost")</f>
        <v>pentecost</v>
      </c>
      <c r="O274" s="19" t="str">
        <f>IFERROR(__xludf.DUMMYFUNCTION("IFNA(REGEXEXTRACT(F274, ""\d{1,2}""),"""")"),"18")</f>
        <v>18</v>
      </c>
      <c r="P274" s="20" t="b">
        <f t="shared" si="3"/>
        <v>0</v>
      </c>
    </row>
    <row r="275">
      <c r="A275" s="9" t="s">
        <v>598</v>
      </c>
      <c r="B275" s="9" t="str">
        <f t="shared" si="1"/>
        <v>Еф.</v>
      </c>
      <c r="C275" s="10" t="s">
        <v>17</v>
      </c>
      <c r="D275" s="11" t="str">
        <f t="shared" si="2"/>
        <v>232</v>
      </c>
      <c r="E275" s="9"/>
      <c r="F275" s="25" t="s">
        <v>599</v>
      </c>
      <c r="G275" s="14"/>
      <c r="H275" s="22"/>
      <c r="I275" s="16" t="s">
        <v>29</v>
      </c>
      <c r="J275" s="23" t="s">
        <v>435</v>
      </c>
      <c r="K275" s="17"/>
      <c r="L275" s="16">
        <v>4.0</v>
      </c>
      <c r="M275" s="18">
        <f>IFNA( VLOOKUP(LEFT(F275, IFERROR(FIND(" ", F275, 1),1) - 1), lists!$A$31:$B$37, 2, FALSE),"")</f>
        <v>4</v>
      </c>
      <c r="N275" s="18" t="str">
        <f>IFERROR(__xludf.DUMMYFUNCTION("IFNA(VLOOKUP(IFNA(REGEXEXTRACT(F275, ""(Пасхи|50-ці|посту)""),""""),lists!$A$39:$B$41,2,FALSE),"""")"),"pentecost")</f>
        <v>pentecost</v>
      </c>
      <c r="O275" s="19" t="str">
        <f>IFERROR(__xludf.DUMMYFUNCTION("IFNA(REGEXEXTRACT(F275, ""\d{1,2}""),"""")"),"18")</f>
        <v>18</v>
      </c>
      <c r="P275" s="20" t="b">
        <f t="shared" si="3"/>
        <v>0</v>
      </c>
    </row>
    <row r="276">
      <c r="A276" s="9" t="s">
        <v>600</v>
      </c>
      <c r="B276" s="9" t="str">
        <f t="shared" si="1"/>
        <v>Еф.</v>
      </c>
      <c r="C276" s="10" t="s">
        <v>17</v>
      </c>
      <c r="D276" s="11" t="str">
        <f t="shared" si="2"/>
        <v>233</v>
      </c>
      <c r="E276" s="9"/>
      <c r="F276" s="25" t="s">
        <v>601</v>
      </c>
      <c r="G276" s="14"/>
      <c r="H276" s="22"/>
      <c r="I276" s="16" t="s">
        <v>29</v>
      </c>
      <c r="J276" s="23" t="s">
        <v>553</v>
      </c>
      <c r="K276" s="17"/>
      <c r="L276" s="16">
        <v>7.0</v>
      </c>
      <c r="M276" s="18">
        <f>IFNA( VLOOKUP(LEFT(F276, IFERROR(FIND(" ", F276, 1),1) - 1), lists!$A$31:$B$37, 2, FALSE),"")</f>
        <v>7</v>
      </c>
      <c r="N276" s="18" t="str">
        <f>IFERROR(__xludf.DUMMYFUNCTION("IFNA(VLOOKUP(IFNA(REGEXEXTRACT(F276, ""(Пасхи|50-ці|посту)""),""""),lists!$A$39:$B$41,2,FALSE),"""")"),"pentecost")</f>
        <v>pentecost</v>
      </c>
      <c r="O276" s="19" t="str">
        <f>IFERROR(__xludf.DUMMYFUNCTION("IFNA(REGEXEXTRACT(F276, ""\d{1,2}""),"""")"),"27")</f>
        <v>27</v>
      </c>
      <c r="P276" s="20" t="b">
        <f t="shared" si="3"/>
        <v>0</v>
      </c>
    </row>
    <row r="277">
      <c r="A277" s="9" t="s">
        <v>602</v>
      </c>
      <c r="B277" s="9" t="str">
        <f t="shared" si="1"/>
        <v>Еф.</v>
      </c>
      <c r="C277" s="10" t="s">
        <v>17</v>
      </c>
      <c r="D277" s="11" t="str">
        <f t="shared" si="2"/>
        <v>234</v>
      </c>
      <c r="E277" s="9"/>
      <c r="F277" s="25" t="s">
        <v>603</v>
      </c>
      <c r="G277" s="14"/>
      <c r="H277" s="22"/>
      <c r="I277" s="16" t="s">
        <v>29</v>
      </c>
      <c r="J277" s="23" t="s">
        <v>435</v>
      </c>
      <c r="K277" s="17"/>
      <c r="L277" s="16">
        <v>5.0</v>
      </c>
      <c r="M277" s="18">
        <f>IFNA( VLOOKUP(LEFT(F277, IFERROR(FIND(" ", F277, 1),1) - 1), lists!$A$31:$B$37, 2, FALSE),"")</f>
        <v>5</v>
      </c>
      <c r="N277" s="18" t="str">
        <f>IFERROR(__xludf.DUMMYFUNCTION("IFNA(VLOOKUP(IFNA(REGEXEXTRACT(F277, ""(Пасхи|50-ці|посту)""),""""),lists!$A$39:$B$41,2,FALSE),"""")"),"pentecost")</f>
        <v>pentecost</v>
      </c>
      <c r="O277" s="19" t="str">
        <f>IFERROR(__xludf.DUMMYFUNCTION("IFNA(REGEXEXTRACT(F277, ""\d{1,2}""),"""")"),"18")</f>
        <v>18</v>
      </c>
      <c r="P277" s="20" t="b">
        <f t="shared" si="3"/>
        <v>0</v>
      </c>
    </row>
    <row r="278">
      <c r="A278" s="9" t="s">
        <v>604</v>
      </c>
      <c r="B278" s="9" t="str">
        <f t="shared" si="1"/>
        <v>Флп.</v>
      </c>
      <c r="C278" s="10" t="s">
        <v>17</v>
      </c>
      <c r="D278" s="11" t="str">
        <f t="shared" si="2"/>
        <v>235</v>
      </c>
      <c r="E278" s="9"/>
      <c r="F278" s="25" t="s">
        <v>605</v>
      </c>
      <c r="G278" s="14"/>
      <c r="H278" s="22"/>
      <c r="I278" s="16" t="s">
        <v>29</v>
      </c>
      <c r="J278" s="23" t="s">
        <v>439</v>
      </c>
      <c r="K278" s="17"/>
      <c r="L278" s="16">
        <v>1.0</v>
      </c>
      <c r="M278" s="18">
        <f>IFNA( VLOOKUP(LEFT(F278, IFERROR(FIND(" ", F278, 1),1) - 1), lists!$A$31:$B$37, 2, FALSE),"")</f>
        <v>1</v>
      </c>
      <c r="N278" s="18" t="str">
        <f>IFERROR(__xludf.DUMMYFUNCTION("IFNA(VLOOKUP(IFNA(REGEXEXTRACT(F278, ""(Пасхи|50-ці|посту)""),""""),lists!$A$39:$B$41,2,FALSE),"""")"),"pentecost")</f>
        <v>pentecost</v>
      </c>
      <c r="O278" s="19" t="str">
        <f>IFERROR(__xludf.DUMMYFUNCTION("IFNA(REGEXEXTRACT(F278, ""\d{1,2}""),"""")"),"19")</f>
        <v>19</v>
      </c>
      <c r="P278" s="20" t="b">
        <f t="shared" si="3"/>
        <v>0</v>
      </c>
    </row>
    <row r="279">
      <c r="A279" s="9" t="s">
        <v>606</v>
      </c>
      <c r="B279" s="9" t="str">
        <f t="shared" si="1"/>
        <v>Флп.</v>
      </c>
      <c r="C279" s="10" t="s">
        <v>17</v>
      </c>
      <c r="D279" s="11" t="str">
        <f t="shared" si="2"/>
        <v>236</v>
      </c>
      <c r="E279" s="9"/>
      <c r="F279" s="25" t="s">
        <v>607</v>
      </c>
      <c r="G279" s="14"/>
      <c r="H279" s="22"/>
      <c r="I279" s="16" t="s">
        <v>29</v>
      </c>
      <c r="J279" s="23" t="s">
        <v>439</v>
      </c>
      <c r="K279" s="17"/>
      <c r="L279" s="16">
        <v>2.0</v>
      </c>
      <c r="M279" s="18">
        <f>IFNA( VLOOKUP(LEFT(F279, IFERROR(FIND(" ", F279, 1),1) - 1), lists!$A$31:$B$37, 2, FALSE),"")</f>
        <v>2</v>
      </c>
      <c r="N279" s="18" t="str">
        <f>IFERROR(__xludf.DUMMYFUNCTION("IFNA(VLOOKUP(IFNA(REGEXEXTRACT(F279, ""(Пасхи|50-ці|посту)""),""""),lists!$A$39:$B$41,2,FALSE),"""")"),"pentecost")</f>
        <v>pentecost</v>
      </c>
      <c r="O279" s="19" t="str">
        <f>IFERROR(__xludf.DUMMYFUNCTION("IFNA(REGEXEXTRACT(F279, ""\d{1,2}""),"""")"),"19")</f>
        <v>19</v>
      </c>
      <c r="P279" s="20" t="b">
        <f t="shared" si="3"/>
        <v>0</v>
      </c>
    </row>
    <row r="280">
      <c r="A280" s="9" t="s">
        <v>608</v>
      </c>
      <c r="B280" s="9" t="str">
        <f t="shared" si="1"/>
        <v>Флп.</v>
      </c>
      <c r="C280" s="10" t="s">
        <v>17</v>
      </c>
      <c r="D280" s="11" t="str">
        <f t="shared" si="2"/>
        <v>237</v>
      </c>
      <c r="E280" s="9"/>
      <c r="F280" s="25" t="s">
        <v>609</v>
      </c>
      <c r="G280" s="14"/>
      <c r="H280" s="22"/>
      <c r="I280" s="16" t="s">
        <v>29</v>
      </c>
      <c r="J280" s="23" t="s">
        <v>439</v>
      </c>
      <c r="K280" s="17"/>
      <c r="L280" s="16">
        <v>3.0</v>
      </c>
      <c r="M280" s="18">
        <f>IFNA( VLOOKUP(LEFT(F280, IFERROR(FIND(" ", F280, 1),1) - 1), lists!$A$31:$B$37, 2, FALSE),"")</f>
        <v>3</v>
      </c>
      <c r="N280" s="18" t="str">
        <f>IFERROR(__xludf.DUMMYFUNCTION("IFNA(VLOOKUP(IFNA(REGEXEXTRACT(F280, ""(Пасхи|50-ці|посту)""),""""),lists!$A$39:$B$41,2,FALSE),"""")"),"pentecost")</f>
        <v>pentecost</v>
      </c>
      <c r="O280" s="19" t="str">
        <f>IFERROR(__xludf.DUMMYFUNCTION("IFNA(REGEXEXTRACT(F280, ""\d{1,2}""),"""")"),"19")</f>
        <v>19</v>
      </c>
      <c r="P280" s="20" t="b">
        <f t="shared" si="3"/>
        <v>0</v>
      </c>
    </row>
    <row r="281">
      <c r="A281" s="9" t="s">
        <v>610</v>
      </c>
      <c r="B281" s="9" t="str">
        <f t="shared" si="1"/>
        <v>Флп.</v>
      </c>
      <c r="C281" s="10" t="s">
        <v>17</v>
      </c>
      <c r="D281" s="11" t="str">
        <f t="shared" si="2"/>
        <v>238</v>
      </c>
      <c r="E281" s="9"/>
      <c r="F281" s="25" t="s">
        <v>611</v>
      </c>
      <c r="G281" s="14"/>
      <c r="H281" s="22"/>
      <c r="I281" s="16" t="s">
        <v>29</v>
      </c>
      <c r="J281" s="23" t="s">
        <v>439</v>
      </c>
      <c r="K281" s="17"/>
      <c r="L281" s="16">
        <v>4.0</v>
      </c>
      <c r="M281" s="18">
        <f>IFNA( VLOOKUP(LEFT(F281, IFERROR(FIND(" ", F281, 1),1) - 1), lists!$A$31:$B$37, 2, FALSE),"")</f>
        <v>4</v>
      </c>
      <c r="N281" s="18" t="str">
        <f>IFERROR(__xludf.DUMMYFUNCTION("IFNA(VLOOKUP(IFNA(REGEXEXTRACT(F281, ""(Пасхи|50-ці|посту)""),""""),lists!$A$39:$B$41,2,FALSE),"""")"),"pentecost")</f>
        <v>pentecost</v>
      </c>
      <c r="O281" s="19" t="str">
        <f>IFERROR(__xludf.DUMMYFUNCTION("IFNA(REGEXEXTRACT(F281, ""\d{1,2}""),"""")"),"19")</f>
        <v>19</v>
      </c>
      <c r="P281" s="20" t="b">
        <f t="shared" si="3"/>
        <v>0</v>
      </c>
    </row>
    <row r="282">
      <c r="A282" s="9" t="s">
        <v>612</v>
      </c>
      <c r="B282" s="9" t="str">
        <f t="shared" si="1"/>
        <v>Флп.</v>
      </c>
      <c r="C282" s="10" t="s">
        <v>17</v>
      </c>
      <c r="D282" s="11" t="str">
        <f t="shared" si="2"/>
        <v>239</v>
      </c>
      <c r="E282" s="9"/>
      <c r="F282" s="25" t="s">
        <v>613</v>
      </c>
      <c r="G282" s="14"/>
      <c r="H282" s="22"/>
      <c r="I282" s="16" t="s">
        <v>29</v>
      </c>
      <c r="J282" s="23" t="s">
        <v>439</v>
      </c>
      <c r="K282" s="17"/>
      <c r="L282" s="16">
        <v>5.0</v>
      </c>
      <c r="M282" s="18">
        <f>IFNA( VLOOKUP(LEFT(F282, IFERROR(FIND(" ", F282, 1),1) - 1), lists!$A$31:$B$37, 2, FALSE),"")</f>
        <v>5</v>
      </c>
      <c r="N282" s="18" t="str">
        <f>IFERROR(__xludf.DUMMYFUNCTION("IFNA(VLOOKUP(IFNA(REGEXEXTRACT(F282, ""(Пасхи|50-ці|посту)""),""""),lists!$A$39:$B$41,2,FALSE),"""")"),"pentecost")</f>
        <v>pentecost</v>
      </c>
      <c r="O282" s="19" t="str">
        <f>IFERROR(__xludf.DUMMYFUNCTION("IFNA(REGEXEXTRACT(F282, ""\d{1,2}""),"""")"),"19")</f>
        <v>19</v>
      </c>
      <c r="P282" s="20" t="b">
        <f t="shared" si="3"/>
        <v>0</v>
      </c>
    </row>
    <row r="283">
      <c r="A283" s="9" t="s">
        <v>614</v>
      </c>
      <c r="B283" s="9" t="str">
        <f t="shared" si="1"/>
        <v>Флп.</v>
      </c>
      <c r="C283" s="10" t="s">
        <v>17</v>
      </c>
      <c r="D283" s="11" t="str">
        <f t="shared" si="2"/>
        <v>240</v>
      </c>
      <c r="E283" s="9"/>
      <c r="F283" s="21" t="s">
        <v>615</v>
      </c>
      <c r="G283" s="14"/>
      <c r="H283" s="15" t="s">
        <v>70</v>
      </c>
      <c r="I283" s="16" t="s">
        <v>71</v>
      </c>
      <c r="J283" s="23" t="s">
        <v>71</v>
      </c>
      <c r="K283" s="17"/>
      <c r="L283" s="16" t="s">
        <v>71</v>
      </c>
      <c r="M283" s="18" t="str">
        <f>IFNA( VLOOKUP(LEFT(F283, IFERROR(FIND(" ", F283, 1),1) - 1), lists!$A$31:$B$37, 2, FALSE),"")</f>
        <v/>
      </c>
      <c r="N283" s="18" t="str">
        <f>IFERROR(__xludf.DUMMYFUNCTION("IFNA(VLOOKUP(IFNA(REGEXEXTRACT(F283, ""(Пасхи|50-ці|посту)""),""""),lists!$A$39:$B$41,2,FALSE),"""")"),"")</f>
        <v/>
      </c>
      <c r="O283" s="19" t="str">
        <f>IFERROR(__xludf.DUMMYFUNCTION("IFNA(REGEXEXTRACT(F283, ""\d{1,2}""),"""")"),"")</f>
        <v/>
      </c>
      <c r="P283" s="20" t="b">
        <f t="shared" si="3"/>
        <v>0</v>
      </c>
    </row>
    <row r="284">
      <c r="A284" s="9" t="s">
        <v>616</v>
      </c>
      <c r="B284" s="9" t="str">
        <f t="shared" si="1"/>
        <v>Флп.</v>
      </c>
      <c r="C284" s="10" t="s">
        <v>17</v>
      </c>
      <c r="D284" s="11" t="str">
        <f t="shared" si="2"/>
        <v>241</v>
      </c>
      <c r="E284" s="9"/>
      <c r="F284" s="25" t="s">
        <v>617</v>
      </c>
      <c r="G284" s="14"/>
      <c r="H284" s="22"/>
      <c r="I284" s="16" t="s">
        <v>29</v>
      </c>
      <c r="J284" s="23" t="s">
        <v>161</v>
      </c>
      <c r="K284" s="17"/>
      <c r="L284" s="16">
        <v>1.0</v>
      </c>
      <c r="M284" s="18">
        <f>IFNA( VLOOKUP(LEFT(F284, IFERROR(FIND(" ", F284, 1),1) - 1), lists!$A$31:$B$37, 2, FALSE),"")</f>
        <v>1</v>
      </c>
      <c r="N284" s="18" t="str">
        <f>IFERROR(__xludf.DUMMYFUNCTION("IFNA(VLOOKUP(IFNA(REGEXEXTRACT(F284, ""(Пасхи|50-ці|посту)""),""""),lists!$A$39:$B$41,2,FALSE),"""")"),"pentecost")</f>
        <v>pentecost</v>
      </c>
      <c r="O284" s="19" t="str">
        <f>IFERROR(__xludf.DUMMYFUNCTION("IFNA(REGEXEXTRACT(F284, ""\d{1,2}""),"""")"),"20")</f>
        <v>20</v>
      </c>
      <c r="P284" s="20" t="b">
        <f t="shared" si="3"/>
        <v>0</v>
      </c>
    </row>
    <row r="285">
      <c r="A285" s="9" t="s">
        <v>618</v>
      </c>
      <c r="B285" s="9" t="str">
        <f t="shared" si="1"/>
        <v>Флп.</v>
      </c>
      <c r="C285" s="10" t="s">
        <v>17</v>
      </c>
      <c r="D285" s="11" t="str">
        <f t="shared" si="2"/>
        <v>242</v>
      </c>
      <c r="E285" s="9"/>
      <c r="F285" s="13" t="s">
        <v>619</v>
      </c>
      <c r="G285" s="14"/>
      <c r="H285" s="22"/>
      <c r="I285" s="16" t="s">
        <v>29</v>
      </c>
      <c r="J285" s="23" t="s">
        <v>161</v>
      </c>
      <c r="K285" s="17"/>
      <c r="L285" s="16">
        <v>2.0</v>
      </c>
      <c r="M285" s="18">
        <f>IFNA( VLOOKUP(LEFT(F285, IFERROR(FIND(" ", F285, 1),1) - 1), lists!$A$31:$B$37, 2, FALSE),"")</f>
        <v>2</v>
      </c>
      <c r="N285" s="18" t="str">
        <f>IFERROR(__xludf.DUMMYFUNCTION("IFNA(VLOOKUP(IFNA(REGEXEXTRACT(F285, ""(Пасхи|50-ці|посту)""),""""),lists!$A$39:$B$41,2,FALSE),"""")"),"pentecost")</f>
        <v>pentecost</v>
      </c>
      <c r="O285" s="19" t="str">
        <f>IFERROR(__xludf.DUMMYFUNCTION("IFNA(REGEXEXTRACT(F285, ""\d{1,2}""),"""")"),"20")</f>
        <v>20</v>
      </c>
      <c r="P285" s="20" t="b">
        <f t="shared" si="3"/>
        <v>0</v>
      </c>
    </row>
    <row r="286">
      <c r="A286" s="9" t="s">
        <v>620</v>
      </c>
      <c r="B286" s="9" t="str">
        <f t="shared" si="1"/>
        <v>Флп.</v>
      </c>
      <c r="C286" s="10" t="s">
        <v>17</v>
      </c>
      <c r="D286" s="11" t="str">
        <f t="shared" si="2"/>
        <v>243</v>
      </c>
      <c r="E286" s="9"/>
      <c r="F286" s="25" t="s">
        <v>621</v>
      </c>
      <c r="G286" s="14"/>
      <c r="H286" s="22"/>
      <c r="I286" s="16" t="s">
        <v>29</v>
      </c>
      <c r="J286" s="23" t="s">
        <v>161</v>
      </c>
      <c r="K286" s="17"/>
      <c r="L286" s="16">
        <v>3.0</v>
      </c>
      <c r="M286" s="18">
        <f>IFNA( VLOOKUP(LEFT(F286, IFERROR(FIND(" ", F286, 1),1) - 1), lists!$A$31:$B$37, 2, FALSE),"")</f>
        <v>3</v>
      </c>
      <c r="N286" s="18" t="str">
        <f>IFERROR(__xludf.DUMMYFUNCTION("IFNA(VLOOKUP(IFNA(REGEXEXTRACT(F286, ""(Пасхи|50-ці|посту)""),""""),lists!$A$39:$B$41,2,FALSE),"""")"),"pentecost")</f>
        <v>pentecost</v>
      </c>
      <c r="O286" s="19" t="str">
        <f>IFERROR(__xludf.DUMMYFUNCTION("IFNA(REGEXEXTRACT(F286, ""\d{1,2}""),"""")"),"20")</f>
        <v>20</v>
      </c>
      <c r="P286" s="20" t="b">
        <f t="shared" si="3"/>
        <v>0</v>
      </c>
    </row>
    <row r="287">
      <c r="A287" s="9" t="s">
        <v>622</v>
      </c>
      <c r="B287" s="9" t="str">
        <f t="shared" si="1"/>
        <v>Флп.</v>
      </c>
      <c r="C287" s="10" t="s">
        <v>17</v>
      </c>
      <c r="D287" s="11" t="str">
        <f t="shared" si="2"/>
        <v>244</v>
      </c>
      <c r="E287" s="9"/>
      <c r="F287" s="25" t="s">
        <v>623</v>
      </c>
      <c r="G287" s="14"/>
      <c r="H287" s="22"/>
      <c r="I287" s="16" t="s">
        <v>29</v>
      </c>
      <c r="J287" s="23" t="s">
        <v>161</v>
      </c>
      <c r="K287" s="17"/>
      <c r="L287" s="16">
        <v>4.0</v>
      </c>
      <c r="M287" s="18">
        <f>IFNA( VLOOKUP(LEFT(F287, IFERROR(FIND(" ", F287, 1),1) - 1), lists!$A$31:$B$37, 2, FALSE),"")</f>
        <v>4</v>
      </c>
      <c r="N287" s="18" t="str">
        <f>IFERROR(__xludf.DUMMYFUNCTION("IFNA(VLOOKUP(IFNA(REGEXEXTRACT(F287, ""(Пасхи|50-ці|посту)""),""""),lists!$A$39:$B$41,2,FALSE),"""")"),"pentecost")</f>
        <v>pentecost</v>
      </c>
      <c r="O287" s="19" t="str">
        <f>IFERROR(__xludf.DUMMYFUNCTION("IFNA(REGEXEXTRACT(F287, ""\d{1,2}""),"""")"),"20")</f>
        <v>20</v>
      </c>
      <c r="P287" s="20" t="b">
        <f t="shared" si="3"/>
        <v>0</v>
      </c>
    </row>
    <row r="288">
      <c r="A288" s="9" t="s">
        <v>624</v>
      </c>
      <c r="B288" s="9" t="str">
        <f t="shared" si="1"/>
        <v>Флп.</v>
      </c>
      <c r="C288" s="10" t="s">
        <v>17</v>
      </c>
      <c r="D288" s="11" t="str">
        <f t="shared" si="2"/>
        <v>245</v>
      </c>
      <c r="E288" s="9"/>
      <c r="F288" s="25" t="s">
        <v>625</v>
      </c>
      <c r="G288" s="14"/>
      <c r="H288" s="22"/>
      <c r="I288" s="16" t="s">
        <v>29</v>
      </c>
      <c r="J288" s="23" t="s">
        <v>161</v>
      </c>
      <c r="K288" s="17"/>
      <c r="L288" s="16">
        <v>5.0</v>
      </c>
      <c r="M288" s="18">
        <f>IFNA( VLOOKUP(LEFT(F288, IFERROR(FIND(" ", F288, 1),1) - 1), lists!$A$31:$B$37, 2, FALSE),"")</f>
        <v>5</v>
      </c>
      <c r="N288" s="18" t="str">
        <f>IFERROR(__xludf.DUMMYFUNCTION("IFNA(VLOOKUP(IFNA(REGEXEXTRACT(F288, ""(Пасхи|50-ці|посту)""),""""),lists!$A$39:$B$41,2,FALSE),"""")"),"pentecost")</f>
        <v>pentecost</v>
      </c>
      <c r="O288" s="19" t="str">
        <f>IFERROR(__xludf.DUMMYFUNCTION("IFNA(REGEXEXTRACT(F288, ""\d{1,2}""),"""")"),"20")</f>
        <v>20</v>
      </c>
      <c r="P288" s="20" t="b">
        <f t="shared" si="3"/>
        <v>0</v>
      </c>
    </row>
    <row r="289">
      <c r="A289" s="12" t="s">
        <v>626</v>
      </c>
      <c r="B289" s="9" t="str">
        <f t="shared" si="1"/>
        <v>Флп.</v>
      </c>
      <c r="C289" s="10" t="s">
        <v>17</v>
      </c>
      <c r="D289" s="11" t="str">
        <f t="shared" si="2"/>
        <v>246</v>
      </c>
      <c r="E289" s="9"/>
      <c r="F289" s="21" t="s">
        <v>627</v>
      </c>
      <c r="G289" s="14"/>
      <c r="H289" s="15" t="s">
        <v>70</v>
      </c>
      <c r="I289" s="16" t="s">
        <v>71</v>
      </c>
      <c r="J289" s="23" t="s">
        <v>71</v>
      </c>
      <c r="K289" s="17"/>
      <c r="L289" s="16" t="s">
        <v>71</v>
      </c>
      <c r="M289" s="18" t="str">
        <f>IFNA( VLOOKUP(LEFT(F289, IFERROR(FIND(" ", F289, 1),1) - 1), lists!$A$31:$B$37, 2, FALSE),"")</f>
        <v/>
      </c>
      <c r="N289" s="18" t="str">
        <f>IFERROR(__xludf.DUMMYFUNCTION("IFNA(VLOOKUP(IFNA(REGEXEXTRACT(F289, ""(Пасхи|50-ці|посту)""),""""),lists!$A$39:$B$41,2,FALSE),"""")"),"")</f>
        <v/>
      </c>
      <c r="O289" s="19" t="str">
        <f>IFERROR(__xludf.DUMMYFUNCTION("IFNA(REGEXEXTRACT(F289, ""\d{1,2}""),"""")"),"")</f>
        <v/>
      </c>
      <c r="P289" s="20" t="b">
        <f t="shared" si="3"/>
        <v>0</v>
      </c>
    </row>
    <row r="290">
      <c r="A290" s="9" t="s">
        <v>628</v>
      </c>
      <c r="B290" s="9" t="str">
        <f t="shared" si="1"/>
        <v>Флп.</v>
      </c>
      <c r="C290" s="10" t="s">
        <v>17</v>
      </c>
      <c r="D290" s="11" t="str">
        <f t="shared" si="2"/>
        <v>247</v>
      </c>
      <c r="E290" s="9"/>
      <c r="F290" s="21" t="s">
        <v>629</v>
      </c>
      <c r="G290" s="14"/>
      <c r="H290" s="22"/>
      <c r="I290" s="16" t="s">
        <v>20</v>
      </c>
      <c r="J290" s="23">
        <v>6.0</v>
      </c>
      <c r="K290" s="17"/>
      <c r="L290" s="16">
        <v>7.0</v>
      </c>
      <c r="M290" s="18" t="str">
        <f>IFNA( VLOOKUP(LEFT(F290, IFERROR(FIND(" ", F290, 1),1) - 1), lists!$A$31:$B$37, 2, FALSE),"")</f>
        <v/>
      </c>
      <c r="N290" s="18" t="str">
        <f>IFERROR(__xludf.DUMMYFUNCTION("IFNA(VLOOKUP(IFNA(REGEXEXTRACT(F290, ""(Пасхи|50-ці|посту)""),""""),lists!$A$39:$B$41,2,FALSE),"""")"),"")</f>
        <v/>
      </c>
      <c r="O290" s="19" t="str">
        <f>IFERROR(__xludf.DUMMYFUNCTION("IFNA(REGEXEXTRACT(F290, ""\d{1,2}""),"""")"),"")</f>
        <v/>
      </c>
      <c r="P290" s="20" t="b">
        <f t="shared" si="3"/>
        <v>0</v>
      </c>
    </row>
    <row r="291">
      <c r="A291" s="9" t="s">
        <v>630</v>
      </c>
      <c r="B291" s="9" t="str">
        <f t="shared" si="1"/>
        <v>Флп.</v>
      </c>
      <c r="C291" s="10" t="s">
        <v>17</v>
      </c>
      <c r="D291" s="11" t="str">
        <f t="shared" si="2"/>
        <v>248</v>
      </c>
      <c r="E291" s="9"/>
      <c r="F291" s="25" t="s">
        <v>631</v>
      </c>
      <c r="G291" s="14"/>
      <c r="H291" s="22"/>
      <c r="I291" s="16" t="s">
        <v>29</v>
      </c>
      <c r="J291" s="23" t="s">
        <v>138</v>
      </c>
      <c r="K291" s="17"/>
      <c r="L291" s="16">
        <v>1.0</v>
      </c>
      <c r="M291" s="18">
        <f>IFNA( VLOOKUP(LEFT(F291, IFERROR(FIND(" ", F291, 1),1) - 1), lists!$A$31:$B$37, 2, FALSE),"")</f>
        <v>1</v>
      </c>
      <c r="N291" s="18" t="str">
        <f>IFERROR(__xludf.DUMMYFUNCTION("IFNA(VLOOKUP(IFNA(REGEXEXTRACT(F291, ""(Пасхи|50-ці|посту)""),""""),lists!$A$39:$B$41,2,FALSE),"""")"),"pentecost")</f>
        <v>pentecost</v>
      </c>
      <c r="O291" s="19" t="str">
        <f>IFERROR(__xludf.DUMMYFUNCTION("IFNA(REGEXEXTRACT(F291, ""\d{1,2}""),"""")"),"21")</f>
        <v>21</v>
      </c>
      <c r="P291" s="20" t="b">
        <f t="shared" si="3"/>
        <v>0</v>
      </c>
    </row>
    <row r="292">
      <c r="A292" s="9" t="s">
        <v>632</v>
      </c>
      <c r="B292" s="9" t="str">
        <f t="shared" si="1"/>
        <v>Кол.</v>
      </c>
      <c r="C292" s="10" t="s">
        <v>17</v>
      </c>
      <c r="D292" s="11" t="str">
        <f t="shared" si="2"/>
        <v>249</v>
      </c>
      <c r="E292" s="12" t="s">
        <v>18</v>
      </c>
      <c r="F292" s="13" t="s">
        <v>633</v>
      </c>
      <c r="G292" s="14"/>
      <c r="H292" s="22"/>
      <c r="I292" s="16" t="s">
        <v>29</v>
      </c>
      <c r="J292" s="23" t="s">
        <v>138</v>
      </c>
      <c r="K292" s="17"/>
      <c r="L292" s="16">
        <v>2.0</v>
      </c>
      <c r="M292" s="18">
        <f>IFNA( VLOOKUP(LEFT(F292, IFERROR(FIND(" ", F292, 1),1) - 1), lists!$A$31:$B$37, 2, FALSE),"")</f>
        <v>2</v>
      </c>
      <c r="N292" s="18" t="str">
        <f>IFERROR(__xludf.DUMMYFUNCTION("IFNA(VLOOKUP(IFNA(REGEXEXTRACT(F292, ""(Пасхи|50-ці|посту)""),""""),lists!$A$39:$B$41,2,FALSE),"""")"),"pentecost")</f>
        <v>pentecost</v>
      </c>
      <c r="O292" s="19" t="str">
        <f>IFERROR(__xludf.DUMMYFUNCTION("IFNA(REGEXEXTRACT(F292, ""\d{1,2}""),"""")"),"21")</f>
        <v>21</v>
      </c>
      <c r="P292" s="20" t="b">
        <f t="shared" si="3"/>
        <v>0</v>
      </c>
    </row>
    <row r="293">
      <c r="A293" s="9" t="s">
        <v>634</v>
      </c>
      <c r="B293" s="9" t="str">
        <f t="shared" si="1"/>
        <v>Кол.</v>
      </c>
      <c r="C293" s="10" t="s">
        <v>17</v>
      </c>
      <c r="D293" s="11" t="str">
        <f t="shared" si="2"/>
        <v>249</v>
      </c>
      <c r="E293" s="12" t="s">
        <v>22</v>
      </c>
      <c r="F293" s="13" t="s">
        <v>635</v>
      </c>
      <c r="G293" s="14"/>
      <c r="H293" s="22"/>
      <c r="I293" s="16" t="s">
        <v>29</v>
      </c>
      <c r="J293" s="23" t="s">
        <v>143</v>
      </c>
      <c r="K293" s="17"/>
      <c r="L293" s="16">
        <v>6.0</v>
      </c>
      <c r="M293" s="18">
        <f>IFNA( VLOOKUP(LEFT(F293, IFERROR(FIND(" ", F293, 1),1) - 1), lists!$A$31:$B$37, 2, FALSE),"")</f>
        <v>6</v>
      </c>
      <c r="N293" s="18" t="str">
        <f>IFERROR(__xludf.DUMMYFUNCTION("IFNA(VLOOKUP(IFNA(REGEXEXTRACT(F293, ""(Пасхи|50-ці|посту)""),""""),lists!$A$39:$B$41,2,FALSE),"""")"),"pentecost")</f>
        <v>pentecost</v>
      </c>
      <c r="O293" s="19" t="str">
        <f>IFERROR(__xludf.DUMMYFUNCTION("IFNA(REGEXEXTRACT(F293, ""\d{1,2}""),"""")"),"31")</f>
        <v>31</v>
      </c>
      <c r="P293" s="20" t="b">
        <f t="shared" si="3"/>
        <v>0</v>
      </c>
    </row>
    <row r="294">
      <c r="A294" s="9" t="s">
        <v>636</v>
      </c>
      <c r="B294" s="9" t="str">
        <f t="shared" si="1"/>
        <v>Кол.</v>
      </c>
      <c r="C294" s="10" t="s">
        <v>17</v>
      </c>
      <c r="D294" s="11" t="str">
        <f t="shared" si="2"/>
        <v>250</v>
      </c>
      <c r="E294" s="9"/>
      <c r="F294" s="21" t="s">
        <v>637</v>
      </c>
      <c r="G294" s="14"/>
      <c r="H294" s="22"/>
      <c r="I294" s="16" t="s">
        <v>29</v>
      </c>
      <c r="J294" s="23" t="s">
        <v>278</v>
      </c>
      <c r="K294" s="17"/>
      <c r="L294" s="16">
        <v>7.0</v>
      </c>
      <c r="M294" s="18">
        <f>IFNA( VLOOKUP(LEFT(F294, IFERROR(FIND(" ", F294, 1),1) - 1), lists!$A$31:$B$37, 2, FALSE),"")</f>
        <v>7</v>
      </c>
      <c r="N294" s="18" t="str">
        <f>IFERROR(__xludf.DUMMYFUNCTION("IFNA(VLOOKUP(IFNA(REGEXEXTRACT(F294, ""(Пасхи|50-ці|посту)""),""""),lists!$A$39:$B$41,2,FALSE),"""")"),"pentecost")</f>
        <v>pentecost</v>
      </c>
      <c r="O294" s="19" t="str">
        <f>IFERROR(__xludf.DUMMYFUNCTION("IFNA(REGEXEXTRACT(F294, ""\d{1,2}""),"""")"),"28")</f>
        <v>28</v>
      </c>
      <c r="P294" s="20" t="b">
        <f t="shared" si="3"/>
        <v>0</v>
      </c>
    </row>
    <row r="295">
      <c r="A295" s="9" t="s">
        <v>638</v>
      </c>
      <c r="B295" s="9" t="str">
        <f t="shared" si="1"/>
        <v>Кол.</v>
      </c>
      <c r="C295" s="10" t="s">
        <v>17</v>
      </c>
      <c r="D295" s="11" t="str">
        <f t="shared" si="2"/>
        <v>251</v>
      </c>
      <c r="E295" s="9"/>
      <c r="F295" s="25" t="s">
        <v>639</v>
      </c>
      <c r="G295" s="14"/>
      <c r="H295" s="22"/>
      <c r="I295" s="16" t="s">
        <v>29</v>
      </c>
      <c r="J295" s="23" t="s">
        <v>138</v>
      </c>
      <c r="K295" s="17"/>
      <c r="L295" s="16">
        <v>3.0</v>
      </c>
      <c r="M295" s="18">
        <f>IFNA( VLOOKUP(LEFT(F295, IFERROR(FIND(" ", F295, 1),1) - 1), lists!$A$31:$B$37, 2, FALSE),"")</f>
        <v>3</v>
      </c>
      <c r="N295" s="18" t="str">
        <f>IFERROR(__xludf.DUMMYFUNCTION("IFNA(VLOOKUP(IFNA(REGEXEXTRACT(F295, ""(Пасхи|50-ці|посту)""),""""),lists!$A$39:$B$41,2,FALSE),"""")"),"pentecost")</f>
        <v>pentecost</v>
      </c>
      <c r="O295" s="19" t="str">
        <f>IFERROR(__xludf.DUMMYFUNCTION("IFNA(REGEXEXTRACT(F295, ""\d{1,2}""),"""")"),"21")</f>
        <v>21</v>
      </c>
      <c r="P295" s="20" t="b">
        <f t="shared" si="3"/>
        <v>0</v>
      </c>
    </row>
    <row r="296">
      <c r="A296" s="9" t="s">
        <v>640</v>
      </c>
      <c r="B296" s="9" t="str">
        <f t="shared" si="1"/>
        <v>Кол.</v>
      </c>
      <c r="C296" s="10" t="s">
        <v>17</v>
      </c>
      <c r="D296" s="11" t="str">
        <f t="shared" si="2"/>
        <v>252</v>
      </c>
      <c r="E296" s="9"/>
      <c r="F296" s="25" t="s">
        <v>641</v>
      </c>
      <c r="G296" s="14"/>
      <c r="H296" s="22"/>
      <c r="I296" s="16" t="s">
        <v>29</v>
      </c>
      <c r="J296" s="23" t="s">
        <v>138</v>
      </c>
      <c r="K296" s="17"/>
      <c r="L296" s="16">
        <v>4.0</v>
      </c>
      <c r="M296" s="18">
        <f>IFNA( VLOOKUP(LEFT(F296, IFERROR(FIND(" ", F296, 1),1) - 1), lists!$A$31:$B$37, 2, FALSE),"")</f>
        <v>4</v>
      </c>
      <c r="N296" s="18" t="str">
        <f>IFERROR(__xludf.DUMMYFUNCTION("IFNA(VLOOKUP(IFNA(REGEXEXTRACT(F296, ""(Пасхи|50-ці|посту)""),""""),lists!$A$39:$B$41,2,FALSE),"""")"),"pentecost")</f>
        <v>pentecost</v>
      </c>
      <c r="O296" s="19" t="str">
        <f>IFERROR(__xludf.DUMMYFUNCTION("IFNA(REGEXEXTRACT(F296, ""\d{1,2}""),"""")"),"21")</f>
        <v>21</v>
      </c>
      <c r="P296" s="20" t="b">
        <f t="shared" si="3"/>
        <v>0</v>
      </c>
    </row>
    <row r="297">
      <c r="A297" s="9" t="s">
        <v>642</v>
      </c>
      <c r="B297" s="9" t="str">
        <f t="shared" si="1"/>
        <v>Кол.</v>
      </c>
      <c r="C297" s="10" t="s">
        <v>17</v>
      </c>
      <c r="D297" s="11" t="str">
        <f t="shared" si="2"/>
        <v>253</v>
      </c>
      <c r="E297" s="9"/>
      <c r="F297" s="25" t="s">
        <v>643</v>
      </c>
      <c r="G297" s="14"/>
      <c r="H297" s="22"/>
      <c r="I297" s="16" t="s">
        <v>29</v>
      </c>
      <c r="J297" s="23" t="s">
        <v>138</v>
      </c>
      <c r="K297" s="17"/>
      <c r="L297" s="16">
        <v>5.0</v>
      </c>
      <c r="M297" s="18">
        <f>IFNA( VLOOKUP(LEFT(F297, IFERROR(FIND(" ", F297, 1),1) - 1), lists!$A$31:$B$37, 2, FALSE),"")</f>
        <v>5</v>
      </c>
      <c r="N297" s="18" t="str">
        <f>IFERROR(__xludf.DUMMYFUNCTION("IFNA(VLOOKUP(IFNA(REGEXEXTRACT(F297, ""(Пасхи|50-ці|посту)""),""""),lists!$A$39:$B$41,2,FALSE),"""")"),"pentecost")</f>
        <v>pentecost</v>
      </c>
      <c r="O297" s="19" t="str">
        <f>IFERROR(__xludf.DUMMYFUNCTION("IFNA(REGEXEXTRACT(F297, ""\d{1,2}""),"""")"),"21")</f>
        <v>21</v>
      </c>
      <c r="P297" s="20" t="b">
        <f t="shared" si="3"/>
        <v>0</v>
      </c>
    </row>
    <row r="298">
      <c r="A298" s="9" t="s">
        <v>644</v>
      </c>
      <c r="B298" s="9" t="str">
        <f t="shared" si="1"/>
        <v>Кол.</v>
      </c>
      <c r="C298" s="10" t="s">
        <v>17</v>
      </c>
      <c r="D298" s="11" t="str">
        <f t="shared" si="2"/>
        <v>254</v>
      </c>
      <c r="E298" s="9"/>
      <c r="F298" s="21" t="s">
        <v>645</v>
      </c>
      <c r="G298" s="14"/>
      <c r="H298" s="15" t="s">
        <v>70</v>
      </c>
      <c r="I298" s="16" t="s">
        <v>71</v>
      </c>
      <c r="J298" s="23" t="s">
        <v>71</v>
      </c>
      <c r="K298" s="17"/>
      <c r="L298" s="16" t="s">
        <v>71</v>
      </c>
      <c r="M298" s="18" t="str">
        <f>IFNA( VLOOKUP(LEFT(F298, IFERROR(FIND(" ", F298, 1),1) - 1), lists!$A$31:$B$37, 2, FALSE),"")</f>
        <v/>
      </c>
      <c r="N298" s="18" t="str">
        <f>IFERROR(__xludf.DUMMYFUNCTION("IFNA(VLOOKUP(IFNA(REGEXEXTRACT(F298, ""(Пасхи|50-ці|посту)""),""""),lists!$A$39:$B$41,2,FALSE),"""")"),"")</f>
        <v/>
      </c>
      <c r="O298" s="19" t="str">
        <f>IFERROR(__xludf.DUMMYFUNCTION("IFNA(REGEXEXTRACT(F298, ""\d{1,2}""),"""")"),"")</f>
        <v/>
      </c>
      <c r="P298" s="20" t="b">
        <f t="shared" si="3"/>
        <v>0</v>
      </c>
    </row>
    <row r="299">
      <c r="A299" s="9" t="s">
        <v>646</v>
      </c>
      <c r="B299" s="9" t="str">
        <f t="shared" si="1"/>
        <v>Кол.</v>
      </c>
      <c r="C299" s="10" t="s">
        <v>17</v>
      </c>
      <c r="D299" s="11" t="str">
        <f t="shared" si="2"/>
        <v>255</v>
      </c>
      <c r="E299" s="9"/>
      <c r="F299" s="25" t="s">
        <v>647</v>
      </c>
      <c r="G299" s="14"/>
      <c r="H299" s="22"/>
      <c r="I299" s="16" t="s">
        <v>29</v>
      </c>
      <c r="J299" s="23" t="s">
        <v>470</v>
      </c>
      <c r="K299" s="17"/>
      <c r="L299" s="16">
        <v>1.0</v>
      </c>
      <c r="M299" s="18">
        <f>IFNA( VLOOKUP(LEFT(F299, IFERROR(FIND(" ", F299, 1),1) - 1), lists!$A$31:$B$37, 2, FALSE),"")</f>
        <v>1</v>
      </c>
      <c r="N299" s="18" t="str">
        <f>IFERROR(__xludf.DUMMYFUNCTION("IFNA(VLOOKUP(IFNA(REGEXEXTRACT(F299, ""(Пасхи|50-ці|посту)""),""""),lists!$A$39:$B$41,2,FALSE),"""")"),"pentecost")</f>
        <v>pentecost</v>
      </c>
      <c r="O299" s="19" t="str">
        <f>IFERROR(__xludf.DUMMYFUNCTION("IFNA(REGEXEXTRACT(F299, ""\d{1,2}""),"""")"),"22")</f>
        <v>22</v>
      </c>
      <c r="P299" s="20" t="b">
        <f t="shared" si="3"/>
        <v>0</v>
      </c>
    </row>
    <row r="300">
      <c r="A300" s="9" t="s">
        <v>648</v>
      </c>
      <c r="B300" s="9" t="str">
        <f t="shared" si="1"/>
        <v>Кол.</v>
      </c>
      <c r="C300" s="10" t="s">
        <v>17</v>
      </c>
      <c r="D300" s="11" t="str">
        <f t="shared" si="2"/>
        <v>256</v>
      </c>
      <c r="E300" s="9"/>
      <c r="F300" s="25" t="s">
        <v>649</v>
      </c>
      <c r="G300" s="14"/>
      <c r="H300" s="22"/>
      <c r="I300" s="16" t="s">
        <v>29</v>
      </c>
      <c r="J300" s="23" t="s">
        <v>470</v>
      </c>
      <c r="K300" s="17"/>
      <c r="L300" s="16">
        <v>2.0</v>
      </c>
      <c r="M300" s="18">
        <f>IFNA( VLOOKUP(LEFT(F300, IFERROR(FIND(" ", F300, 1),1) - 1), lists!$A$31:$B$37, 2, FALSE),"")</f>
        <v>2</v>
      </c>
      <c r="N300" s="18" t="str">
        <f>IFERROR(__xludf.DUMMYFUNCTION("IFNA(VLOOKUP(IFNA(REGEXEXTRACT(F300, ""(Пасхи|50-ці|посту)""),""""),lists!$A$39:$B$41,2,FALSE),"""")"),"pentecost")</f>
        <v>pentecost</v>
      </c>
      <c r="O300" s="19" t="str">
        <f>IFERROR(__xludf.DUMMYFUNCTION("IFNA(REGEXEXTRACT(F300, ""\d{1,2}""),"""")"),"22")</f>
        <v>22</v>
      </c>
      <c r="P300" s="20" t="b">
        <f t="shared" si="3"/>
        <v>0</v>
      </c>
    </row>
    <row r="301">
      <c r="A301" s="9" t="s">
        <v>650</v>
      </c>
      <c r="B301" s="9" t="str">
        <f t="shared" si="1"/>
        <v>Кол.</v>
      </c>
      <c r="C301" s="10" t="s">
        <v>17</v>
      </c>
      <c r="D301" s="11" t="str">
        <f t="shared" si="2"/>
        <v>257</v>
      </c>
      <c r="E301" s="9"/>
      <c r="F301" s="21" t="s">
        <v>651</v>
      </c>
      <c r="G301" s="25"/>
      <c r="H301" s="22"/>
      <c r="I301" s="16" t="s">
        <v>29</v>
      </c>
      <c r="J301" s="23" t="s">
        <v>572</v>
      </c>
      <c r="K301" s="17"/>
      <c r="L301" s="16">
        <v>7.0</v>
      </c>
      <c r="M301" s="18">
        <f>IFNA( VLOOKUP(LEFT(F301, IFERROR(FIND(" ", F301, 1),1) - 1), lists!$A$31:$B$37, 2, FALSE),"")</f>
        <v>7</v>
      </c>
      <c r="N301" s="18" t="str">
        <f>IFERROR(__xludf.DUMMYFUNCTION("IFNA(VLOOKUP(IFNA(REGEXEXTRACT(F301, ""(Пасхи|50-ці|посту)""),""""),lists!$A$39:$B$41,2,FALSE),"""")"),"pentecost")</f>
        <v>pentecost</v>
      </c>
      <c r="O301" s="19" t="str">
        <f>IFERROR(__xludf.DUMMYFUNCTION("IFNA(REGEXEXTRACT(F301, ""\d{1,2}""),"""")"),"29")</f>
        <v>29</v>
      </c>
      <c r="P301" s="20" t="b">
        <f t="shared" si="3"/>
        <v>0</v>
      </c>
    </row>
    <row r="302">
      <c r="A302" s="9" t="s">
        <v>652</v>
      </c>
      <c r="B302" s="9" t="str">
        <f t="shared" si="1"/>
        <v>Кол.</v>
      </c>
      <c r="C302" s="10" t="s">
        <v>17</v>
      </c>
      <c r="D302" s="11" t="str">
        <f t="shared" si="2"/>
        <v>258</v>
      </c>
      <c r="E302" s="9"/>
      <c r="F302" s="21" t="s">
        <v>653</v>
      </c>
      <c r="G302" s="25"/>
      <c r="H302" s="22"/>
      <c r="I302" s="16" t="s">
        <v>29</v>
      </c>
      <c r="J302" s="23" t="s">
        <v>591</v>
      </c>
      <c r="K302" s="17"/>
      <c r="L302" s="16">
        <v>7.0</v>
      </c>
      <c r="M302" s="18">
        <f>IFNA( VLOOKUP(LEFT(F302, IFERROR(FIND(" ", F302, 1),1) - 1), lists!$A$31:$B$37, 2, FALSE),"")</f>
        <v>7</v>
      </c>
      <c r="N302" s="18" t="str">
        <f>IFERROR(__xludf.DUMMYFUNCTION("IFNA(VLOOKUP(IFNA(REGEXEXTRACT(F302, ""(Пасхи|50-ці|посту)""),""""),lists!$A$39:$B$41,2,FALSE),"""")"),"pentecost")</f>
        <v>pentecost</v>
      </c>
      <c r="O302" s="19" t="str">
        <f>IFERROR(__xludf.DUMMYFUNCTION("IFNA(REGEXEXTRACT(F302, ""\d{1,2}""),"""")"),"30")</f>
        <v>30</v>
      </c>
      <c r="P302" s="20" t="b">
        <f t="shared" si="3"/>
        <v>0</v>
      </c>
    </row>
    <row r="303">
      <c r="A303" s="9" t="s">
        <v>654</v>
      </c>
      <c r="B303" s="9" t="str">
        <f t="shared" si="1"/>
        <v>Кол.</v>
      </c>
      <c r="C303" s="10" t="s">
        <v>17</v>
      </c>
      <c r="D303" s="11" t="str">
        <f t="shared" si="2"/>
        <v>259</v>
      </c>
      <c r="E303" s="9"/>
      <c r="F303" s="25" t="s">
        <v>655</v>
      </c>
      <c r="G303" s="14"/>
      <c r="H303" s="22"/>
      <c r="I303" s="16" t="s">
        <v>29</v>
      </c>
      <c r="J303" s="23" t="s">
        <v>470</v>
      </c>
      <c r="K303" s="17"/>
      <c r="L303" s="16">
        <v>3.0</v>
      </c>
      <c r="M303" s="18">
        <f>IFNA( VLOOKUP(LEFT(F303, IFERROR(FIND(" ", F303, 1),1) - 1), lists!$A$31:$B$37, 2, FALSE),"")</f>
        <v>3</v>
      </c>
      <c r="N303" s="18" t="str">
        <f>IFERROR(__xludf.DUMMYFUNCTION("IFNA(VLOOKUP(IFNA(REGEXEXTRACT(F303, ""(Пасхи|50-ці|посту)""),""""),lists!$A$39:$B$41,2,FALSE),"""")"),"pentecost")</f>
        <v>pentecost</v>
      </c>
      <c r="O303" s="19" t="str">
        <f>IFERROR(__xludf.DUMMYFUNCTION("IFNA(REGEXEXTRACT(F303, ""\d{1,2}""),"""")"),"22")</f>
        <v>22</v>
      </c>
      <c r="P303" s="20" t="b">
        <f t="shared" si="3"/>
        <v>0</v>
      </c>
    </row>
    <row r="304">
      <c r="A304" s="9" t="s">
        <v>656</v>
      </c>
      <c r="B304" s="9" t="str">
        <f t="shared" si="1"/>
        <v>Кол.</v>
      </c>
      <c r="C304" s="10" t="s">
        <v>17</v>
      </c>
      <c r="D304" s="11" t="str">
        <f t="shared" si="2"/>
        <v>260</v>
      </c>
      <c r="E304" s="12" t="s">
        <v>18</v>
      </c>
      <c r="F304" s="25" t="s">
        <v>657</v>
      </c>
      <c r="G304" s="14"/>
      <c r="H304" s="22"/>
      <c r="I304" s="16" t="s">
        <v>29</v>
      </c>
      <c r="J304" s="23" t="s">
        <v>470</v>
      </c>
      <c r="K304" s="17"/>
      <c r="L304" s="16">
        <v>4.0</v>
      </c>
      <c r="M304" s="18">
        <f>IFNA( VLOOKUP(LEFT(F304, IFERROR(FIND(" ", F304, 1),1) - 1), lists!$A$31:$B$37, 2, FALSE),"")</f>
        <v>4</v>
      </c>
      <c r="N304" s="18" t="str">
        <f>IFERROR(__xludf.DUMMYFUNCTION("IFNA(VLOOKUP(IFNA(REGEXEXTRACT(F304, ""(Пасхи|50-ці|посту)""),""""),lists!$A$39:$B$41,2,FALSE),"""")"),"pentecost")</f>
        <v>pentecost</v>
      </c>
      <c r="O304" s="19" t="str">
        <f>IFERROR(__xludf.DUMMYFUNCTION("IFNA(REGEXEXTRACT(F304, ""\d{1,2}""),"""")"),"22")</f>
        <v>22</v>
      </c>
      <c r="P304" s="20" t="b">
        <f t="shared" si="3"/>
        <v>0</v>
      </c>
    </row>
    <row r="305">
      <c r="A305" s="9" t="s">
        <v>658</v>
      </c>
      <c r="B305" s="9" t="str">
        <f t="shared" si="1"/>
        <v>Кол.</v>
      </c>
      <c r="C305" s="10" t="s">
        <v>17</v>
      </c>
      <c r="D305" s="11" t="str">
        <f t="shared" si="2"/>
        <v>260</v>
      </c>
      <c r="E305" s="12" t="s">
        <v>22</v>
      </c>
      <c r="F305" s="21" t="s">
        <v>659</v>
      </c>
      <c r="G305" s="14"/>
      <c r="H305" s="15" t="s">
        <v>70</v>
      </c>
      <c r="I305" s="16" t="s">
        <v>71</v>
      </c>
      <c r="J305" s="23" t="s">
        <v>71</v>
      </c>
      <c r="K305" s="17"/>
      <c r="L305" s="16" t="s">
        <v>71</v>
      </c>
      <c r="M305" s="18" t="str">
        <f>IFNA( VLOOKUP(LEFT(F305, IFERROR(FIND(" ", F305, 1),1) - 1), lists!$A$31:$B$37, 2, FALSE),"")</f>
        <v/>
      </c>
      <c r="N305" s="18" t="str">
        <f>IFERROR(__xludf.DUMMYFUNCTION("IFNA(VLOOKUP(IFNA(REGEXEXTRACT(F305, ""(Пасхи|50-ці|посту)""),""""),lists!$A$39:$B$41,2,FALSE),"""")"),"")</f>
        <v/>
      </c>
      <c r="O305" s="19" t="str">
        <f>IFERROR(__xludf.DUMMYFUNCTION("IFNA(REGEXEXTRACT(F305, ""\d{1,2}""),"""")"),"")</f>
        <v/>
      </c>
      <c r="P305" s="20" t="b">
        <f t="shared" si="3"/>
        <v>0</v>
      </c>
    </row>
    <row r="306">
      <c r="A306" s="9" t="s">
        <v>660</v>
      </c>
      <c r="B306" s="9" t="str">
        <f t="shared" si="1"/>
        <v>Кол.</v>
      </c>
      <c r="C306" s="10" t="s">
        <v>17</v>
      </c>
      <c r="D306" s="11" t="str">
        <f t="shared" si="2"/>
        <v>261</v>
      </c>
      <c r="E306" s="9"/>
      <c r="F306" s="25" t="s">
        <v>661</v>
      </c>
      <c r="G306" s="14"/>
      <c r="H306" s="22"/>
      <c r="I306" s="16" t="s">
        <v>29</v>
      </c>
      <c r="J306" s="23" t="s">
        <v>470</v>
      </c>
      <c r="K306" s="17"/>
      <c r="L306" s="16">
        <v>5.0</v>
      </c>
      <c r="M306" s="18">
        <f>IFNA( VLOOKUP(LEFT(F306, IFERROR(FIND(" ", F306, 1),1) - 1), lists!$A$31:$B$37, 2, FALSE),"")</f>
        <v>5</v>
      </c>
      <c r="N306" s="18" t="str">
        <f>IFERROR(__xludf.DUMMYFUNCTION("IFNA(VLOOKUP(IFNA(REGEXEXTRACT(F306, ""(Пасхи|50-ці|посту)""),""""),lists!$A$39:$B$41,2,FALSE),"""")"),"pentecost")</f>
        <v>pentecost</v>
      </c>
      <c r="O306" s="19" t="str">
        <f>IFERROR(__xludf.DUMMYFUNCTION("IFNA(REGEXEXTRACT(F306, ""\d{1,2}""),"""")"),"22")</f>
        <v>22</v>
      </c>
      <c r="P306" s="20" t="b">
        <f t="shared" si="3"/>
        <v>0</v>
      </c>
    </row>
    <row r="307">
      <c r="A307" s="9" t="s">
        <v>662</v>
      </c>
      <c r="B307" s="9" t="str">
        <f t="shared" si="1"/>
        <v>1 Сол.</v>
      </c>
      <c r="C307" s="10" t="s">
        <v>17</v>
      </c>
      <c r="D307" s="11" t="str">
        <f t="shared" si="2"/>
        <v>262</v>
      </c>
      <c r="E307" s="9"/>
      <c r="F307" s="25" t="s">
        <v>663</v>
      </c>
      <c r="G307" s="14"/>
      <c r="H307" s="22"/>
      <c r="I307" s="16" t="s">
        <v>29</v>
      </c>
      <c r="J307" s="23" t="s">
        <v>487</v>
      </c>
      <c r="K307" s="17"/>
      <c r="L307" s="16">
        <v>1.0</v>
      </c>
      <c r="M307" s="18">
        <f>IFNA( VLOOKUP(LEFT(F307, IFERROR(FIND(" ", F307, 1),1) - 1), lists!$A$31:$B$37, 2, FALSE),"")</f>
        <v>1</v>
      </c>
      <c r="N307" s="18" t="str">
        <f>IFERROR(__xludf.DUMMYFUNCTION("IFNA(VLOOKUP(IFNA(REGEXEXTRACT(F307, ""(Пасхи|50-ці|посту)""),""""),lists!$A$39:$B$41,2,FALSE),"""")"),"pentecost")</f>
        <v>pentecost</v>
      </c>
      <c r="O307" s="19" t="str">
        <f>IFERROR(__xludf.DUMMYFUNCTION("IFNA(REGEXEXTRACT(F307, ""\d{1,2}""),"""")"),"23")</f>
        <v>23</v>
      </c>
      <c r="P307" s="20" t="b">
        <f t="shared" si="3"/>
        <v>0</v>
      </c>
    </row>
    <row r="308">
      <c r="A308" s="9" t="s">
        <v>664</v>
      </c>
      <c r="B308" s="9" t="str">
        <f t="shared" si="1"/>
        <v>1 Сол.</v>
      </c>
      <c r="C308" s="10" t="s">
        <v>17</v>
      </c>
      <c r="D308" s="11" t="str">
        <f t="shared" si="2"/>
        <v>263</v>
      </c>
      <c r="E308" s="9"/>
      <c r="F308" s="25" t="s">
        <v>665</v>
      </c>
      <c r="G308" s="14"/>
      <c r="H308" s="22"/>
      <c r="I308" s="16" t="s">
        <v>29</v>
      </c>
      <c r="J308" s="23" t="s">
        <v>487</v>
      </c>
      <c r="K308" s="17"/>
      <c r="L308" s="16">
        <v>2.0</v>
      </c>
      <c r="M308" s="18">
        <f>IFNA( VLOOKUP(LEFT(F308, IFERROR(FIND(" ", F308, 1),1) - 1), lists!$A$31:$B$37, 2, FALSE),"")</f>
        <v>2</v>
      </c>
      <c r="N308" s="18" t="str">
        <f>IFERROR(__xludf.DUMMYFUNCTION("IFNA(VLOOKUP(IFNA(REGEXEXTRACT(F308, ""(Пасхи|50-ці|посту)""),""""),lists!$A$39:$B$41,2,FALSE),"""")"),"pentecost")</f>
        <v>pentecost</v>
      </c>
      <c r="O308" s="19" t="str">
        <f>IFERROR(__xludf.DUMMYFUNCTION("IFNA(REGEXEXTRACT(F308, ""\d{1,2}""),"""")"),"23")</f>
        <v>23</v>
      </c>
      <c r="P308" s="20" t="b">
        <f t="shared" si="3"/>
        <v>0</v>
      </c>
    </row>
    <row r="309">
      <c r="A309" s="9" t="s">
        <v>666</v>
      </c>
      <c r="B309" s="9" t="str">
        <f t="shared" si="1"/>
        <v>1 Сол.</v>
      </c>
      <c r="C309" s="10" t="s">
        <v>17</v>
      </c>
      <c r="D309" s="11" t="str">
        <f t="shared" si="2"/>
        <v>264</v>
      </c>
      <c r="E309" s="9"/>
      <c r="F309" s="25" t="s">
        <v>667</v>
      </c>
      <c r="G309" s="14"/>
      <c r="H309" s="22"/>
      <c r="I309" s="16" t="s">
        <v>29</v>
      </c>
      <c r="J309" s="23" t="s">
        <v>487</v>
      </c>
      <c r="K309" s="17"/>
      <c r="L309" s="16">
        <v>3.0</v>
      </c>
      <c r="M309" s="18">
        <f>IFNA( VLOOKUP(LEFT(F309, IFERROR(FIND(" ", F309, 1),1) - 1), lists!$A$31:$B$37, 2, FALSE),"")</f>
        <v>3</v>
      </c>
      <c r="N309" s="18" t="str">
        <f>IFERROR(__xludf.DUMMYFUNCTION("IFNA(VLOOKUP(IFNA(REGEXEXTRACT(F309, ""(Пасхи|50-ці|посту)""),""""),lists!$A$39:$B$41,2,FALSE),"""")"),"pentecost")</f>
        <v>pentecost</v>
      </c>
      <c r="O309" s="19" t="str">
        <f>IFERROR(__xludf.DUMMYFUNCTION("IFNA(REGEXEXTRACT(F309, ""\d{1,2}""),"""")"),"23")</f>
        <v>23</v>
      </c>
      <c r="P309" s="20" t="b">
        <f t="shared" si="3"/>
        <v>0</v>
      </c>
    </row>
    <row r="310">
      <c r="A310" s="9" t="s">
        <v>668</v>
      </c>
      <c r="B310" s="9" t="str">
        <f t="shared" si="1"/>
        <v>1 Сол.</v>
      </c>
      <c r="C310" s="10" t="s">
        <v>17</v>
      </c>
      <c r="D310" s="11" t="str">
        <f t="shared" si="2"/>
        <v>265</v>
      </c>
      <c r="E310" s="9"/>
      <c r="F310" s="25" t="s">
        <v>669</v>
      </c>
      <c r="G310" s="14"/>
      <c r="H310" s="22"/>
      <c r="I310" s="16" t="s">
        <v>29</v>
      </c>
      <c r="J310" s="23" t="s">
        <v>487</v>
      </c>
      <c r="K310" s="17"/>
      <c r="L310" s="16">
        <v>4.0</v>
      </c>
      <c r="M310" s="18">
        <f>IFNA( VLOOKUP(LEFT(F310, IFERROR(FIND(" ", F310, 1),1) - 1), lists!$A$31:$B$37, 2, FALSE),"")</f>
        <v>4</v>
      </c>
      <c r="N310" s="18" t="str">
        <f>IFERROR(__xludf.DUMMYFUNCTION("IFNA(VLOOKUP(IFNA(REGEXEXTRACT(F310, ""(Пасхи|50-ці|посту)""),""""),lists!$A$39:$B$41,2,FALSE),"""")"),"pentecost")</f>
        <v>pentecost</v>
      </c>
      <c r="O310" s="19" t="str">
        <f>IFERROR(__xludf.DUMMYFUNCTION("IFNA(REGEXEXTRACT(F310, ""\d{1,2}""),"""")"),"23")</f>
        <v>23</v>
      </c>
      <c r="P310" s="20" t="b">
        <f t="shared" si="3"/>
        <v>0</v>
      </c>
    </row>
    <row r="311">
      <c r="A311" s="9" t="s">
        <v>670</v>
      </c>
      <c r="B311" s="9" t="str">
        <f t="shared" si="1"/>
        <v>1 Сол.</v>
      </c>
      <c r="C311" s="10" t="s">
        <v>17</v>
      </c>
      <c r="D311" s="11" t="str">
        <f t="shared" si="2"/>
        <v>266</v>
      </c>
      <c r="E311" s="9"/>
      <c r="F311" s="25" t="s">
        <v>671</v>
      </c>
      <c r="G311" s="14"/>
      <c r="H311" s="22"/>
      <c r="I311" s="16" t="s">
        <v>29</v>
      </c>
      <c r="J311" s="23" t="s">
        <v>487</v>
      </c>
      <c r="K311" s="17"/>
      <c r="L311" s="16">
        <v>5.0</v>
      </c>
      <c r="M311" s="18">
        <f>IFNA( VLOOKUP(LEFT(F311, IFERROR(FIND(" ", F311, 1),1) - 1), lists!$A$31:$B$37, 2, FALSE),"")</f>
        <v>5</v>
      </c>
      <c r="N311" s="18" t="str">
        <f>IFERROR(__xludf.DUMMYFUNCTION("IFNA(VLOOKUP(IFNA(REGEXEXTRACT(F311, ""(Пасхи|50-ці|посту)""),""""),lists!$A$39:$B$41,2,FALSE),"""")"),"pentecost")</f>
        <v>pentecost</v>
      </c>
      <c r="O311" s="19" t="str">
        <f>IFERROR(__xludf.DUMMYFUNCTION("IFNA(REGEXEXTRACT(F311, ""\d{1,2}""),"""")"),"23")</f>
        <v>23</v>
      </c>
      <c r="P311" s="20" t="b">
        <f t="shared" si="3"/>
        <v>0</v>
      </c>
    </row>
    <row r="312">
      <c r="A312" s="9" t="s">
        <v>672</v>
      </c>
      <c r="B312" s="9" t="str">
        <f t="shared" si="1"/>
        <v>1 Сол.</v>
      </c>
      <c r="C312" s="10" t="s">
        <v>17</v>
      </c>
      <c r="D312" s="11" t="str">
        <f t="shared" si="2"/>
        <v>267</v>
      </c>
      <c r="E312" s="9"/>
      <c r="F312" s="25" t="s">
        <v>673</v>
      </c>
      <c r="G312" s="14"/>
      <c r="H312" s="22"/>
      <c r="I312" s="16" t="s">
        <v>29</v>
      </c>
      <c r="J312" s="23" t="s">
        <v>500</v>
      </c>
      <c r="K312" s="17"/>
      <c r="L312" s="16">
        <v>1.0</v>
      </c>
      <c r="M312" s="18">
        <f>IFNA( VLOOKUP(LEFT(F312, IFERROR(FIND(" ", F312, 1),1) - 1), lists!$A$31:$B$37, 2, FALSE),"")</f>
        <v>1</v>
      </c>
      <c r="N312" s="18" t="str">
        <f>IFERROR(__xludf.DUMMYFUNCTION("IFNA(VLOOKUP(IFNA(REGEXEXTRACT(F312, ""(Пасхи|50-ці|посту)""),""""),lists!$A$39:$B$41,2,FALSE),"""")"),"pentecost")</f>
        <v>pentecost</v>
      </c>
      <c r="O312" s="19" t="str">
        <f>IFERROR(__xludf.DUMMYFUNCTION("IFNA(REGEXEXTRACT(F312, ""\d{1,2}""),"""")"),"24")</f>
        <v>24</v>
      </c>
      <c r="P312" s="20" t="b">
        <f t="shared" si="3"/>
        <v>0</v>
      </c>
    </row>
    <row r="313">
      <c r="A313" s="9" t="s">
        <v>674</v>
      </c>
      <c r="B313" s="9" t="str">
        <f t="shared" si="1"/>
        <v>1 Сол.</v>
      </c>
      <c r="C313" s="10" t="s">
        <v>17</v>
      </c>
      <c r="D313" s="11" t="str">
        <f t="shared" si="2"/>
        <v>268</v>
      </c>
      <c r="E313" s="9"/>
      <c r="F313" s="25" t="s">
        <v>675</v>
      </c>
      <c r="G313" s="14"/>
      <c r="H313" s="22"/>
      <c r="I313" s="16" t="s">
        <v>29</v>
      </c>
      <c r="J313" s="23" t="s">
        <v>500</v>
      </c>
      <c r="K313" s="17"/>
      <c r="L313" s="16">
        <v>2.0</v>
      </c>
      <c r="M313" s="18">
        <f>IFNA( VLOOKUP(LEFT(F313, IFERROR(FIND(" ", F313, 1),1) - 1), lists!$A$31:$B$37, 2, FALSE),"")</f>
        <v>2</v>
      </c>
      <c r="N313" s="18" t="str">
        <f>IFERROR(__xludf.DUMMYFUNCTION("IFNA(VLOOKUP(IFNA(REGEXEXTRACT(F313, ""(Пасхи|50-ці|посту)""),""""),lists!$A$39:$B$41,2,FALSE),"""")"),"pentecost")</f>
        <v>pentecost</v>
      </c>
      <c r="O313" s="19" t="str">
        <f>IFERROR(__xludf.DUMMYFUNCTION("IFNA(REGEXEXTRACT(F313, ""\d{1,2}""),"""")"),"24")</f>
        <v>24</v>
      </c>
      <c r="P313" s="20" t="b">
        <f t="shared" si="3"/>
        <v>0</v>
      </c>
    </row>
    <row r="314">
      <c r="A314" s="9" t="s">
        <v>676</v>
      </c>
      <c r="B314" s="9" t="str">
        <f t="shared" si="1"/>
        <v>1 Сол.</v>
      </c>
      <c r="C314" s="10" t="s">
        <v>17</v>
      </c>
      <c r="D314" s="11" t="str">
        <f t="shared" si="2"/>
        <v>269</v>
      </c>
      <c r="E314" s="9"/>
      <c r="F314" s="25" t="s">
        <v>677</v>
      </c>
      <c r="G314" s="14"/>
      <c r="H314" s="22"/>
      <c r="I314" s="16" t="s">
        <v>29</v>
      </c>
      <c r="J314" s="23" t="s">
        <v>500</v>
      </c>
      <c r="K314" s="17"/>
      <c r="L314" s="16">
        <v>3.0</v>
      </c>
      <c r="M314" s="18">
        <f>IFNA( VLOOKUP(LEFT(F314, IFERROR(FIND(" ", F314, 1),1) - 1), lists!$A$31:$B$37, 2, FALSE),"")</f>
        <v>3</v>
      </c>
      <c r="N314" s="18" t="str">
        <f>IFERROR(__xludf.DUMMYFUNCTION("IFNA(VLOOKUP(IFNA(REGEXEXTRACT(F314, ""(Пасхи|50-ці|посту)""),""""),lists!$A$39:$B$41,2,FALSE),"""")"),"pentecost")</f>
        <v>pentecost</v>
      </c>
      <c r="O314" s="19" t="str">
        <f>IFERROR(__xludf.DUMMYFUNCTION("IFNA(REGEXEXTRACT(F314, ""\d{1,2}""),"""")"),"24")</f>
        <v>24</v>
      </c>
      <c r="P314" s="20" t="b">
        <f t="shared" si="3"/>
        <v>0</v>
      </c>
    </row>
    <row r="315">
      <c r="A315" s="9" t="s">
        <v>678</v>
      </c>
      <c r="B315" s="9" t="str">
        <f t="shared" si="1"/>
        <v>1 Сол.</v>
      </c>
      <c r="C315" s="10" t="s">
        <v>17</v>
      </c>
      <c r="D315" s="11" t="str">
        <f t="shared" si="2"/>
        <v>270</v>
      </c>
      <c r="E315" s="9"/>
      <c r="F315" s="27" t="s">
        <v>679</v>
      </c>
      <c r="G315" s="14"/>
      <c r="H315" s="15" t="s">
        <v>70</v>
      </c>
      <c r="I315" s="16" t="s">
        <v>71</v>
      </c>
      <c r="J315" s="23" t="s">
        <v>71</v>
      </c>
      <c r="K315" s="17"/>
      <c r="L315" s="16" t="s">
        <v>71</v>
      </c>
      <c r="M315" s="18" t="str">
        <f>IFNA( VLOOKUP(LEFT(F315, IFERROR(FIND(" ", F315, 1),1) - 1), lists!$A$31:$B$37, 2, FALSE),"")</f>
        <v/>
      </c>
      <c r="N315" s="18" t="str">
        <f>IFERROR(__xludf.DUMMYFUNCTION("IFNA(VLOOKUP(IFNA(REGEXEXTRACT(F315, ""(Пасхи|50-ці|посту)""),""""),lists!$A$39:$B$41,2,FALSE),"""")"),"")</f>
        <v/>
      </c>
      <c r="O315" s="19" t="str">
        <f>IFERROR(__xludf.DUMMYFUNCTION("IFNA(REGEXEXTRACT(F315, ""\d{1,2}""),"""")"),"")</f>
        <v/>
      </c>
      <c r="P315" s="20" t="b">
        <f t="shared" si="3"/>
        <v>0</v>
      </c>
    </row>
    <row r="316">
      <c r="A316" s="9" t="s">
        <v>680</v>
      </c>
      <c r="B316" s="9" t="str">
        <f t="shared" si="1"/>
        <v>1 Сол.</v>
      </c>
      <c r="C316" s="10" t="s">
        <v>17</v>
      </c>
      <c r="D316" s="11" t="str">
        <f t="shared" si="2"/>
        <v>271</v>
      </c>
      <c r="E316" s="9"/>
      <c r="F316" s="25" t="s">
        <v>681</v>
      </c>
      <c r="G316" s="25"/>
      <c r="H316" s="22"/>
      <c r="I316" s="16" t="s">
        <v>29</v>
      </c>
      <c r="J316" s="23" t="s">
        <v>500</v>
      </c>
      <c r="K316" s="17"/>
      <c r="L316" s="16">
        <v>4.0</v>
      </c>
      <c r="M316" s="18">
        <f>IFNA( VLOOKUP(LEFT(F316, IFERROR(FIND(" ", F316, 1),1) - 1), lists!$A$31:$B$37, 2, FALSE),"")</f>
        <v>4</v>
      </c>
      <c r="N316" s="18" t="str">
        <f>IFERROR(__xludf.DUMMYFUNCTION("IFNA(VLOOKUP(IFNA(REGEXEXTRACT(F316, ""(Пасхи|50-ці|посту)""),""""),lists!$A$39:$B$41,2,FALSE),"""")"),"pentecost")</f>
        <v>pentecost</v>
      </c>
      <c r="O316" s="19" t="str">
        <f>IFERROR(__xludf.DUMMYFUNCTION("IFNA(REGEXEXTRACT(F316, ""\d{1,2}""),"""")"),"24")</f>
        <v>24</v>
      </c>
      <c r="P316" s="20" t="b">
        <f t="shared" si="3"/>
        <v>0</v>
      </c>
    </row>
    <row r="317">
      <c r="A317" s="9" t="s">
        <v>682</v>
      </c>
      <c r="B317" s="9" t="str">
        <f t="shared" si="1"/>
        <v>1 Сол.</v>
      </c>
      <c r="C317" s="10" t="s">
        <v>17</v>
      </c>
      <c r="D317" s="11" t="str">
        <f t="shared" si="2"/>
        <v>272</v>
      </c>
      <c r="E317" s="9"/>
      <c r="F317" s="25" t="s">
        <v>683</v>
      </c>
      <c r="G317" s="25"/>
      <c r="H317" s="22"/>
      <c r="I317" s="16" t="s">
        <v>29</v>
      </c>
      <c r="J317" s="23" t="s">
        <v>500</v>
      </c>
      <c r="K317" s="17"/>
      <c r="L317" s="16">
        <v>5.0</v>
      </c>
      <c r="M317" s="18">
        <f>IFNA( VLOOKUP(LEFT(F317, IFERROR(FIND(" ", F317, 1),1) - 1), lists!$A$31:$B$37, 2, FALSE),"")</f>
        <v>5</v>
      </c>
      <c r="N317" s="18" t="str">
        <f>IFERROR(__xludf.DUMMYFUNCTION("IFNA(VLOOKUP(IFNA(REGEXEXTRACT(F317, ""(Пасхи|50-ці|посту)""),""""),lists!$A$39:$B$41,2,FALSE),"""")"),"pentecost")</f>
        <v>pentecost</v>
      </c>
      <c r="O317" s="19" t="str">
        <f>IFERROR(__xludf.DUMMYFUNCTION("IFNA(REGEXEXTRACT(F317, ""\d{1,2}""),"""")"),"24")</f>
        <v>24</v>
      </c>
      <c r="P317" s="20" t="b">
        <f t="shared" si="3"/>
        <v>0</v>
      </c>
    </row>
    <row r="318">
      <c r="A318" s="9" t="s">
        <v>684</v>
      </c>
      <c r="B318" s="9" t="str">
        <f t="shared" si="1"/>
        <v>1 Сол.</v>
      </c>
      <c r="C318" s="10" t="s">
        <v>17</v>
      </c>
      <c r="D318" s="11" t="str">
        <f t="shared" si="2"/>
        <v>273</v>
      </c>
      <c r="E318" s="9"/>
      <c r="F318" s="25" t="s">
        <v>685</v>
      </c>
      <c r="G318" s="14"/>
      <c r="H318" s="22"/>
      <c r="I318" s="16" t="s">
        <v>29</v>
      </c>
      <c r="J318" s="23" t="s">
        <v>152</v>
      </c>
      <c r="K318" s="17"/>
      <c r="L318" s="16">
        <v>6.0</v>
      </c>
      <c r="M318" s="18">
        <f>IFNA( VLOOKUP(LEFT(F318, IFERROR(FIND(" ", F318, 1),1) - 1), lists!$A$31:$B$37, 2, FALSE),"")</f>
        <v>6</v>
      </c>
      <c r="N318" s="18" t="str">
        <f>IFERROR(__xludf.DUMMYFUNCTION("IFNA(VLOOKUP(IFNA(REGEXEXTRACT(F318, ""(Пасхи|50-ці|посту)""),""""),lists!$A$39:$B$41,2,FALSE),"""")"),"pentecost")</f>
        <v>pentecost</v>
      </c>
      <c r="O318" s="19" t="str">
        <f>IFERROR(__xludf.DUMMYFUNCTION("IFNA(REGEXEXTRACT(F318, ""\d{1,2}""),"""")"),"32")</f>
        <v>32</v>
      </c>
      <c r="P318" s="20" t="b">
        <f t="shared" si="3"/>
        <v>0</v>
      </c>
    </row>
    <row r="319">
      <c r="A319" s="9" t="s">
        <v>686</v>
      </c>
      <c r="B319" s="9" t="str">
        <f t="shared" si="1"/>
        <v>2 Сол.</v>
      </c>
      <c r="C319" s="10" t="s">
        <v>17</v>
      </c>
      <c r="D319" s="11" t="str">
        <f t="shared" si="2"/>
        <v>274</v>
      </c>
      <c r="E319" s="12" t="s">
        <v>18</v>
      </c>
      <c r="F319" s="25" t="s">
        <v>687</v>
      </c>
      <c r="G319" s="14"/>
      <c r="H319" s="22"/>
      <c r="I319" s="16" t="s">
        <v>29</v>
      </c>
      <c r="J319" s="23" t="s">
        <v>517</v>
      </c>
      <c r="K319" s="17"/>
      <c r="L319" s="16">
        <v>1.0</v>
      </c>
      <c r="M319" s="18">
        <f>IFNA( VLOOKUP(LEFT(F319, IFERROR(FIND(" ", F319, 1),1) - 1), lists!$A$31:$B$37, 2, FALSE),"")</f>
        <v>1</v>
      </c>
      <c r="N319" s="18" t="str">
        <f>IFERROR(__xludf.DUMMYFUNCTION("IFNA(VLOOKUP(IFNA(REGEXEXTRACT(F319, ""(Пасхи|50-ці|посту)""),""""),lists!$A$39:$B$41,2,FALSE),"""")"),"pentecost")</f>
        <v>pentecost</v>
      </c>
      <c r="O319" s="19" t="str">
        <f>IFERROR(__xludf.DUMMYFUNCTION("IFNA(REGEXEXTRACT(F319, ""\d{1,2}""),"""")"),"25")</f>
        <v>25</v>
      </c>
      <c r="P319" s="20" t="b">
        <f t="shared" si="3"/>
        <v>0</v>
      </c>
    </row>
    <row r="320">
      <c r="A320" s="9" t="s">
        <v>688</v>
      </c>
      <c r="B320" s="9" t="str">
        <f t="shared" si="1"/>
        <v>2 Сол.</v>
      </c>
      <c r="C320" s="10" t="s">
        <v>17</v>
      </c>
      <c r="D320" s="11" t="str">
        <f t="shared" si="2"/>
        <v>274</v>
      </c>
      <c r="E320" s="12" t="s">
        <v>22</v>
      </c>
      <c r="F320" s="25" t="s">
        <v>689</v>
      </c>
      <c r="G320" s="14"/>
      <c r="H320" s="22"/>
      <c r="I320" s="16" t="s">
        <v>29</v>
      </c>
      <c r="J320" s="23" t="s">
        <v>517</v>
      </c>
      <c r="K320" s="17"/>
      <c r="L320" s="16">
        <v>2.0</v>
      </c>
      <c r="M320" s="18">
        <f>IFNA( VLOOKUP(LEFT(F320, IFERROR(FIND(" ", F320, 1),1) - 1), lists!$A$31:$B$37, 2, FALSE),"")</f>
        <v>2</v>
      </c>
      <c r="N320" s="18" t="str">
        <f>IFERROR(__xludf.DUMMYFUNCTION("IFNA(VLOOKUP(IFNA(REGEXEXTRACT(F320, ""(Пасхи|50-ці|посту)""),""""),lists!$A$39:$B$41,2,FALSE),"""")"),"pentecost")</f>
        <v>pentecost</v>
      </c>
      <c r="O320" s="19" t="str">
        <f>IFERROR(__xludf.DUMMYFUNCTION("IFNA(REGEXEXTRACT(F320, ""\d{1,2}""),"""")"),"25")</f>
        <v>25</v>
      </c>
      <c r="P320" s="20" t="b">
        <f t="shared" si="3"/>
        <v>0</v>
      </c>
    </row>
    <row r="321">
      <c r="A321" s="9" t="s">
        <v>690</v>
      </c>
      <c r="B321" s="9" t="str">
        <f t="shared" si="1"/>
        <v>2 Сол.</v>
      </c>
      <c r="C321" s="10" t="s">
        <v>17</v>
      </c>
      <c r="D321" s="11" t="str">
        <f t="shared" si="2"/>
        <v>275</v>
      </c>
      <c r="E321" s="9"/>
      <c r="F321" s="25" t="s">
        <v>691</v>
      </c>
      <c r="G321" s="14"/>
      <c r="H321" s="22"/>
      <c r="I321" s="16" t="s">
        <v>29</v>
      </c>
      <c r="J321" s="23" t="s">
        <v>517</v>
      </c>
      <c r="K321" s="17"/>
      <c r="L321" s="16">
        <v>3.0</v>
      </c>
      <c r="M321" s="18">
        <f>IFNA( VLOOKUP(LEFT(F321, IFERROR(FIND(" ", F321, 1),1) - 1), lists!$A$31:$B$37, 2, FALSE),"")</f>
        <v>3</v>
      </c>
      <c r="N321" s="18" t="str">
        <f>IFERROR(__xludf.DUMMYFUNCTION("IFNA(VLOOKUP(IFNA(REGEXEXTRACT(F321, ""(Пасхи|50-ці|посту)""),""""),lists!$A$39:$B$41,2,FALSE),"""")"),"pentecost")</f>
        <v>pentecost</v>
      </c>
      <c r="O321" s="19" t="str">
        <f>IFERROR(__xludf.DUMMYFUNCTION("IFNA(REGEXEXTRACT(F321, ""\d{1,2}""),"""")"),"25")</f>
        <v>25</v>
      </c>
      <c r="P321" s="20" t="b">
        <f t="shared" si="3"/>
        <v>0</v>
      </c>
    </row>
    <row r="322">
      <c r="A322" s="9" t="s">
        <v>692</v>
      </c>
      <c r="B322" s="9" t="str">
        <f t="shared" si="1"/>
        <v>2 Сол.</v>
      </c>
      <c r="C322" s="10" t="s">
        <v>17</v>
      </c>
      <c r="D322" s="11" t="str">
        <f t="shared" si="2"/>
        <v>276</v>
      </c>
      <c r="E322" s="9"/>
      <c r="F322" s="25" t="s">
        <v>693</v>
      </c>
      <c r="G322" s="14"/>
      <c r="H322" s="22"/>
      <c r="I322" s="16" t="s">
        <v>29</v>
      </c>
      <c r="J322" s="23" t="s">
        <v>517</v>
      </c>
      <c r="K322" s="17"/>
      <c r="L322" s="16">
        <v>4.0</v>
      </c>
      <c r="M322" s="18">
        <f>IFNA( VLOOKUP(LEFT(F322, IFERROR(FIND(" ", F322, 1),1) - 1), lists!$A$31:$B$37, 2, FALSE),"")</f>
        <v>4</v>
      </c>
      <c r="N322" s="18" t="str">
        <f>IFERROR(__xludf.DUMMYFUNCTION("IFNA(VLOOKUP(IFNA(REGEXEXTRACT(F322, ""(Пасхи|50-ці|посту)""),""""),lists!$A$39:$B$41,2,FALSE),"""")"),"pentecost")</f>
        <v>pentecost</v>
      </c>
      <c r="O322" s="19" t="str">
        <f>IFERROR(__xludf.DUMMYFUNCTION("IFNA(REGEXEXTRACT(F322, ""\d{1,2}""),"""")"),"25")</f>
        <v>25</v>
      </c>
      <c r="P322" s="20" t="b">
        <f t="shared" si="3"/>
        <v>0</v>
      </c>
    </row>
    <row r="323">
      <c r="A323" s="9" t="s">
        <v>694</v>
      </c>
      <c r="B323" s="9" t="str">
        <f t="shared" si="1"/>
        <v>2 Сол.</v>
      </c>
      <c r="C323" s="10" t="s">
        <v>17</v>
      </c>
      <c r="D323" s="11" t="str">
        <f t="shared" si="2"/>
        <v>277</v>
      </c>
      <c r="E323" s="9"/>
      <c r="F323" s="25" t="s">
        <v>695</v>
      </c>
      <c r="G323" s="14"/>
      <c r="H323" s="22"/>
      <c r="I323" s="16" t="s">
        <v>29</v>
      </c>
      <c r="J323" s="23" t="s">
        <v>517</v>
      </c>
      <c r="K323" s="17"/>
      <c r="L323" s="16">
        <v>5.0</v>
      </c>
      <c r="M323" s="18">
        <f>IFNA( VLOOKUP(LEFT(F323, IFERROR(FIND(" ", F323, 1),1) - 1), lists!$A$31:$B$37, 2, FALSE),"")</f>
        <v>5</v>
      </c>
      <c r="N323" s="18" t="str">
        <f>IFERROR(__xludf.DUMMYFUNCTION("IFNA(VLOOKUP(IFNA(REGEXEXTRACT(F323, ""(Пасхи|50-ці|посту)""),""""),lists!$A$39:$B$41,2,FALSE),"""")"),"pentecost")</f>
        <v>pentecost</v>
      </c>
      <c r="O323" s="19" t="str">
        <f>IFERROR(__xludf.DUMMYFUNCTION("IFNA(REGEXEXTRACT(F323, ""\d{1,2}""),"""")"),"25")</f>
        <v>25</v>
      </c>
      <c r="P323" s="20" t="b">
        <f t="shared" si="3"/>
        <v>0</v>
      </c>
    </row>
    <row r="324">
      <c r="A324" s="9" t="s">
        <v>696</v>
      </c>
      <c r="B324" s="9" t="str">
        <f t="shared" si="1"/>
        <v>1 Тим.</v>
      </c>
      <c r="C324" s="10" t="s">
        <v>17</v>
      </c>
      <c r="D324" s="11" t="str">
        <f t="shared" si="2"/>
        <v>278</v>
      </c>
      <c r="E324" s="9"/>
      <c r="F324" s="25" t="s">
        <v>697</v>
      </c>
      <c r="G324" s="14"/>
      <c r="H324" s="22"/>
      <c r="I324" s="16" t="s">
        <v>29</v>
      </c>
      <c r="J324" s="23" t="s">
        <v>208</v>
      </c>
      <c r="K324" s="17"/>
      <c r="L324" s="16">
        <v>1.0</v>
      </c>
      <c r="M324" s="18">
        <f>IFNA( VLOOKUP(LEFT(F324, IFERROR(FIND(" ", F324, 1),1) - 1), lists!$A$31:$B$37, 2, FALSE),"")</f>
        <v>1</v>
      </c>
      <c r="N324" s="18" t="str">
        <f>IFERROR(__xludf.DUMMYFUNCTION("IFNA(VLOOKUP(IFNA(REGEXEXTRACT(F324, ""(Пасхи|50-ці|посту)""),""""),lists!$A$39:$B$41,2,FALSE),"""")"),"pentecost")</f>
        <v>pentecost</v>
      </c>
      <c r="O324" s="19" t="str">
        <f>IFERROR(__xludf.DUMMYFUNCTION("IFNA(REGEXEXTRACT(F324, ""\d{1,2}""),"""")"),"26")</f>
        <v>26</v>
      </c>
      <c r="P324" s="20" t="b">
        <f t="shared" si="3"/>
        <v>0</v>
      </c>
    </row>
    <row r="325">
      <c r="A325" s="9" t="s">
        <v>698</v>
      </c>
      <c r="B325" s="9" t="str">
        <f t="shared" si="1"/>
        <v>1 Тим.</v>
      </c>
      <c r="C325" s="10" t="s">
        <v>17</v>
      </c>
      <c r="D325" s="11" t="str">
        <f t="shared" si="2"/>
        <v>279</v>
      </c>
      <c r="E325" s="9"/>
      <c r="F325" s="25" t="s">
        <v>699</v>
      </c>
      <c r="G325" s="14"/>
      <c r="H325" s="22"/>
      <c r="I325" s="16" t="s">
        <v>29</v>
      </c>
      <c r="J325" s="23" t="s">
        <v>208</v>
      </c>
      <c r="K325" s="17"/>
      <c r="L325" s="16">
        <v>2.0</v>
      </c>
      <c r="M325" s="18">
        <f>IFNA( VLOOKUP(LEFT(F325, IFERROR(FIND(" ", F325, 1),1) - 1), lists!$A$31:$B$37, 2, FALSE),"")</f>
        <v>2</v>
      </c>
      <c r="N325" s="18" t="str">
        <f>IFERROR(__xludf.DUMMYFUNCTION("IFNA(VLOOKUP(IFNA(REGEXEXTRACT(F325, ""(Пасхи|50-ці|посту)""),""""),lists!$A$39:$B$41,2,FALSE),"""")"),"pentecost")</f>
        <v>pentecost</v>
      </c>
      <c r="O325" s="19" t="str">
        <f>IFERROR(__xludf.DUMMYFUNCTION("IFNA(REGEXEXTRACT(F325, ""\d{1,2}""),"""")"),"26")</f>
        <v>26</v>
      </c>
      <c r="P325" s="20" t="b">
        <f t="shared" si="3"/>
        <v>0</v>
      </c>
    </row>
    <row r="326">
      <c r="A326" s="9" t="s">
        <v>700</v>
      </c>
      <c r="B326" s="9" t="str">
        <f t="shared" si="1"/>
        <v>1 Тим.</v>
      </c>
      <c r="C326" s="10" t="s">
        <v>17</v>
      </c>
      <c r="D326" s="11" t="str">
        <f t="shared" si="2"/>
        <v>280</v>
      </c>
      <c r="E326" s="12" t="s">
        <v>18</v>
      </c>
      <c r="F326" s="13" t="s">
        <v>701</v>
      </c>
      <c r="G326" s="9" t="s">
        <v>702</v>
      </c>
      <c r="H326" s="15" t="s">
        <v>70</v>
      </c>
      <c r="I326" s="16" t="s">
        <v>71</v>
      </c>
      <c r="J326" s="23" t="s">
        <v>54</v>
      </c>
      <c r="K326" s="17"/>
      <c r="L326" s="16" t="s">
        <v>71</v>
      </c>
      <c r="M326" s="18" t="str">
        <f>IFNA( VLOOKUP(LEFT(F326, IFERROR(FIND(" ", F326, 1),1) - 1), lists!$A$31:$B$37, 2, FALSE),"")</f>
        <v/>
      </c>
      <c r="N326" s="18" t="str">
        <f>IFERROR(__xludf.DUMMYFUNCTION("IFNA(VLOOKUP(IFNA(REGEXEXTRACT(F326, ""(Пасхи|50-ці|посту)""),""""),lists!$A$39:$B$41,2,FALSE),"""")"),"")</f>
        <v/>
      </c>
      <c r="O326" s="19" t="str">
        <f>IFERROR(__xludf.DUMMYFUNCTION("IFNA(REGEXEXTRACT(F326, ""\d{1,2}""),"""")"),"2")</f>
        <v>2</v>
      </c>
      <c r="P326" s="20" t="b">
        <f t="shared" si="3"/>
        <v>0</v>
      </c>
    </row>
    <row r="327">
      <c r="A327" s="9" t="s">
        <v>703</v>
      </c>
      <c r="B327" s="9" t="str">
        <f t="shared" si="1"/>
        <v>1 Тим.</v>
      </c>
      <c r="C327" s="10" t="s">
        <v>17</v>
      </c>
      <c r="D327" s="11" t="str">
        <f t="shared" si="2"/>
        <v>280</v>
      </c>
      <c r="E327" s="12" t="s">
        <v>22</v>
      </c>
      <c r="F327" s="13" t="s">
        <v>704</v>
      </c>
      <c r="G327" s="14"/>
      <c r="H327" s="22"/>
      <c r="I327" s="16" t="s">
        <v>29</v>
      </c>
      <c r="J327" s="23" t="s">
        <v>143</v>
      </c>
      <c r="K327" s="17"/>
      <c r="L327" s="16">
        <v>7.0</v>
      </c>
      <c r="M327" s="18">
        <f>IFNA( VLOOKUP(LEFT(F327, IFERROR(FIND(" ", F327, 1),1) - 1), lists!$A$31:$B$37, 2, FALSE),"")</f>
        <v>7</v>
      </c>
      <c r="N327" s="18" t="str">
        <f>IFERROR(__xludf.DUMMYFUNCTION("IFNA(VLOOKUP(IFNA(REGEXEXTRACT(F327, ""(Пасхи|50-ці|посту)""),""""),lists!$A$39:$B$41,2,FALSE),"""")"),"pentecost")</f>
        <v>pentecost</v>
      </c>
      <c r="O327" s="19" t="str">
        <f>IFERROR(__xludf.DUMMYFUNCTION("IFNA(REGEXEXTRACT(F327, ""\d{1,2}""),"""")"),"31")</f>
        <v>31</v>
      </c>
      <c r="P327" s="20" t="b">
        <f t="shared" si="3"/>
        <v>0</v>
      </c>
    </row>
    <row r="328">
      <c r="A328" s="9" t="s">
        <v>705</v>
      </c>
      <c r="B328" s="9" t="str">
        <f t="shared" si="1"/>
        <v>1 Тим.</v>
      </c>
      <c r="C328" s="10" t="s">
        <v>17</v>
      </c>
      <c r="D328" s="11" t="str">
        <f t="shared" si="2"/>
        <v>281</v>
      </c>
      <c r="E328" s="9"/>
      <c r="F328" s="25" t="s">
        <v>706</v>
      </c>
      <c r="G328" s="14"/>
      <c r="H328" s="22"/>
      <c r="I328" s="16" t="s">
        <v>29</v>
      </c>
      <c r="J328" s="23" t="s">
        <v>208</v>
      </c>
      <c r="K328" s="17"/>
      <c r="L328" s="16">
        <v>3.0</v>
      </c>
      <c r="M328" s="18">
        <f>IFNA( VLOOKUP(LEFT(F328, IFERROR(FIND(" ", F328, 1),1) - 1), lists!$A$31:$B$37, 2, FALSE),"")</f>
        <v>3</v>
      </c>
      <c r="N328" s="18" t="str">
        <f>IFERROR(__xludf.DUMMYFUNCTION("IFNA(VLOOKUP(IFNA(REGEXEXTRACT(F328, ""(Пасхи|50-ці|посту)""),""""),lists!$A$39:$B$41,2,FALSE),"""")"),"pentecost")</f>
        <v>pentecost</v>
      </c>
      <c r="O328" s="19" t="str">
        <f>IFERROR(__xludf.DUMMYFUNCTION("IFNA(REGEXEXTRACT(F328, ""\d{1,2}""),"""")"),"26")</f>
        <v>26</v>
      </c>
      <c r="P328" s="20" t="b">
        <f t="shared" si="3"/>
        <v>0</v>
      </c>
    </row>
    <row r="329">
      <c r="A329" s="9" t="s">
        <v>707</v>
      </c>
      <c r="B329" s="9" t="str">
        <f t="shared" si="1"/>
        <v>1 Тим.</v>
      </c>
      <c r="C329" s="10" t="s">
        <v>17</v>
      </c>
      <c r="D329" s="11" t="str">
        <f t="shared" si="2"/>
        <v>282</v>
      </c>
      <c r="E329" s="9"/>
      <c r="F329" s="21" t="s">
        <v>708</v>
      </c>
      <c r="G329" s="14"/>
      <c r="H329" s="15" t="s">
        <v>70</v>
      </c>
      <c r="I329" s="16" t="s">
        <v>71</v>
      </c>
      <c r="J329" s="23" t="s">
        <v>166</v>
      </c>
      <c r="K329" s="17"/>
      <c r="L329" s="16" t="s">
        <v>71</v>
      </c>
      <c r="M329" s="18" t="str">
        <f>IFNA( VLOOKUP(LEFT(F329, IFERROR(FIND(" ", F329, 1),1) - 1), lists!$A$31:$B$37, 2, FALSE),"")</f>
        <v/>
      </c>
      <c r="N329" s="18" t="str">
        <f>IFERROR(__xludf.DUMMYFUNCTION("IFNA(VLOOKUP(IFNA(REGEXEXTRACT(F329, ""(Пасхи|50-ці|посту)""),""""),lists!$A$39:$B$41,2,FALSE),"""")"),"")</f>
        <v/>
      </c>
      <c r="O329" s="19" t="str">
        <f>IFERROR(__xludf.DUMMYFUNCTION("IFNA(REGEXEXTRACT(F329, ""\d{1,2}""),"""")"),"1")</f>
        <v>1</v>
      </c>
      <c r="P329" s="20" t="b">
        <f t="shared" si="3"/>
        <v>0</v>
      </c>
    </row>
    <row r="330">
      <c r="A330" s="9" t="s">
        <v>709</v>
      </c>
      <c r="B330" s="9" t="str">
        <f t="shared" si="1"/>
        <v>1 Тим.</v>
      </c>
      <c r="C330" s="10" t="s">
        <v>17</v>
      </c>
      <c r="D330" s="11" t="str">
        <f t="shared" si="2"/>
        <v>283</v>
      </c>
      <c r="E330" s="9"/>
      <c r="F330" s="25" t="s">
        <v>710</v>
      </c>
      <c r="G330" s="14"/>
      <c r="H330" s="22"/>
      <c r="I330" s="16" t="s">
        <v>29</v>
      </c>
      <c r="J330" s="23" t="s">
        <v>208</v>
      </c>
      <c r="K330" s="17"/>
      <c r="L330" s="16">
        <v>4.0</v>
      </c>
      <c r="M330" s="18">
        <f>IFNA( VLOOKUP(LEFT(F330, IFERROR(FIND(" ", F330, 1),1) - 1), lists!$A$31:$B$37, 2, FALSE),"")</f>
        <v>4</v>
      </c>
      <c r="N330" s="18" t="str">
        <f>IFERROR(__xludf.DUMMYFUNCTION("IFNA(VLOOKUP(IFNA(REGEXEXTRACT(F330, ""(Пасхи|50-ці|посту)""),""""),lists!$A$39:$B$41,2,FALSE),"""")"),"pentecost")</f>
        <v>pentecost</v>
      </c>
      <c r="O330" s="19" t="str">
        <f>IFERROR(__xludf.DUMMYFUNCTION("IFNA(REGEXEXTRACT(F330, ""\d{1,2}""),"""")"),"26")</f>
        <v>26</v>
      </c>
      <c r="P330" s="20" t="b">
        <f t="shared" si="3"/>
        <v>0</v>
      </c>
    </row>
    <row r="331">
      <c r="A331" s="9" t="s">
        <v>711</v>
      </c>
      <c r="B331" s="9" t="str">
        <f t="shared" si="1"/>
        <v>1 Тим.</v>
      </c>
      <c r="C331" s="10" t="s">
        <v>17</v>
      </c>
      <c r="D331" s="11" t="str">
        <f t="shared" si="2"/>
        <v>284</v>
      </c>
      <c r="E331" s="9"/>
      <c r="F331" s="27" t="s">
        <v>712</v>
      </c>
      <c r="G331" s="14"/>
      <c r="H331" s="15" t="s">
        <v>70</v>
      </c>
      <c r="I331" s="16" t="s">
        <v>71</v>
      </c>
      <c r="J331" s="23" t="s">
        <v>71</v>
      </c>
      <c r="K331" s="17"/>
      <c r="L331" s="16">
        <v>6.0</v>
      </c>
      <c r="M331" s="18">
        <f>IFNA( VLOOKUP(LEFT(F331, IFERROR(FIND(" ", F331, 1),1) - 1), lists!$A$31:$B$37, 2, FALSE),"")</f>
        <v>6</v>
      </c>
      <c r="N331" s="18" t="str">
        <f>IFERROR(__xludf.DUMMYFUNCTION("IFNA(VLOOKUP(IFNA(REGEXEXTRACT(F331, ""(Пасхи|50-ці|посту)""),""""),lists!$A$39:$B$41,2,FALSE),"""")"),"")</f>
        <v/>
      </c>
      <c r="O331" s="19" t="str">
        <f>IFERROR(__xludf.DUMMYFUNCTION("IFNA(REGEXEXTRACT(F331, ""\d{1,2}""),"""")"),"")</f>
        <v/>
      </c>
      <c r="P331" s="20" t="b">
        <f t="shared" si="3"/>
        <v>0</v>
      </c>
    </row>
    <row r="332">
      <c r="A332" s="9" t="s">
        <v>713</v>
      </c>
      <c r="B332" s="9" t="str">
        <f t="shared" si="1"/>
        <v>1 Тим.</v>
      </c>
      <c r="C332" s="10" t="s">
        <v>17</v>
      </c>
      <c r="D332" s="11" t="str">
        <f t="shared" si="2"/>
        <v>285</v>
      </c>
      <c r="E332" s="12" t="s">
        <v>18</v>
      </c>
      <c r="F332" s="25" t="s">
        <v>714</v>
      </c>
      <c r="G332" s="14"/>
      <c r="H332" s="22"/>
      <c r="I332" s="16" t="s">
        <v>29</v>
      </c>
      <c r="J332" s="23" t="s">
        <v>208</v>
      </c>
      <c r="K332" s="17"/>
      <c r="L332" s="16">
        <v>5.0</v>
      </c>
      <c r="M332" s="18">
        <f>IFNA( VLOOKUP(LEFT(F332, IFERROR(FIND(" ", F332, 1),1) - 1), lists!$A$31:$B$37, 2, FALSE),"")</f>
        <v>5</v>
      </c>
      <c r="N332" s="18" t="str">
        <f>IFERROR(__xludf.DUMMYFUNCTION("IFNA(VLOOKUP(IFNA(REGEXEXTRACT(F332, ""(Пасхи|50-ці|посту)""),""""),lists!$A$39:$B$41,2,FALSE),"""")"),"pentecost")</f>
        <v>pentecost</v>
      </c>
      <c r="O332" s="19" t="str">
        <f>IFERROR(__xludf.DUMMYFUNCTION("IFNA(REGEXEXTRACT(F332, ""\d{1,2}""),"""")"),"26")</f>
        <v>26</v>
      </c>
      <c r="P332" s="20" t="b">
        <f t="shared" si="3"/>
        <v>0</v>
      </c>
    </row>
    <row r="333">
      <c r="A333" s="9" t="s">
        <v>715</v>
      </c>
      <c r="B333" s="9" t="str">
        <f t="shared" si="1"/>
        <v>1 Тим.</v>
      </c>
      <c r="C333" s="10" t="s">
        <v>17</v>
      </c>
      <c r="D333" s="11" t="str">
        <f t="shared" si="2"/>
        <v>285</v>
      </c>
      <c r="E333" s="12" t="s">
        <v>22</v>
      </c>
      <c r="F333" s="25" t="s">
        <v>716</v>
      </c>
      <c r="G333" s="14"/>
      <c r="H333" s="22"/>
      <c r="I333" s="16" t="s">
        <v>29</v>
      </c>
      <c r="J333" s="23" t="s">
        <v>553</v>
      </c>
      <c r="K333" s="17"/>
      <c r="L333" s="16">
        <v>1.0</v>
      </c>
      <c r="M333" s="18">
        <f>IFNA( VLOOKUP(LEFT(F333, IFERROR(FIND(" ", F333, 1),1) - 1), lists!$A$31:$B$37, 2, FALSE),"")</f>
        <v>1</v>
      </c>
      <c r="N333" s="18" t="str">
        <f>IFERROR(__xludf.DUMMYFUNCTION("IFNA(VLOOKUP(IFNA(REGEXEXTRACT(F333, ""(Пасхи|50-ці|посту)""),""""),lists!$A$39:$B$41,2,FALSE),"""")"),"pentecost")</f>
        <v>pentecost</v>
      </c>
      <c r="O333" s="19" t="str">
        <f>IFERROR(__xludf.DUMMYFUNCTION("IFNA(REGEXEXTRACT(F333, ""\d{1,2}""),"""")"),"27")</f>
        <v>27</v>
      </c>
      <c r="P333" s="20" t="b">
        <f t="shared" si="3"/>
        <v>0</v>
      </c>
    </row>
    <row r="334">
      <c r="A334" s="9" t="s">
        <v>717</v>
      </c>
      <c r="B334" s="9" t="str">
        <f t="shared" si="1"/>
        <v>1 Тим.</v>
      </c>
      <c r="C334" s="10" t="s">
        <v>17</v>
      </c>
      <c r="D334" s="11" t="str">
        <f t="shared" si="2"/>
        <v>285</v>
      </c>
      <c r="E334" s="12" t="s">
        <v>116</v>
      </c>
      <c r="F334" s="21" t="s">
        <v>718</v>
      </c>
      <c r="G334" s="14"/>
      <c r="H334" s="22"/>
      <c r="I334" s="16" t="s">
        <v>29</v>
      </c>
      <c r="J334" s="23" t="s">
        <v>152</v>
      </c>
      <c r="K334" s="17"/>
      <c r="L334" s="16">
        <v>7.0</v>
      </c>
      <c r="M334" s="18">
        <f>IFNA( VLOOKUP(LEFT(F334, IFERROR(FIND(" ", F334, 1),1) - 1), lists!$A$31:$B$37, 2, FALSE),"")</f>
        <v>7</v>
      </c>
      <c r="N334" s="18" t="str">
        <f>IFERROR(__xludf.DUMMYFUNCTION("IFNA(VLOOKUP(IFNA(REGEXEXTRACT(F334, ""(Пасхи|50-ці|посту)""),""""),lists!$A$39:$B$41,2,FALSE),"""")"),"pentecost")</f>
        <v>pentecost</v>
      </c>
      <c r="O334" s="19" t="str">
        <f>IFERROR(__xludf.DUMMYFUNCTION("IFNA(REGEXEXTRACT(F334, ""\d{1,2}""),"""")"),"32")</f>
        <v>32</v>
      </c>
      <c r="P334" s="20" t="b">
        <f t="shared" si="3"/>
        <v>0</v>
      </c>
    </row>
    <row r="335">
      <c r="A335" s="9" t="s">
        <v>719</v>
      </c>
      <c r="B335" s="9" t="str">
        <f t="shared" si="1"/>
        <v>1 Тим.</v>
      </c>
      <c r="C335" s="10" t="s">
        <v>17</v>
      </c>
      <c r="D335" s="11" t="str">
        <f t="shared" si="2"/>
        <v>286</v>
      </c>
      <c r="E335" s="9"/>
      <c r="F335" s="25" t="s">
        <v>720</v>
      </c>
      <c r="G335" s="14"/>
      <c r="H335" s="22"/>
      <c r="I335" s="16" t="s">
        <v>29</v>
      </c>
      <c r="J335" s="23" t="s">
        <v>553</v>
      </c>
      <c r="K335" s="17"/>
      <c r="L335" s="16">
        <v>2.0</v>
      </c>
      <c r="M335" s="18">
        <f>IFNA( VLOOKUP(LEFT(F335, IFERROR(FIND(" ", F335, 1),1) - 1), lists!$A$31:$B$37, 2, FALSE),"")</f>
        <v>2</v>
      </c>
      <c r="N335" s="18" t="str">
        <f>IFERROR(__xludf.DUMMYFUNCTION("IFNA(VLOOKUP(IFNA(REGEXEXTRACT(F335, ""(Пасхи|50-ці|посту)""),""""),lists!$A$39:$B$41,2,FALSE),"""")"),"pentecost")</f>
        <v>pentecost</v>
      </c>
      <c r="O335" s="19" t="str">
        <f>IFERROR(__xludf.DUMMYFUNCTION("IFNA(REGEXEXTRACT(F335, ""\d{1,2}""),"""")"),"27")</f>
        <v>27</v>
      </c>
      <c r="P335" s="20" t="b">
        <f t="shared" si="3"/>
        <v>0</v>
      </c>
    </row>
    <row r="336">
      <c r="A336" s="9" t="s">
        <v>721</v>
      </c>
      <c r="B336" s="9" t="str">
        <f t="shared" si="1"/>
        <v>1 Тим.</v>
      </c>
      <c r="C336" s="10" t="s">
        <v>17</v>
      </c>
      <c r="D336" s="11" t="str">
        <f t="shared" si="2"/>
        <v>287</v>
      </c>
      <c r="E336" s="9"/>
      <c r="F336" s="25" t="s">
        <v>722</v>
      </c>
      <c r="G336" s="14"/>
      <c r="H336" s="22"/>
      <c r="I336" s="16" t="s">
        <v>29</v>
      </c>
      <c r="J336" s="23" t="s">
        <v>553</v>
      </c>
      <c r="K336" s="17"/>
      <c r="L336" s="16">
        <v>3.0</v>
      </c>
      <c r="M336" s="18">
        <f>IFNA( VLOOKUP(LEFT(F336, IFERROR(FIND(" ", F336, 1),1) - 1), lists!$A$31:$B$37, 2, FALSE),"")</f>
        <v>3</v>
      </c>
      <c r="N336" s="18" t="str">
        <f>IFERROR(__xludf.DUMMYFUNCTION("IFNA(VLOOKUP(IFNA(REGEXEXTRACT(F336, ""(Пасхи|50-ці|посту)""),""""),lists!$A$39:$B$41,2,FALSE),"""")"),"pentecost")</f>
        <v>pentecost</v>
      </c>
      <c r="O336" s="19" t="str">
        <f>IFERROR(__xludf.DUMMYFUNCTION("IFNA(REGEXEXTRACT(F336, ""\d{1,2}""),"""")"),"27")</f>
        <v>27</v>
      </c>
      <c r="P336" s="20" t="b">
        <f t="shared" si="3"/>
        <v>0</v>
      </c>
    </row>
    <row r="337">
      <c r="A337" s="9" t="s">
        <v>723</v>
      </c>
      <c r="B337" s="9" t="str">
        <f t="shared" si="1"/>
        <v>1 Тим.</v>
      </c>
      <c r="C337" s="10" t="s">
        <v>17</v>
      </c>
      <c r="D337" s="11" t="str">
        <f t="shared" si="2"/>
        <v>288</v>
      </c>
      <c r="E337" s="9"/>
      <c r="F337" s="13" t="s">
        <v>724</v>
      </c>
      <c r="G337" s="14"/>
      <c r="H337" s="15" t="s">
        <v>70</v>
      </c>
      <c r="I337" s="16" t="s">
        <v>71</v>
      </c>
      <c r="J337" s="23" t="s">
        <v>71</v>
      </c>
      <c r="K337" s="17"/>
      <c r="L337" s="16">
        <v>6.0</v>
      </c>
      <c r="M337" s="18">
        <f>IFNA( VLOOKUP(LEFT(F337, IFERROR(FIND(" ", F337, 1),1) - 1), lists!$A$31:$B$37, 2, FALSE),"")</f>
        <v>6</v>
      </c>
      <c r="N337" s="18" t="str">
        <f>IFERROR(__xludf.DUMMYFUNCTION("IFNA(VLOOKUP(IFNA(REGEXEXTRACT(F337, ""(Пасхи|50-ці|посту)""),""""),lists!$A$39:$B$41,2,FALSE),"""")"),"")</f>
        <v/>
      </c>
      <c r="O337" s="19" t="str">
        <f>IFERROR(__xludf.DUMMYFUNCTION("IFNA(REGEXEXTRACT(F337, ""\d{1,2}""),"""")"),"")</f>
        <v/>
      </c>
      <c r="P337" s="20" t="b">
        <f t="shared" si="3"/>
        <v>0</v>
      </c>
    </row>
    <row r="338">
      <c r="A338" s="9" t="s">
        <v>725</v>
      </c>
      <c r="B338" s="9" t="str">
        <f t="shared" si="1"/>
        <v>1 Тим.</v>
      </c>
      <c r="C338" s="10" t="s">
        <v>17</v>
      </c>
      <c r="D338" s="11" t="str">
        <f t="shared" si="2"/>
        <v>289</v>
      </c>
      <c r="E338" s="9"/>
      <c r="F338" s="25" t="s">
        <v>726</v>
      </c>
      <c r="G338" s="14"/>
      <c r="H338" s="22"/>
      <c r="I338" s="16" t="s">
        <v>29</v>
      </c>
      <c r="J338" s="23" t="s">
        <v>553</v>
      </c>
      <c r="K338" s="17"/>
      <c r="L338" s="16">
        <v>4.0</v>
      </c>
      <c r="M338" s="18">
        <f>IFNA( VLOOKUP(LEFT(F338, IFERROR(FIND(" ", F338, 1),1) - 1), lists!$A$31:$B$37, 2, FALSE),"")</f>
        <v>4</v>
      </c>
      <c r="N338" s="18" t="str">
        <f>IFERROR(__xludf.DUMMYFUNCTION("IFNA(VLOOKUP(IFNA(REGEXEXTRACT(F338, ""(Пасхи|50-ці|посту)""),""""),lists!$A$39:$B$41,2,FALSE),"""")"),"pentecost")</f>
        <v>pentecost</v>
      </c>
      <c r="O338" s="19" t="str">
        <f>IFERROR(__xludf.DUMMYFUNCTION("IFNA(REGEXEXTRACT(F338, ""\d{1,2}""),"""")"),"27")</f>
        <v>27</v>
      </c>
      <c r="P338" s="20" t="b">
        <f t="shared" si="3"/>
        <v>0</v>
      </c>
    </row>
    <row r="339">
      <c r="A339" s="9" t="s">
        <v>727</v>
      </c>
      <c r="B339" s="9" t="str">
        <f t="shared" si="1"/>
        <v>2 Тим.</v>
      </c>
      <c r="C339" s="10" t="s">
        <v>17</v>
      </c>
      <c r="D339" s="11" t="str">
        <f t="shared" si="2"/>
        <v>290</v>
      </c>
      <c r="E339" s="26" t="s">
        <v>18</v>
      </c>
      <c r="F339" s="25" t="s">
        <v>728</v>
      </c>
      <c r="G339" s="36" t="s">
        <v>729</v>
      </c>
      <c r="H339" s="22"/>
      <c r="I339" s="16" t="s">
        <v>29</v>
      </c>
      <c r="J339" s="23" t="s">
        <v>553</v>
      </c>
      <c r="K339" s="17"/>
      <c r="L339" s="16">
        <v>5.0</v>
      </c>
      <c r="M339" s="18">
        <f>IFNA( VLOOKUP(LEFT(F339, IFERROR(FIND(" ", F339, 1),1) - 1), lists!$A$31:$B$37, 2, FALSE),"")</f>
        <v>5</v>
      </c>
      <c r="N339" s="18" t="str">
        <f>IFERROR(__xludf.DUMMYFUNCTION("IFNA(VLOOKUP(IFNA(REGEXEXTRACT(F339, ""(Пасхи|50-ці|посту)""),""""),lists!$A$39:$B$41,2,FALSE),"""")"),"pentecost")</f>
        <v>pentecost</v>
      </c>
      <c r="O339" s="19" t="str">
        <f>IFERROR(__xludf.DUMMYFUNCTION("IFNA(REGEXEXTRACT(F339, ""\d{1,2}""),"""")"),"27")</f>
        <v>27</v>
      </c>
      <c r="P339" s="20" t="b">
        <f t="shared" si="3"/>
        <v>0</v>
      </c>
    </row>
    <row r="340">
      <c r="A340" s="9" t="s">
        <v>730</v>
      </c>
      <c r="B340" s="9" t="str">
        <f t="shared" si="1"/>
        <v>2 Тим.</v>
      </c>
      <c r="C340" s="10" t="s">
        <v>17</v>
      </c>
      <c r="D340" s="11" t="str">
        <f t="shared" si="2"/>
        <v>290</v>
      </c>
      <c r="E340" s="26" t="s">
        <v>22</v>
      </c>
      <c r="F340" s="21" t="s">
        <v>731</v>
      </c>
      <c r="G340" s="14"/>
      <c r="H340" s="15" t="s">
        <v>70</v>
      </c>
      <c r="I340" s="16" t="s">
        <v>71</v>
      </c>
      <c r="J340" s="23" t="s">
        <v>71</v>
      </c>
      <c r="K340" s="17"/>
      <c r="L340" s="16" t="s">
        <v>71</v>
      </c>
      <c r="M340" s="18" t="str">
        <f>IFNA( VLOOKUP(LEFT(F340, IFERROR(FIND(" ", F340, 1),1) - 1), lists!$A$31:$B$37, 2, FALSE),"")</f>
        <v/>
      </c>
      <c r="N340" s="18" t="str">
        <f>IFERROR(__xludf.DUMMYFUNCTION("IFNA(VLOOKUP(IFNA(REGEXEXTRACT(F340, ""(Пасхи|50-ці|посту)""),""""),lists!$A$39:$B$41,2,FALSE),"""")"),"")</f>
        <v/>
      </c>
      <c r="O340" s="19" t="str">
        <f>IFERROR(__xludf.DUMMYFUNCTION("IFNA(REGEXEXTRACT(F340, ""\d{1,2}""),"""")"),"")</f>
        <v/>
      </c>
      <c r="P340" s="20" t="b">
        <f t="shared" si="3"/>
        <v>0</v>
      </c>
    </row>
    <row r="341">
      <c r="A341" s="12" t="s">
        <v>732</v>
      </c>
      <c r="B341" s="9" t="str">
        <f t="shared" si="1"/>
        <v>2 Тим.</v>
      </c>
      <c r="C341" s="10" t="s">
        <v>17</v>
      </c>
      <c r="D341" s="11" t="str">
        <f t="shared" si="2"/>
        <v>291</v>
      </c>
      <c r="E341" s="9"/>
      <c r="F341" s="21" t="s">
        <v>733</v>
      </c>
      <c r="G341" s="14"/>
      <c r="H341" s="15" t="s">
        <v>70</v>
      </c>
      <c r="I341" s="16" t="s">
        <v>71</v>
      </c>
      <c r="J341" s="23" t="s">
        <v>278</v>
      </c>
      <c r="K341" s="17"/>
      <c r="L341" s="16" t="s">
        <v>71</v>
      </c>
      <c r="M341" s="18" t="str">
        <f>IFNA( VLOOKUP(LEFT(F341, IFERROR(FIND(" ", F341, 1),1) - 1), lists!$A$31:$B$37, 2, FALSE),"")</f>
        <v/>
      </c>
      <c r="N341" s="18" t="str">
        <f>IFERROR(__xludf.DUMMYFUNCTION("IFNA(VLOOKUP(IFNA(REGEXEXTRACT(F341, ""(Пасхи|50-ці|посту)""),""""),lists!$A$39:$B$41,2,FALSE),"""")"),"")</f>
        <v/>
      </c>
      <c r="O341" s="19" t="str">
        <f>IFERROR(__xludf.DUMMYFUNCTION("IFNA(REGEXEXTRACT(F341, ""\d{1,2}""),"""")"),"28")</f>
        <v>28</v>
      </c>
      <c r="P341" s="20" t="b">
        <f t="shared" si="3"/>
        <v>0</v>
      </c>
    </row>
    <row r="342">
      <c r="A342" s="9" t="s">
        <v>734</v>
      </c>
      <c r="B342" s="9" t="str">
        <f t="shared" si="1"/>
        <v>2 Тим.</v>
      </c>
      <c r="C342" s="10" t="s">
        <v>17</v>
      </c>
      <c r="D342" s="11" t="str">
        <f t="shared" si="2"/>
        <v>292</v>
      </c>
      <c r="E342" s="9"/>
      <c r="F342" s="21" t="s">
        <v>735</v>
      </c>
      <c r="G342" s="14"/>
      <c r="H342" s="15" t="s">
        <v>70</v>
      </c>
      <c r="I342" s="16" t="s">
        <v>71</v>
      </c>
      <c r="J342" s="23" t="s">
        <v>71</v>
      </c>
      <c r="K342" s="17"/>
      <c r="L342" s="16" t="s">
        <v>71</v>
      </c>
      <c r="M342" s="18" t="str">
        <f>IFNA( VLOOKUP(LEFT(F342, IFERROR(FIND(" ", F342, 1),1) - 1), lists!$A$31:$B$37, 2, FALSE),"")</f>
        <v/>
      </c>
      <c r="N342" s="18" t="str">
        <f>IFERROR(__xludf.DUMMYFUNCTION("IFNA(VLOOKUP(IFNA(REGEXEXTRACT(F342, ""(Пасхи|50-ці|посту)""),""""),lists!$A$39:$B$41,2,FALSE),"""")"),"")</f>
        <v/>
      </c>
      <c r="O342" s="19" t="str">
        <f>IFERROR(__xludf.DUMMYFUNCTION("IFNA(REGEXEXTRACT(F342, ""\d{1,2}""),"""")"),"")</f>
        <v/>
      </c>
      <c r="P342" s="20" t="b">
        <f t="shared" si="3"/>
        <v>0</v>
      </c>
    </row>
    <row r="343">
      <c r="A343" s="9" t="s">
        <v>736</v>
      </c>
      <c r="B343" s="9" t="str">
        <f t="shared" si="1"/>
        <v>2 Тим.</v>
      </c>
      <c r="C343" s="10" t="s">
        <v>17</v>
      </c>
      <c r="D343" s="11" t="str">
        <f t="shared" si="2"/>
        <v>293</v>
      </c>
      <c r="E343" s="9"/>
      <c r="F343" s="21" t="s">
        <v>737</v>
      </c>
      <c r="G343" s="14"/>
      <c r="H343" s="22"/>
      <c r="I343" s="16" t="s">
        <v>29</v>
      </c>
      <c r="J343" s="23" t="s">
        <v>174</v>
      </c>
      <c r="K343" s="16">
        <v>4.0</v>
      </c>
      <c r="L343" s="16">
        <v>6.0</v>
      </c>
      <c r="M343" s="18">
        <f>IFNA( VLOOKUP(LEFT(F343, IFERROR(FIND(" ", F343, 1),1) - 1), lists!$A$31:$B$37, 2, FALSE),"")</f>
        <v>6</v>
      </c>
      <c r="N343" s="18" t="str">
        <f>IFERROR(__xludf.DUMMYFUNCTION("IFNA(VLOOKUP(IFNA(REGEXEXTRACT(F343, ""(Пасхи|50-ці|посту)""),""""),lists!$A$39:$B$41,2,FALSE),"""")"),"pentecost")</f>
        <v>pentecost</v>
      </c>
      <c r="O343" s="19" t="str">
        <f>IFERROR(__xludf.DUMMYFUNCTION("IFNA(REGEXEXTRACT(F343, ""\d{1,2}""),"""")"),"33")</f>
        <v>33</v>
      </c>
      <c r="P343" s="20" t="b">
        <f t="shared" si="3"/>
        <v>0</v>
      </c>
    </row>
    <row r="344">
      <c r="A344" s="9" t="s">
        <v>738</v>
      </c>
      <c r="B344" s="9" t="str">
        <f t="shared" si="1"/>
        <v>2 Тим.</v>
      </c>
      <c r="C344" s="10" t="s">
        <v>17</v>
      </c>
      <c r="D344" s="11" t="str">
        <f t="shared" si="2"/>
        <v>294</v>
      </c>
      <c r="E344" s="9"/>
      <c r="F344" s="25" t="s">
        <v>739</v>
      </c>
      <c r="G344" s="14"/>
      <c r="H344" s="22"/>
      <c r="I344" s="16" t="s">
        <v>29</v>
      </c>
      <c r="J344" s="23" t="s">
        <v>278</v>
      </c>
      <c r="K344" s="17"/>
      <c r="L344" s="16">
        <v>1.0</v>
      </c>
      <c r="M344" s="18">
        <f>IFNA( VLOOKUP(LEFT(F344, IFERROR(FIND(" ", F344, 1),1) - 1), lists!$A$31:$B$37, 2, FALSE),"")</f>
        <v>1</v>
      </c>
      <c r="N344" s="18" t="str">
        <f>IFERROR(__xludf.DUMMYFUNCTION("IFNA(VLOOKUP(IFNA(REGEXEXTRACT(F344, ""(Пасхи|50-ці|посту)""),""""),lists!$A$39:$B$41,2,FALSE),"""")"),"pentecost")</f>
        <v>pentecost</v>
      </c>
      <c r="O344" s="19" t="str">
        <f>IFERROR(__xludf.DUMMYFUNCTION("IFNA(REGEXEXTRACT(F344, ""\d{1,2}""),"""")"),"28")</f>
        <v>28</v>
      </c>
      <c r="P344" s="20" t="b">
        <f t="shared" si="3"/>
        <v>0</v>
      </c>
    </row>
    <row r="345">
      <c r="A345" s="9" t="s">
        <v>740</v>
      </c>
      <c r="B345" s="9" t="str">
        <f t="shared" si="1"/>
        <v>2 Тим.</v>
      </c>
      <c r="C345" s="10" t="s">
        <v>17</v>
      </c>
      <c r="D345" s="11" t="str">
        <f t="shared" si="2"/>
        <v>295</v>
      </c>
      <c r="E345" s="9"/>
      <c r="F345" s="21" t="s">
        <v>741</v>
      </c>
      <c r="G345" s="14"/>
      <c r="H345" s="22"/>
      <c r="I345" s="16" t="s">
        <v>29</v>
      </c>
      <c r="J345" s="23" t="s">
        <v>189</v>
      </c>
      <c r="K345" s="16">
        <v>3.0</v>
      </c>
      <c r="L345" s="16">
        <v>6.0</v>
      </c>
      <c r="M345" s="18">
        <f>IFNA( VLOOKUP(LEFT(F345, IFERROR(FIND(" ", F345, 1),1) - 1), lists!$A$31:$B$37, 2, FALSE),"")</f>
        <v>6</v>
      </c>
      <c r="N345" s="18" t="str">
        <f>IFERROR(__xludf.DUMMYFUNCTION("IFNA(VLOOKUP(IFNA(REGEXEXTRACT(F345, ""(Пасхи|50-ці|посту)""),""""),lists!$A$39:$B$41,2,FALSE),"""")"),"pentecost")</f>
        <v>pentecost</v>
      </c>
      <c r="O345" s="19" t="str">
        <f>IFERROR(__xludf.DUMMYFUNCTION("IFNA(REGEXEXTRACT(F345, ""\d{1,2}""),"""")"),"34")</f>
        <v>34</v>
      </c>
      <c r="P345" s="20" t="b">
        <f t="shared" si="3"/>
        <v>0</v>
      </c>
    </row>
    <row r="346">
      <c r="A346" s="9" t="s">
        <v>742</v>
      </c>
      <c r="B346" s="9" t="str">
        <f t="shared" si="1"/>
        <v>2 Тим.</v>
      </c>
      <c r="C346" s="10" t="s">
        <v>17</v>
      </c>
      <c r="D346" s="11" t="str">
        <f t="shared" si="2"/>
        <v>296</v>
      </c>
      <c r="E346" s="9"/>
      <c r="F346" s="27" t="s">
        <v>743</v>
      </c>
      <c r="G346" s="14"/>
      <c r="H346" s="22"/>
      <c r="I346" s="16" t="s">
        <v>29</v>
      </c>
      <c r="J346" s="23" t="s">
        <v>174</v>
      </c>
      <c r="K346" s="16">
        <v>4.0</v>
      </c>
      <c r="L346" s="16">
        <v>7.0</v>
      </c>
      <c r="M346" s="18">
        <f>IFNA( VLOOKUP(LEFT(F346, IFERROR(FIND(" ", F346, 1),1) - 1), lists!$A$31:$B$37, 2, FALSE),"")</f>
        <v>7</v>
      </c>
      <c r="N346" s="18" t="str">
        <f>IFERROR(__xludf.DUMMYFUNCTION("IFNA(VLOOKUP(IFNA(REGEXEXTRACT(F346, ""(Пасхи|50-ці|посту)""),""""),lists!$A$39:$B$41,2,FALSE),"""")"),"")</f>
        <v/>
      </c>
      <c r="O346" s="19" t="str">
        <f>IFERROR(__xludf.DUMMYFUNCTION("IFNA(REGEXEXTRACT(F346, ""\d{1,2}""),"""")"),"33")</f>
        <v>33</v>
      </c>
      <c r="P346" s="20" t="b">
        <f t="shared" si="3"/>
        <v>0</v>
      </c>
    </row>
    <row r="347">
      <c r="A347" s="9" t="s">
        <v>744</v>
      </c>
      <c r="B347" s="9" t="str">
        <f t="shared" si="1"/>
        <v>2 Тим.</v>
      </c>
      <c r="C347" s="10" t="s">
        <v>17</v>
      </c>
      <c r="D347" s="11" t="str">
        <f t="shared" si="2"/>
        <v>297</v>
      </c>
      <c r="E347" s="9"/>
      <c r="F347" s="25" t="s">
        <v>745</v>
      </c>
      <c r="G347" s="14"/>
      <c r="H347" s="22"/>
      <c r="I347" s="16" t="s">
        <v>29</v>
      </c>
      <c r="J347" s="23" t="s">
        <v>278</v>
      </c>
      <c r="K347" s="17"/>
      <c r="L347" s="16">
        <v>2.0</v>
      </c>
      <c r="M347" s="18">
        <f>IFNA( VLOOKUP(LEFT(F347, IFERROR(FIND(" ", F347, 1),1) - 1), lists!$A$31:$B$37, 2, FALSE),"")</f>
        <v>2</v>
      </c>
      <c r="N347" s="18" t="str">
        <f>IFERROR(__xludf.DUMMYFUNCTION("IFNA(VLOOKUP(IFNA(REGEXEXTRACT(F347, ""(Пасхи|50-ці|посту)""),""""),lists!$A$39:$B$41,2,FALSE),"""")"),"pentecost")</f>
        <v>pentecost</v>
      </c>
      <c r="O347" s="19" t="str">
        <f>IFERROR(__xludf.DUMMYFUNCTION("IFNA(REGEXEXTRACT(F347, ""\d{1,2}""),"""")"),"28")</f>
        <v>28</v>
      </c>
      <c r="P347" s="20" t="b">
        <f t="shared" si="3"/>
        <v>0</v>
      </c>
    </row>
    <row r="348">
      <c r="A348" s="9" t="s">
        <v>746</v>
      </c>
      <c r="B348" s="9" t="str">
        <f t="shared" si="1"/>
        <v>2 Тим.</v>
      </c>
      <c r="C348" s="10" t="s">
        <v>17</v>
      </c>
      <c r="D348" s="11" t="str">
        <f t="shared" si="2"/>
        <v>298</v>
      </c>
      <c r="E348" s="9"/>
      <c r="F348" s="27" t="s">
        <v>747</v>
      </c>
      <c r="G348" s="14"/>
      <c r="H348" s="15" t="s">
        <v>70</v>
      </c>
      <c r="I348" s="16" t="s">
        <v>71</v>
      </c>
      <c r="J348" s="23" t="s">
        <v>71</v>
      </c>
      <c r="K348" s="17"/>
      <c r="L348" s="16">
        <v>7.0</v>
      </c>
      <c r="M348" s="18">
        <f>IFNA( VLOOKUP(LEFT(F348, IFERROR(FIND(" ", F348, 1),1) - 1), lists!$A$31:$B$37, 2, FALSE),"")</f>
        <v>7</v>
      </c>
      <c r="N348" s="18" t="str">
        <f>IFERROR(__xludf.DUMMYFUNCTION("IFNA(VLOOKUP(IFNA(REGEXEXTRACT(F348, ""(Пасхи|50-ці|посту)""),""""),lists!$A$39:$B$41,2,FALSE),"""")"),"")</f>
        <v/>
      </c>
      <c r="O348" s="19" t="str">
        <f>IFERROR(__xludf.DUMMYFUNCTION("IFNA(REGEXEXTRACT(F348, ""\d{1,2}""),"""")"),"")</f>
        <v/>
      </c>
      <c r="P348" s="20" t="b">
        <f t="shared" si="3"/>
        <v>0</v>
      </c>
    </row>
    <row r="349">
      <c r="A349" s="9" t="s">
        <v>748</v>
      </c>
      <c r="B349" s="9" t="str">
        <f t="shared" si="1"/>
        <v>2 Тим.</v>
      </c>
      <c r="C349" s="10" t="s">
        <v>17</v>
      </c>
      <c r="D349" s="11" t="str">
        <f t="shared" si="2"/>
        <v>299</v>
      </c>
      <c r="E349" s="9"/>
      <c r="F349" s="25" t="s">
        <v>749</v>
      </c>
      <c r="G349" s="14"/>
      <c r="H349" s="22"/>
      <c r="I349" s="16" t="s">
        <v>29</v>
      </c>
      <c r="J349" s="23" t="s">
        <v>278</v>
      </c>
      <c r="K349" s="17"/>
      <c r="L349" s="16">
        <v>3.0</v>
      </c>
      <c r="M349" s="18">
        <f>IFNA( VLOOKUP(LEFT(F349, IFERROR(FIND(" ", F349, 1),1) - 1), lists!$A$31:$B$37, 2, FALSE),"")</f>
        <v>3</v>
      </c>
      <c r="N349" s="18" t="str">
        <f>IFERROR(__xludf.DUMMYFUNCTION("IFNA(VLOOKUP(IFNA(REGEXEXTRACT(F349, ""(Пасхи|50-ці|посту)""),""""),lists!$A$39:$B$41,2,FALSE),"""")"),"pentecost")</f>
        <v>pentecost</v>
      </c>
      <c r="O349" s="19" t="str">
        <f>IFERROR(__xludf.DUMMYFUNCTION("IFNA(REGEXEXTRACT(F349, ""\d{1,2}""),"""")"),"28")</f>
        <v>28</v>
      </c>
      <c r="P349" s="20" t="b">
        <f t="shared" si="3"/>
        <v>0</v>
      </c>
    </row>
    <row r="350">
      <c r="A350" s="9" t="s">
        <v>750</v>
      </c>
      <c r="B350" s="9" t="str">
        <f t="shared" si="1"/>
        <v>Тит.</v>
      </c>
      <c r="C350" s="10" t="s">
        <v>17</v>
      </c>
      <c r="D350" s="11" t="str">
        <f t="shared" si="2"/>
        <v>300</v>
      </c>
      <c r="E350" s="26" t="s">
        <v>18</v>
      </c>
      <c r="F350" s="25" t="s">
        <v>751</v>
      </c>
      <c r="G350" s="14"/>
      <c r="H350" s="22"/>
      <c r="I350" s="16" t="s">
        <v>29</v>
      </c>
      <c r="J350" s="23" t="s">
        <v>278</v>
      </c>
      <c r="K350" s="17"/>
      <c r="L350" s="16">
        <v>4.0</v>
      </c>
      <c r="M350" s="18">
        <f>IFNA( VLOOKUP(LEFT(F350, IFERROR(FIND(" ", F350, 1),1) - 1), lists!$A$31:$B$37, 2, FALSE),"")</f>
        <v>4</v>
      </c>
      <c r="N350" s="18" t="str">
        <f>IFERROR(__xludf.DUMMYFUNCTION("IFNA(VLOOKUP(IFNA(REGEXEXTRACT(F350, ""(Пасхи|50-ці|посту)""),""""),lists!$A$39:$B$41,2,FALSE),"""")"),"pentecost")</f>
        <v>pentecost</v>
      </c>
      <c r="O350" s="19" t="str">
        <f>IFERROR(__xludf.DUMMYFUNCTION("IFNA(REGEXEXTRACT(F350, ""\d{1,2}""),"""")"),"28")</f>
        <v>28</v>
      </c>
      <c r="P350" s="20" t="b">
        <f t="shared" si="3"/>
        <v>0</v>
      </c>
    </row>
    <row r="351">
      <c r="A351" s="12" t="s">
        <v>752</v>
      </c>
      <c r="B351" s="9" t="str">
        <f t="shared" si="1"/>
        <v>Тит.</v>
      </c>
      <c r="C351" s="10" t="s">
        <v>17</v>
      </c>
      <c r="D351" s="11" t="str">
        <f t="shared" si="2"/>
        <v>300</v>
      </c>
      <c r="E351" s="26" t="s">
        <v>22</v>
      </c>
      <c r="F351" s="27" t="s">
        <v>753</v>
      </c>
      <c r="G351" s="25"/>
      <c r="H351" s="15" t="s">
        <v>70</v>
      </c>
      <c r="I351" s="16" t="s">
        <v>71</v>
      </c>
      <c r="J351" s="23" t="s">
        <v>517</v>
      </c>
      <c r="K351" s="17"/>
      <c r="L351" s="16" t="s">
        <v>71</v>
      </c>
      <c r="M351" s="18" t="str">
        <f>IFNA( VLOOKUP(LEFT(F351, IFERROR(FIND(" ", F351, 1),1) - 1), lists!$A$31:$B$37, 2, FALSE),"")</f>
        <v/>
      </c>
      <c r="N351" s="18" t="str">
        <f>IFERROR(__xludf.DUMMYFUNCTION("IFNA(VLOOKUP(IFNA(REGEXEXTRACT(F351, ""(Пасхи|50-ці|посту)""),""""),lists!$A$39:$B$41,2,FALSE),"""")"),"")</f>
        <v/>
      </c>
      <c r="O351" s="19" t="str">
        <f>IFERROR(__xludf.DUMMYFUNCTION("IFNA(REGEXEXTRACT(F351, ""\d{1,2}""),"""")"),"25")</f>
        <v>25</v>
      </c>
      <c r="P351" s="20" t="b">
        <f t="shared" si="3"/>
        <v>0</v>
      </c>
    </row>
    <row r="352">
      <c r="A352" s="9" t="s">
        <v>754</v>
      </c>
      <c r="B352" s="9" t="str">
        <f t="shared" si="1"/>
        <v>Тит.</v>
      </c>
      <c r="C352" s="10" t="s">
        <v>17</v>
      </c>
      <c r="D352" s="11" t="str">
        <f t="shared" si="2"/>
        <v>301</v>
      </c>
      <c r="E352" s="9"/>
      <c r="F352" s="25" t="s">
        <v>755</v>
      </c>
      <c r="G352" s="14"/>
      <c r="H352" s="22"/>
      <c r="I352" s="16" t="s">
        <v>29</v>
      </c>
      <c r="J352" s="23" t="s">
        <v>278</v>
      </c>
      <c r="K352" s="17"/>
      <c r="L352" s="16">
        <v>5.0</v>
      </c>
      <c r="M352" s="18">
        <f>IFNA( VLOOKUP(LEFT(F352, IFERROR(FIND(" ", F352, 1),1) - 1), lists!$A$31:$B$37, 2, FALSE),"")</f>
        <v>5</v>
      </c>
      <c r="N352" s="18" t="str">
        <f>IFERROR(__xludf.DUMMYFUNCTION("IFNA(VLOOKUP(IFNA(REGEXEXTRACT(F352, ""(Пасхи|50-ці|посту)""),""""),lists!$A$39:$B$41,2,FALSE),"""")"),"pentecost")</f>
        <v>pentecost</v>
      </c>
      <c r="O352" s="19" t="str">
        <f>IFERROR(__xludf.DUMMYFUNCTION("IFNA(REGEXEXTRACT(F352, ""\d{1,2}""),"""")"),"28")</f>
        <v>28</v>
      </c>
      <c r="P352" s="20" t="b">
        <f t="shared" si="3"/>
        <v>0</v>
      </c>
    </row>
    <row r="353">
      <c r="A353" s="9" t="s">
        <v>756</v>
      </c>
      <c r="B353" s="9" t="str">
        <f t="shared" si="1"/>
        <v>Тит.</v>
      </c>
      <c r="C353" s="10" t="s">
        <v>17</v>
      </c>
      <c r="D353" s="11" t="str">
        <f t="shared" si="2"/>
        <v>302</v>
      </c>
      <c r="E353" s="26" t="s">
        <v>18</v>
      </c>
      <c r="F353" s="27" t="s">
        <v>757</v>
      </c>
      <c r="G353" s="14"/>
      <c r="H353" s="15" t="s">
        <v>70</v>
      </c>
      <c r="I353" s="16" t="s">
        <v>71</v>
      </c>
      <c r="J353" s="23" t="s">
        <v>71</v>
      </c>
      <c r="K353" s="17"/>
      <c r="L353" s="16" t="s">
        <v>71</v>
      </c>
      <c r="M353" s="18" t="str">
        <f>IFNA( VLOOKUP(LEFT(F353, IFERROR(FIND(" ", F353, 1),1) - 1), lists!$A$31:$B$37, 2, FALSE),"")</f>
        <v/>
      </c>
      <c r="N353" s="18" t="str">
        <f>IFERROR(__xludf.DUMMYFUNCTION("IFNA(VLOOKUP(IFNA(REGEXEXTRACT(F353, ""(Пасхи|50-ці|посту)""),""""),lists!$A$39:$B$41,2,FALSE),"""")"),"")</f>
        <v/>
      </c>
      <c r="O353" s="19" t="str">
        <f>IFERROR(__xludf.DUMMYFUNCTION("IFNA(REGEXEXTRACT(F353, ""\d{1,2}""),"""")"),"")</f>
        <v/>
      </c>
      <c r="P353" s="20" t="b">
        <f t="shared" si="3"/>
        <v>0</v>
      </c>
    </row>
    <row r="354">
      <c r="A354" s="12" t="s">
        <v>758</v>
      </c>
      <c r="B354" s="9" t="str">
        <f t="shared" si="1"/>
        <v>Тит.</v>
      </c>
      <c r="C354" s="10" t="s">
        <v>17</v>
      </c>
      <c r="D354" s="11" t="str">
        <f t="shared" si="2"/>
        <v>302</v>
      </c>
      <c r="E354" s="26" t="s">
        <v>22</v>
      </c>
      <c r="F354" s="21" t="s">
        <v>759</v>
      </c>
      <c r="G354" s="14"/>
      <c r="H354" s="15" t="s">
        <v>70</v>
      </c>
      <c r="I354" s="16" t="s">
        <v>71</v>
      </c>
      <c r="J354" s="23" t="s">
        <v>91</v>
      </c>
      <c r="K354" s="17"/>
      <c r="L354" s="16" t="s">
        <v>71</v>
      </c>
      <c r="M354" s="18" t="str">
        <f>IFNA( VLOOKUP(LEFT(F354, IFERROR(FIND(" ", F354, 1),1) - 1), lists!$A$31:$B$37, 2, FALSE),"")</f>
        <v/>
      </c>
      <c r="N354" s="18" t="str">
        <f>IFERROR(__xludf.DUMMYFUNCTION("IFNA(VLOOKUP(IFNA(REGEXEXTRACT(F354, ""(Пасхи|50-ці|посту)""),""""),lists!$A$39:$B$41,2,FALSE),"""")"),"")</f>
        <v/>
      </c>
      <c r="O354" s="19" t="str">
        <f>IFERROR(__xludf.DUMMYFUNCTION("IFNA(REGEXEXTRACT(F354, ""\d{1,2}""),"""")"),"5")</f>
        <v>5</v>
      </c>
      <c r="P354" s="20" t="b">
        <f t="shared" si="3"/>
        <v>0</v>
      </c>
    </row>
    <row r="355">
      <c r="A355" s="12" t="s">
        <v>760</v>
      </c>
      <c r="B355" s="38" t="str">
        <f t="shared" si="1"/>
        <v>Фил.</v>
      </c>
      <c r="C355" s="10" t="s">
        <v>17</v>
      </c>
      <c r="D355" s="39" t="str">
        <f t="shared" si="2"/>
        <v>302</v>
      </c>
      <c r="E355" s="26" t="s">
        <v>116</v>
      </c>
      <c r="F355" s="21" t="s">
        <v>761</v>
      </c>
      <c r="G355" s="14"/>
      <c r="H355" s="15" t="s">
        <v>70</v>
      </c>
      <c r="I355" s="16" t="s">
        <v>71</v>
      </c>
      <c r="J355" s="23" t="s">
        <v>470</v>
      </c>
      <c r="K355" s="17"/>
      <c r="L355" s="16" t="s">
        <v>71</v>
      </c>
      <c r="M355" s="18" t="str">
        <f>IFNA( VLOOKUP(LEFT(F355, IFERROR(FIND(" ", F355, 1),1) - 1), lists!$A$31:$B$37, 2, FALSE),"")</f>
        <v/>
      </c>
      <c r="N355" s="18" t="str">
        <f>IFERROR(__xludf.DUMMYFUNCTION("IFNA(VLOOKUP(IFNA(REGEXEXTRACT(F355, ""(Пасхи|50-ці|посту)""),""""),lists!$A$39:$B$41,2,FALSE),"""")"),"")</f>
        <v/>
      </c>
      <c r="O355" s="19" t="str">
        <f>IFERROR(__xludf.DUMMYFUNCTION("IFNA(REGEXEXTRACT(F355, ""\d{1,2}""),"""")"),"22")</f>
        <v>22</v>
      </c>
      <c r="P355" s="20" t="b">
        <f t="shared" si="3"/>
        <v>0</v>
      </c>
    </row>
    <row r="356">
      <c r="A356" s="9" t="s">
        <v>762</v>
      </c>
      <c r="B356" s="38" t="str">
        <f t="shared" si="1"/>
        <v>Євр.</v>
      </c>
      <c r="C356" s="10" t="s">
        <v>17</v>
      </c>
      <c r="D356" s="39" t="str">
        <f t="shared" si="2"/>
        <v>303</v>
      </c>
      <c r="E356" s="9"/>
      <c r="F356" s="21" t="s">
        <v>763</v>
      </c>
      <c r="G356" s="14"/>
      <c r="H356" s="22"/>
      <c r="I356" s="16" t="s">
        <v>20</v>
      </c>
      <c r="J356" s="23">
        <v>1.0</v>
      </c>
      <c r="K356" s="17"/>
      <c r="L356" s="16">
        <v>6.0</v>
      </c>
      <c r="M356" s="18" t="str">
        <f>IFNA( VLOOKUP(LEFT(F356, IFERROR(FIND(" ", F356, 1),1) - 1), lists!$A$31:$B$37, 2, FALSE),"")</f>
        <v/>
      </c>
      <c r="N356" s="18" t="str">
        <f>IFERROR(__xludf.DUMMYFUNCTION("IFNA(VLOOKUP(IFNA(REGEXEXTRACT(F356, ""(Пасхи|50-ці|посту)""),""""),lists!$A$39:$B$41,2,FALSE),"""")"),"lent")</f>
        <v>lent</v>
      </c>
      <c r="O356" s="19" t="str">
        <f>IFERROR(__xludf.DUMMYFUNCTION("IFNA(REGEXEXTRACT(F356, ""\d{1,2}""),"""")"),"")</f>
        <v/>
      </c>
      <c r="P356" s="20" t="b">
        <f t="shared" si="3"/>
        <v>0</v>
      </c>
    </row>
    <row r="357">
      <c r="A357" s="9" t="s">
        <v>764</v>
      </c>
      <c r="B357" s="9" t="str">
        <f t="shared" si="1"/>
        <v>Євр.</v>
      </c>
      <c r="C357" s="10" t="s">
        <v>17</v>
      </c>
      <c r="D357" s="11" t="str">
        <f t="shared" si="2"/>
        <v>304</v>
      </c>
      <c r="E357" s="9"/>
      <c r="F357" s="21" t="s">
        <v>765</v>
      </c>
      <c r="G357" s="14"/>
      <c r="H357" s="22"/>
      <c r="I357" s="16" t="s">
        <v>20</v>
      </c>
      <c r="J357" s="23">
        <v>2.0</v>
      </c>
      <c r="K357" s="17"/>
      <c r="L357" s="16">
        <v>7.0</v>
      </c>
      <c r="M357" s="18" t="str">
        <f>IFNA( VLOOKUP(LEFT(F357, IFERROR(FIND(" ", F357, 1),1) - 1), lists!$A$31:$B$37, 2, FALSE),"")</f>
        <v/>
      </c>
      <c r="N357" s="18" t="str">
        <f>IFERROR(__xludf.DUMMYFUNCTION("IFNA(VLOOKUP(IFNA(REGEXEXTRACT(F357, ""(Пасхи|50-ці|посту)""),""""),lists!$A$39:$B$41,2,FALSE),"""")"),"lent")</f>
        <v>lent</v>
      </c>
      <c r="O357" s="19" t="str">
        <f>IFERROR(__xludf.DUMMYFUNCTION("IFNA(REGEXEXTRACT(F357, ""\d{1,2}""),"""")"),"")</f>
        <v/>
      </c>
      <c r="P357" s="20" t="b">
        <f t="shared" si="3"/>
        <v>0</v>
      </c>
    </row>
    <row r="358">
      <c r="A358" s="9" t="s">
        <v>766</v>
      </c>
      <c r="B358" s="9" t="str">
        <f t="shared" si="1"/>
        <v>Євр.</v>
      </c>
      <c r="C358" s="10" t="s">
        <v>17</v>
      </c>
      <c r="D358" s="11" t="str">
        <f t="shared" si="2"/>
        <v>305</v>
      </c>
      <c r="E358" s="9"/>
      <c r="F358" s="21" t="s">
        <v>767</v>
      </c>
      <c r="G358" s="14"/>
      <c r="H358" s="15" t="s">
        <v>70</v>
      </c>
      <c r="I358" s="16" t="s">
        <v>71</v>
      </c>
      <c r="J358" s="23" t="s">
        <v>196</v>
      </c>
      <c r="K358" s="17"/>
      <c r="L358" s="16" t="s">
        <v>71</v>
      </c>
      <c r="M358" s="18" t="str">
        <f>IFNA( VLOOKUP(LEFT(F358, IFERROR(FIND(" ", F358, 1),1) - 1), lists!$A$31:$B$37, 2, FALSE),"")</f>
        <v/>
      </c>
      <c r="N358" s="18" t="str">
        <f>IFERROR(__xludf.DUMMYFUNCTION("IFNA(VLOOKUP(IFNA(REGEXEXTRACT(F358, ""(Пасхи|50-ці|посту)""),""""),lists!$A$39:$B$41,2,FALSE),"""")"),"")</f>
        <v/>
      </c>
      <c r="O358" s="19" t="str">
        <f>IFERROR(__xludf.DUMMYFUNCTION("IFNA(REGEXEXTRACT(F358, ""\d{1,2}""),"""")"),"8")</f>
        <v>8</v>
      </c>
      <c r="P358" s="20" t="b">
        <f t="shared" si="3"/>
        <v>0</v>
      </c>
    </row>
    <row r="359">
      <c r="A359" s="9" t="s">
        <v>768</v>
      </c>
      <c r="B359" s="9" t="str">
        <f t="shared" si="1"/>
        <v>Євр.</v>
      </c>
      <c r="C359" s="10" t="s">
        <v>17</v>
      </c>
      <c r="D359" s="11" t="str">
        <f t="shared" si="2"/>
        <v>306</v>
      </c>
      <c r="E359" s="9"/>
      <c r="F359" s="21" t="s">
        <v>769</v>
      </c>
      <c r="G359" s="14"/>
      <c r="H359" s="15" t="s">
        <v>70</v>
      </c>
      <c r="I359" s="16" t="s">
        <v>71</v>
      </c>
      <c r="J359" s="23" t="s">
        <v>110</v>
      </c>
      <c r="K359" s="17"/>
      <c r="L359" s="16" t="s">
        <v>71</v>
      </c>
      <c r="M359" s="18" t="str">
        <f>IFNA( VLOOKUP(LEFT(F359, IFERROR(FIND(" ", F359, 1),1) - 1), lists!$A$31:$B$37, 2, FALSE),"")</f>
        <v/>
      </c>
      <c r="N359" s="18" t="str">
        <f>IFERROR(__xludf.DUMMYFUNCTION("IFNA(VLOOKUP(IFNA(REGEXEXTRACT(F359, ""(Пасхи|50-ці|посту)""),""""),lists!$A$39:$B$41,2,FALSE),"""")"),"")</f>
        <v/>
      </c>
      <c r="O359" s="19" t="str">
        <f>IFERROR(__xludf.DUMMYFUNCTION("IFNA(REGEXEXTRACT(F359, ""\d{1,2}""),"""")"),"6")</f>
        <v>6</v>
      </c>
      <c r="P359" s="20" t="b">
        <f t="shared" si="3"/>
        <v>0</v>
      </c>
    </row>
    <row r="360">
      <c r="A360" s="9" t="s">
        <v>770</v>
      </c>
      <c r="B360" s="9" t="str">
        <f t="shared" si="1"/>
        <v>Євр.</v>
      </c>
      <c r="C360" s="10" t="s">
        <v>17</v>
      </c>
      <c r="D360" s="11" t="str">
        <f t="shared" si="2"/>
        <v>307</v>
      </c>
      <c r="E360" s="9"/>
      <c r="F360" s="13" t="s">
        <v>771</v>
      </c>
      <c r="G360" s="14"/>
      <c r="H360" s="15" t="s">
        <v>70</v>
      </c>
      <c r="I360" s="16" t="s">
        <v>71</v>
      </c>
      <c r="J360" s="23" t="s">
        <v>71</v>
      </c>
      <c r="K360" s="17"/>
      <c r="L360" s="16" t="s">
        <v>71</v>
      </c>
      <c r="M360" s="18" t="str">
        <f>IFNA( VLOOKUP(LEFT(F360, IFERROR(FIND(" ", F360, 1),1) - 1), lists!$A$31:$B$37, 2, FALSE),"")</f>
        <v/>
      </c>
      <c r="N360" s="18" t="str">
        <f>IFERROR(__xludf.DUMMYFUNCTION("IFNA(VLOOKUP(IFNA(REGEXEXTRACT(F360, ""(Пасхи|50-ці|посту)""),""""),lists!$A$39:$B$41,2,FALSE),"""")"),"")</f>
        <v/>
      </c>
      <c r="O360" s="19" t="str">
        <f>IFERROR(__xludf.DUMMYFUNCTION("IFNA(REGEXEXTRACT(F360, ""\d{1,2}""),"""")"),"")</f>
        <v/>
      </c>
      <c r="P360" s="20" t="b">
        <f t="shared" si="3"/>
        <v>0</v>
      </c>
    </row>
    <row r="361">
      <c r="A361" s="24" t="s">
        <v>772</v>
      </c>
      <c r="B361" s="9" t="str">
        <f t="shared" si="1"/>
        <v>Євр.</v>
      </c>
      <c r="C361" s="10" t="s">
        <v>17</v>
      </c>
      <c r="D361" s="11" t="str">
        <f t="shared" si="2"/>
        <v>308</v>
      </c>
      <c r="E361" s="9"/>
      <c r="F361" s="13" t="s">
        <v>773</v>
      </c>
      <c r="G361" s="14"/>
      <c r="H361" s="22"/>
      <c r="I361" s="16" t="s">
        <v>29</v>
      </c>
      <c r="J361" s="23" t="s">
        <v>572</v>
      </c>
      <c r="K361" s="17"/>
      <c r="L361" s="16">
        <v>1.0</v>
      </c>
      <c r="M361" s="18">
        <f>IFNA( VLOOKUP(LEFT(F361, IFERROR(FIND(" ", F361, 1),1) - 1), lists!$A$31:$B$37, 2, FALSE),"")</f>
        <v>1</v>
      </c>
      <c r="N361" s="18" t="str">
        <f>IFERROR(__xludf.DUMMYFUNCTION("IFNA(VLOOKUP(IFNA(REGEXEXTRACT(F361, ""(Пасхи|50-ці|посту)""),""""),lists!$A$39:$B$41,2,FALSE),"""")"),"pentecost")</f>
        <v>pentecost</v>
      </c>
      <c r="O361" s="19" t="str">
        <f>IFERROR(__xludf.DUMMYFUNCTION("IFNA(REGEXEXTRACT(F361, ""\d{1,2}""),"""")"),"29")</f>
        <v>29</v>
      </c>
      <c r="P361" s="20" t="b">
        <f t="shared" si="3"/>
        <v>0</v>
      </c>
    </row>
    <row r="362">
      <c r="A362" s="9" t="s">
        <v>774</v>
      </c>
      <c r="B362" s="9" t="str">
        <f t="shared" si="1"/>
        <v>Євр.</v>
      </c>
      <c r="C362" s="10" t="s">
        <v>17</v>
      </c>
      <c r="D362" s="11" t="str">
        <f t="shared" si="2"/>
        <v>309</v>
      </c>
      <c r="E362" s="9"/>
      <c r="F362" s="13" t="s">
        <v>775</v>
      </c>
      <c r="G362" s="14"/>
      <c r="H362" s="22"/>
      <c r="I362" s="16" t="s">
        <v>20</v>
      </c>
      <c r="J362" s="23">
        <v>2.0</v>
      </c>
      <c r="K362" s="17"/>
      <c r="L362" s="16">
        <v>6.0</v>
      </c>
      <c r="M362" s="18" t="str">
        <f>IFNA( VLOOKUP(LEFT(F362, IFERROR(FIND(" ", F362, 1),1) - 1), lists!$A$31:$B$37, 2, FALSE),"")</f>
        <v/>
      </c>
      <c r="N362" s="18" t="str">
        <f>IFERROR(__xludf.DUMMYFUNCTION("IFNA(VLOOKUP(IFNA(REGEXEXTRACT(F362, ""(Пасхи|50-ці|посту)""),""""),lists!$A$39:$B$41,2,FALSE),"""")"),"lent")</f>
        <v>lent</v>
      </c>
      <c r="O362" s="19" t="str">
        <f>IFERROR(__xludf.DUMMYFUNCTION("IFNA(REGEXEXTRACT(F362, ""\d{1,2}""),"""")"),"")</f>
        <v/>
      </c>
      <c r="P362" s="20" t="b">
        <f t="shared" si="3"/>
        <v>0</v>
      </c>
    </row>
    <row r="363">
      <c r="A363" s="9" t="s">
        <v>776</v>
      </c>
      <c r="B363" s="9" t="str">
        <f t="shared" si="1"/>
        <v>Євр.</v>
      </c>
      <c r="C363" s="10" t="s">
        <v>17</v>
      </c>
      <c r="D363" s="11" t="str">
        <f t="shared" si="2"/>
        <v>310</v>
      </c>
      <c r="E363" s="9"/>
      <c r="F363" s="13" t="s">
        <v>777</v>
      </c>
      <c r="G363" s="14"/>
      <c r="H363" s="22"/>
      <c r="I363" s="16" t="s">
        <v>29</v>
      </c>
      <c r="J363" s="23" t="s">
        <v>572</v>
      </c>
      <c r="K363" s="17"/>
      <c r="L363" s="16">
        <v>2.0</v>
      </c>
      <c r="M363" s="18">
        <f>IFNA( VLOOKUP(LEFT(F363, IFERROR(FIND(" ", F363, 1),1) - 1), lists!$A$31:$B$37, 2, FALSE),"")</f>
        <v>2</v>
      </c>
      <c r="N363" s="18" t="str">
        <f>IFERROR(__xludf.DUMMYFUNCTION("IFNA(VLOOKUP(IFNA(REGEXEXTRACT(F363, ""(Пасхи|50-ці|посту)""),""""),lists!$A$39:$B$41,2,FALSE),"""")"),"pentecost")</f>
        <v>pentecost</v>
      </c>
      <c r="O363" s="19" t="str">
        <f>IFERROR(__xludf.DUMMYFUNCTION("IFNA(REGEXEXTRACT(F363, ""\d{1,2}""),"""")"),"29")</f>
        <v>29</v>
      </c>
      <c r="P363" s="20" t="b">
        <f t="shared" si="3"/>
        <v>0</v>
      </c>
    </row>
    <row r="364">
      <c r="A364" s="9" t="s">
        <v>778</v>
      </c>
      <c r="B364" s="9" t="str">
        <f t="shared" si="1"/>
        <v>Євр.</v>
      </c>
      <c r="C364" s="10" t="s">
        <v>17</v>
      </c>
      <c r="D364" s="11" t="str">
        <f t="shared" si="2"/>
        <v>311</v>
      </c>
      <c r="E364" s="26" t="s">
        <v>18</v>
      </c>
      <c r="F364" s="21" t="s">
        <v>779</v>
      </c>
      <c r="G364" s="14"/>
      <c r="H364" s="22"/>
      <c r="I364" s="16" t="s">
        <v>20</v>
      </c>
      <c r="J364" s="23">
        <v>3.0</v>
      </c>
      <c r="K364" s="17"/>
      <c r="L364" s="16">
        <v>7.0</v>
      </c>
      <c r="M364" s="18" t="str">
        <f>IFNA( VLOOKUP(LEFT(F364, IFERROR(FIND(" ", F364, 1),1) - 1), lists!$A$31:$B$37, 2, FALSE),"")</f>
        <v/>
      </c>
      <c r="N364" s="18" t="str">
        <f>IFERROR(__xludf.DUMMYFUNCTION("IFNA(VLOOKUP(IFNA(REGEXEXTRACT(F364, ""(Пасхи|50-ці|посту)""),""""),lists!$A$39:$B$41,2,FALSE),"""")"),"lent")</f>
        <v>lent</v>
      </c>
      <c r="O364" s="19" t="str">
        <f>IFERROR(__xludf.DUMMYFUNCTION("IFNA(REGEXEXTRACT(F364, ""\d{1,2}""),"""")"),"")</f>
        <v/>
      </c>
      <c r="P364" s="20" t="b">
        <f t="shared" si="3"/>
        <v>0</v>
      </c>
    </row>
    <row r="365">
      <c r="A365" s="9" t="s">
        <v>780</v>
      </c>
      <c r="B365" s="9" t="str">
        <f t="shared" si="1"/>
        <v>Євр.</v>
      </c>
      <c r="C365" s="10" t="s">
        <v>17</v>
      </c>
      <c r="D365" s="11" t="str">
        <f t="shared" si="2"/>
        <v>311</v>
      </c>
      <c r="E365" s="26" t="s">
        <v>22</v>
      </c>
      <c r="F365" s="13" t="s">
        <v>781</v>
      </c>
      <c r="G365" s="14"/>
      <c r="H365" s="15" t="s">
        <v>70</v>
      </c>
      <c r="I365" s="16" t="s">
        <v>71</v>
      </c>
      <c r="J365" s="23" t="s">
        <v>71</v>
      </c>
      <c r="K365" s="17"/>
      <c r="L365" s="16" t="s">
        <v>71</v>
      </c>
      <c r="M365" s="18" t="str">
        <f>IFNA( VLOOKUP(LEFT(F365, IFERROR(FIND(" ", F365, 1),1) - 1), lists!$A$31:$B$37, 2, FALSE),"")</f>
        <v/>
      </c>
      <c r="N365" s="18" t="str">
        <f>IFERROR(__xludf.DUMMYFUNCTION("IFNA(VLOOKUP(IFNA(REGEXEXTRACT(F365, ""(Пасхи|50-ці|посту)""),""""),lists!$A$39:$B$41,2,FALSE),"""")"),"")</f>
        <v/>
      </c>
      <c r="O365" s="19" t="str">
        <f>IFERROR(__xludf.DUMMYFUNCTION("IFNA(REGEXEXTRACT(F365, ""\d{1,2}""),"""")"),"")</f>
        <v/>
      </c>
      <c r="P365" s="20" t="b">
        <f t="shared" si="3"/>
        <v>0</v>
      </c>
    </row>
    <row r="366">
      <c r="A366" s="12" t="s">
        <v>782</v>
      </c>
      <c r="B366" s="9" t="str">
        <f t="shared" si="1"/>
        <v>Євр.</v>
      </c>
      <c r="C366" s="10" t="s">
        <v>17</v>
      </c>
      <c r="D366" s="11" t="str">
        <f t="shared" si="2"/>
        <v>311</v>
      </c>
      <c r="E366" s="12" t="s">
        <v>116</v>
      </c>
      <c r="F366" s="21" t="s">
        <v>783</v>
      </c>
      <c r="G366" s="8" t="s">
        <v>784</v>
      </c>
      <c r="H366" s="22"/>
      <c r="I366" s="16"/>
      <c r="J366" s="23"/>
      <c r="K366" s="17"/>
      <c r="L366" s="16"/>
      <c r="M366" s="18"/>
      <c r="N366" s="18"/>
      <c r="O366" s="19"/>
    </row>
    <row r="367">
      <c r="A367" s="9" t="s">
        <v>785</v>
      </c>
      <c r="B367" s="9" t="str">
        <f t="shared" si="1"/>
        <v>Євр.</v>
      </c>
      <c r="C367" s="10" t="s">
        <v>17</v>
      </c>
      <c r="D367" s="11" t="str">
        <f t="shared" si="2"/>
        <v>312</v>
      </c>
      <c r="E367" s="9"/>
      <c r="F367" s="13" t="s">
        <v>786</v>
      </c>
      <c r="G367" s="14"/>
      <c r="H367" s="22"/>
      <c r="I367" s="16" t="s">
        <v>29</v>
      </c>
      <c r="J367" s="23" t="s">
        <v>572</v>
      </c>
      <c r="K367" s="17"/>
      <c r="L367" s="16">
        <v>3.0</v>
      </c>
      <c r="M367" s="18">
        <f>IFNA( VLOOKUP(LEFT(F367, IFERROR(FIND(" ", F367, 1),1) - 1), lists!$A$31:$B$37, 2, FALSE),"")</f>
        <v>3</v>
      </c>
      <c r="N367" s="18" t="str">
        <f>IFERROR(__xludf.DUMMYFUNCTION("IFNA(VLOOKUP(IFNA(REGEXEXTRACT(F367, ""(Пасхи|50-ці|посту)""),""""),lists!$A$39:$B$41,2,FALSE),"""")"),"pentecost")</f>
        <v>pentecost</v>
      </c>
      <c r="O367" s="19" t="str">
        <f>IFERROR(__xludf.DUMMYFUNCTION("IFNA(REGEXEXTRACT(F367, ""\d{1,2}""),"""")"),"29")</f>
        <v>29</v>
      </c>
      <c r="P367" s="20" t="b">
        <f t="shared" ref="P367:P395" si="4">AND(OR(I367="",J367="",L367=""),H367="")</f>
        <v>0</v>
      </c>
    </row>
    <row r="368">
      <c r="A368" s="9" t="s">
        <v>787</v>
      </c>
      <c r="B368" s="9" t="str">
        <f t="shared" si="1"/>
        <v>Євр.</v>
      </c>
      <c r="C368" s="10" t="s">
        <v>17</v>
      </c>
      <c r="D368" s="11" t="str">
        <f t="shared" si="2"/>
        <v>313</v>
      </c>
      <c r="E368" s="9"/>
      <c r="F368" s="21" t="s">
        <v>788</v>
      </c>
      <c r="G368" s="14"/>
      <c r="H368" s="22"/>
      <c r="I368" s="16" t="s">
        <v>20</v>
      </c>
      <c r="J368" s="23">
        <v>4.0</v>
      </c>
      <c r="K368" s="17"/>
      <c r="L368" s="16">
        <v>6.0</v>
      </c>
      <c r="M368" s="18" t="str">
        <f>IFNA( VLOOKUP(LEFT(F368, IFERROR(FIND(" ", F368, 1),1) - 1), lists!$A$31:$B$37, 2, FALSE),"")</f>
        <v/>
      </c>
      <c r="N368" s="18" t="str">
        <f>IFERROR(__xludf.DUMMYFUNCTION("IFNA(VLOOKUP(IFNA(REGEXEXTRACT(F368, ""(Пасхи|50-ці|посту)""),""""),lists!$A$39:$B$41,2,FALSE),"""")"),"lent")</f>
        <v>lent</v>
      </c>
      <c r="O368" s="19" t="str">
        <f>IFERROR(__xludf.DUMMYFUNCTION("IFNA(REGEXEXTRACT(F368, ""\d{1,2}""),"""")"),"")</f>
        <v/>
      </c>
      <c r="P368" s="20" t="b">
        <f t="shared" si="4"/>
        <v>0</v>
      </c>
    </row>
    <row r="369">
      <c r="A369" s="9" t="s">
        <v>789</v>
      </c>
      <c r="B369" s="9" t="str">
        <f t="shared" si="1"/>
        <v>Євр.</v>
      </c>
      <c r="C369" s="10" t="s">
        <v>17</v>
      </c>
      <c r="D369" s="11" t="str">
        <f t="shared" si="2"/>
        <v>314</v>
      </c>
      <c r="E369" s="9"/>
      <c r="F369" s="21" t="s">
        <v>790</v>
      </c>
      <c r="G369" s="14"/>
      <c r="H369" s="22"/>
      <c r="I369" s="16" t="s">
        <v>20</v>
      </c>
      <c r="J369" s="23">
        <v>4.0</v>
      </c>
      <c r="K369" s="17"/>
      <c r="L369" s="16">
        <v>7.0</v>
      </c>
      <c r="M369" s="18" t="str">
        <f>IFNA( VLOOKUP(LEFT(F369, IFERROR(FIND(" ", F369, 1),1) - 1), lists!$A$31:$B$37, 2, FALSE),"")</f>
        <v/>
      </c>
      <c r="N369" s="18" t="str">
        <f>IFERROR(__xludf.DUMMYFUNCTION("IFNA(VLOOKUP(IFNA(REGEXEXTRACT(F369, ""(Пасхи|50-ці|посту)""),""""),lists!$A$39:$B$41,2,FALSE),"""")"),"lent")</f>
        <v>lent</v>
      </c>
      <c r="O369" s="19" t="str">
        <f>IFERROR(__xludf.DUMMYFUNCTION("IFNA(REGEXEXTRACT(F369, ""\d{1,2}""),"""")"),"")</f>
        <v/>
      </c>
      <c r="P369" s="20" t="b">
        <f t="shared" si="4"/>
        <v>0</v>
      </c>
    </row>
    <row r="370">
      <c r="A370" s="12" t="s">
        <v>791</v>
      </c>
      <c r="B370" s="9" t="str">
        <f t="shared" si="1"/>
        <v>Євр.</v>
      </c>
      <c r="C370" s="10" t="s">
        <v>17</v>
      </c>
      <c r="D370" s="11" t="str">
        <f t="shared" si="2"/>
        <v>315</v>
      </c>
      <c r="E370" s="9"/>
      <c r="F370" s="25" t="s">
        <v>792</v>
      </c>
      <c r="G370" s="14"/>
      <c r="H370" s="22"/>
      <c r="I370" s="16" t="s">
        <v>29</v>
      </c>
      <c r="J370" s="23" t="s">
        <v>572</v>
      </c>
      <c r="K370" s="17"/>
      <c r="L370" s="16">
        <v>4.0</v>
      </c>
      <c r="M370" s="18">
        <f>IFNA( VLOOKUP(LEFT(F370, IFERROR(FIND(" ", F370, 1),1) - 1), lists!$A$31:$B$37, 2, FALSE),"")</f>
        <v>4</v>
      </c>
      <c r="N370" s="18" t="str">
        <f>IFERROR(__xludf.DUMMYFUNCTION("IFNA(VLOOKUP(IFNA(REGEXEXTRACT(F370, ""(Пасхи|50-ці|посту)""),""""),lists!$A$39:$B$41,2,FALSE),"""")"),"pentecost")</f>
        <v>pentecost</v>
      </c>
      <c r="O370" s="19" t="str">
        <f>IFERROR(__xludf.DUMMYFUNCTION("IFNA(REGEXEXTRACT(F370, ""\d{1,2}""),"""")"),"29")</f>
        <v>29</v>
      </c>
      <c r="P370" s="20" t="b">
        <f t="shared" si="4"/>
        <v>0</v>
      </c>
    </row>
    <row r="371">
      <c r="A371" s="9" t="s">
        <v>793</v>
      </c>
      <c r="B371" s="9" t="str">
        <f t="shared" si="1"/>
        <v>Євр.</v>
      </c>
      <c r="C371" s="10" t="s">
        <v>17</v>
      </c>
      <c r="D371" s="11" t="str">
        <f t="shared" si="2"/>
        <v>316</v>
      </c>
      <c r="E371" s="9"/>
      <c r="F371" s="27" t="s">
        <v>794</v>
      </c>
      <c r="G371" s="14"/>
      <c r="H371" s="15" t="s">
        <v>70</v>
      </c>
      <c r="I371" s="16" t="s">
        <v>71</v>
      </c>
      <c r="J371" s="23" t="s">
        <v>71</v>
      </c>
      <c r="K371" s="17"/>
      <c r="L371" s="16" t="s">
        <v>71</v>
      </c>
      <c r="M371" s="18" t="str">
        <f>IFNA( VLOOKUP(LEFT(F371, IFERROR(FIND(" ", F371, 1),1) - 1), lists!$A$31:$B$37, 2, FALSE),"")</f>
        <v/>
      </c>
      <c r="N371" s="18" t="str">
        <f>IFERROR(__xludf.DUMMYFUNCTION("IFNA(VLOOKUP(IFNA(REGEXEXTRACT(F371, ""(Пасхи|50-ці|посту)""),""""),lists!$A$39:$B$41,2,FALSE),"""")"),"")</f>
        <v/>
      </c>
      <c r="O371" s="19" t="str">
        <f>IFERROR(__xludf.DUMMYFUNCTION("IFNA(REGEXEXTRACT(F371, ""\d{1,2}""),"""")"),"")</f>
        <v/>
      </c>
      <c r="P371" s="20" t="b">
        <f t="shared" si="4"/>
        <v>0</v>
      </c>
    </row>
    <row r="372">
      <c r="A372" s="9" t="s">
        <v>795</v>
      </c>
      <c r="B372" s="9" t="str">
        <f t="shared" si="1"/>
        <v>Євр.</v>
      </c>
      <c r="C372" s="10" t="s">
        <v>17</v>
      </c>
      <c r="D372" s="11" t="str">
        <f t="shared" si="2"/>
        <v>317</v>
      </c>
      <c r="E372" s="9"/>
      <c r="F372" s="25" t="s">
        <v>796</v>
      </c>
      <c r="G372" s="14"/>
      <c r="H372" s="22"/>
      <c r="I372" s="16" t="s">
        <v>29</v>
      </c>
      <c r="J372" s="23" t="s">
        <v>572</v>
      </c>
      <c r="K372" s="17"/>
      <c r="L372" s="16">
        <v>5.0</v>
      </c>
      <c r="M372" s="18">
        <f>IFNA( VLOOKUP(LEFT(F372, IFERROR(FIND(" ", F372, 1),1) - 1), lists!$A$31:$B$37, 2, FALSE),"")</f>
        <v>5</v>
      </c>
      <c r="N372" s="18" t="str">
        <f>IFERROR(__xludf.DUMMYFUNCTION("IFNA(VLOOKUP(IFNA(REGEXEXTRACT(F372, ""(Пасхи|50-ці|посту)""),""""),lists!$A$39:$B$41,2,FALSE),"""")"),"pentecost")</f>
        <v>pentecost</v>
      </c>
      <c r="O372" s="19" t="str">
        <f>IFERROR(__xludf.DUMMYFUNCTION("IFNA(REGEXEXTRACT(F372, ""\d{1,2}""),"""")"),"29")</f>
        <v>29</v>
      </c>
      <c r="P372" s="20" t="b">
        <f t="shared" si="4"/>
        <v>0</v>
      </c>
    </row>
    <row r="373">
      <c r="A373" s="9" t="s">
        <v>797</v>
      </c>
      <c r="B373" s="9" t="str">
        <f t="shared" si="1"/>
        <v>Євр.</v>
      </c>
      <c r="C373" s="10" t="s">
        <v>17</v>
      </c>
      <c r="D373" s="11" t="str">
        <f t="shared" si="2"/>
        <v>318</v>
      </c>
      <c r="E373" s="26" t="s">
        <v>18</v>
      </c>
      <c r="F373" s="21" t="s">
        <v>798</v>
      </c>
      <c r="G373" s="14"/>
      <c r="H373" s="15" t="s">
        <v>70</v>
      </c>
      <c r="I373" s="16" t="s">
        <v>71</v>
      </c>
      <c r="J373" s="23" t="s">
        <v>71</v>
      </c>
      <c r="K373" s="17"/>
      <c r="L373" s="16" t="s">
        <v>71</v>
      </c>
      <c r="M373" s="18" t="str">
        <f>IFNA( VLOOKUP(LEFT(F373, IFERROR(FIND(" ", F373, 1),1) - 1), lists!$A$31:$B$37, 2, FALSE),"")</f>
        <v/>
      </c>
      <c r="N373" s="18" t="str">
        <f>IFERROR(__xludf.DUMMYFUNCTION("IFNA(VLOOKUP(IFNA(REGEXEXTRACT(F373, ""(Пасхи|50-ці|посту)""),""""),lists!$A$39:$B$41,2,FALSE),"""")"),"")</f>
        <v/>
      </c>
      <c r="O373" s="19" t="str">
        <f>IFERROR(__xludf.DUMMYFUNCTION("IFNA(REGEXEXTRACT(F373, ""\d{1,2}""),"""")"),"")</f>
        <v/>
      </c>
      <c r="P373" s="20" t="b">
        <f t="shared" si="4"/>
        <v>0</v>
      </c>
    </row>
    <row r="374">
      <c r="A374" s="12" t="s">
        <v>799</v>
      </c>
      <c r="B374" s="9" t="str">
        <f t="shared" si="1"/>
        <v>Євр.</v>
      </c>
      <c r="C374" s="10" t="s">
        <v>17</v>
      </c>
      <c r="D374" s="11" t="str">
        <f t="shared" si="2"/>
        <v>318</v>
      </c>
      <c r="E374" s="26" t="s">
        <v>22</v>
      </c>
      <c r="F374" s="21" t="s">
        <v>800</v>
      </c>
      <c r="G374" s="14"/>
      <c r="H374" s="15" t="s">
        <v>70</v>
      </c>
      <c r="I374" s="16" t="s">
        <v>71</v>
      </c>
      <c r="J374" s="23" t="s">
        <v>71</v>
      </c>
      <c r="K374" s="17"/>
      <c r="L374" s="16" t="s">
        <v>71</v>
      </c>
      <c r="M374" s="18" t="str">
        <f>IFNA( VLOOKUP(LEFT(F374, IFERROR(FIND(" ", F374, 1),1) - 1), lists!$A$31:$B$37, 2, FALSE),"")</f>
        <v/>
      </c>
      <c r="N374" s="18" t="str">
        <f>IFERROR(__xludf.DUMMYFUNCTION("IFNA(VLOOKUP(IFNA(REGEXEXTRACT(F374, ""(Пасхи|50-ці|посту)""),""""),lists!$A$39:$B$41,2,FALSE),"""")"),"")</f>
        <v/>
      </c>
      <c r="O374" s="19" t="str">
        <f>IFERROR(__xludf.DUMMYFUNCTION("IFNA(REGEXEXTRACT(F374, ""\d{1,2}""),"""")"),"")</f>
        <v/>
      </c>
      <c r="P374" s="20" t="b">
        <f t="shared" si="4"/>
        <v>0</v>
      </c>
    </row>
    <row r="375">
      <c r="A375" s="9" t="s">
        <v>801</v>
      </c>
      <c r="B375" s="9" t="str">
        <f t="shared" si="1"/>
        <v>Євр.</v>
      </c>
      <c r="C375" s="10" t="s">
        <v>17</v>
      </c>
      <c r="D375" s="11" t="str">
        <f t="shared" si="2"/>
        <v>319</v>
      </c>
      <c r="E375" s="9"/>
      <c r="F375" s="21" t="s">
        <v>802</v>
      </c>
      <c r="G375" s="14"/>
      <c r="H375" s="22"/>
      <c r="I375" s="16" t="s">
        <v>29</v>
      </c>
      <c r="J375" s="23" t="s">
        <v>591</v>
      </c>
      <c r="K375" s="17"/>
      <c r="L375" s="16">
        <v>1.0</v>
      </c>
      <c r="M375" s="18">
        <f>IFNA( VLOOKUP(LEFT(F375, IFERROR(FIND(" ", F375, 1),1) - 1), lists!$A$31:$B$37, 2, FALSE),"")</f>
        <v>1</v>
      </c>
      <c r="N375" s="18" t="str">
        <f>IFERROR(__xludf.DUMMYFUNCTION("IFNA(VLOOKUP(IFNA(REGEXEXTRACT(F375, ""(Пасхи|50-ці|посту)""),""""),lists!$A$39:$B$41,2,FALSE),"""")"),"pentecost")</f>
        <v>pentecost</v>
      </c>
      <c r="O375" s="19" t="str">
        <f>IFERROR(__xludf.DUMMYFUNCTION("IFNA(REGEXEXTRACT(F375, ""\d{1,2}""),"""")"),"30")</f>
        <v>30</v>
      </c>
      <c r="P375" s="20" t="b">
        <f t="shared" si="4"/>
        <v>0</v>
      </c>
    </row>
    <row r="376">
      <c r="A376" s="9" t="s">
        <v>803</v>
      </c>
      <c r="B376" s="9" t="str">
        <f t="shared" si="1"/>
        <v>Євр.</v>
      </c>
      <c r="C376" s="10" t="s">
        <v>17</v>
      </c>
      <c r="D376" s="11" t="str">
        <f t="shared" si="2"/>
        <v>320</v>
      </c>
      <c r="E376" s="9"/>
      <c r="F376" s="21" t="s">
        <v>804</v>
      </c>
      <c r="G376" s="14"/>
      <c r="H376" s="15" t="s">
        <v>70</v>
      </c>
      <c r="I376" s="16" t="s">
        <v>71</v>
      </c>
      <c r="J376" s="23" t="s">
        <v>71</v>
      </c>
      <c r="K376" s="17"/>
      <c r="L376" s="16" t="s">
        <v>71</v>
      </c>
      <c r="M376" s="18" t="str">
        <f>IFNA( VLOOKUP(LEFT(F376, IFERROR(FIND(" ", F376, 1),1) - 1), lists!$A$31:$B$37, 2, FALSE),"")</f>
        <v/>
      </c>
      <c r="N376" s="18" t="str">
        <f>IFERROR(__xludf.DUMMYFUNCTION("IFNA(VLOOKUP(IFNA(REGEXEXTRACT(F376, ""(Пасхи|50-ці|посту)""),""""),lists!$A$39:$B$41,2,FALSE),"""")"),"")</f>
        <v/>
      </c>
      <c r="O376" s="19" t="str">
        <f>IFERROR(__xludf.DUMMYFUNCTION("IFNA(REGEXEXTRACT(F376, ""\d{1,2}""),"""")"),"")</f>
        <v/>
      </c>
      <c r="P376" s="20" t="b">
        <f t="shared" si="4"/>
        <v>0</v>
      </c>
    </row>
    <row r="377">
      <c r="A377" s="24" t="s">
        <v>805</v>
      </c>
      <c r="B377" s="9" t="str">
        <f t="shared" si="1"/>
        <v>Євр.</v>
      </c>
      <c r="C377" s="10" t="s">
        <v>17</v>
      </c>
      <c r="D377" s="11" t="str">
        <f t="shared" si="2"/>
        <v>321</v>
      </c>
      <c r="E377" s="12" t="s">
        <v>18</v>
      </c>
      <c r="F377" s="21" t="s">
        <v>806</v>
      </c>
      <c r="G377" s="14"/>
      <c r="H377" s="22"/>
      <c r="I377" s="16" t="s">
        <v>29</v>
      </c>
      <c r="J377" s="23" t="s">
        <v>591</v>
      </c>
      <c r="K377" s="17"/>
      <c r="L377" s="16">
        <v>2.0</v>
      </c>
      <c r="M377" s="18">
        <f>IFNA( VLOOKUP(LEFT(F377, IFERROR(FIND(" ", F377, 1),1) - 1), lists!$A$31:$B$37, 2, FALSE),"")</f>
        <v>2</v>
      </c>
      <c r="N377" s="18" t="str">
        <f>IFERROR(__xludf.DUMMYFUNCTION("IFNA(VLOOKUP(IFNA(REGEXEXTRACT(F377, ""(Пасхи|50-ці|посту)""),""""),lists!$A$39:$B$41,2,FALSE),"""")"),"pentecost")</f>
        <v>pentecost</v>
      </c>
      <c r="O377" s="19" t="str">
        <f>IFERROR(__xludf.DUMMYFUNCTION("IFNA(REGEXEXTRACT(F377, ""\d{1,2}""),"""")"),"30")</f>
        <v>30</v>
      </c>
      <c r="P377" s="20" t="b">
        <f t="shared" si="4"/>
        <v>0</v>
      </c>
    </row>
    <row r="378">
      <c r="A378" s="9" t="s">
        <v>807</v>
      </c>
      <c r="B378" s="9" t="str">
        <f t="shared" si="1"/>
        <v>Євр.</v>
      </c>
      <c r="C378" s="10" t="s">
        <v>17</v>
      </c>
      <c r="D378" s="11" t="str">
        <f t="shared" si="2"/>
        <v>321</v>
      </c>
      <c r="E378" s="12" t="s">
        <v>22</v>
      </c>
      <c r="F378" s="13" t="s">
        <v>808</v>
      </c>
      <c r="G378" s="14"/>
      <c r="H378" s="15" t="s">
        <v>70</v>
      </c>
      <c r="I378" s="16" t="s">
        <v>20</v>
      </c>
      <c r="J378" s="23">
        <v>5.0</v>
      </c>
      <c r="K378" s="17"/>
      <c r="L378" s="16">
        <v>7.0</v>
      </c>
      <c r="M378" s="18" t="str">
        <f>IFNA( VLOOKUP(LEFT(F378, IFERROR(FIND(" ", F378, 1),1) - 1), lists!$A$31:$B$37, 2, FALSE),"")</f>
        <v/>
      </c>
      <c r="N378" s="18" t="str">
        <f>IFERROR(__xludf.DUMMYFUNCTION("IFNA(VLOOKUP(IFNA(REGEXEXTRACT(F378, ""(Пасхи|50-ці|посту)""),""""),lists!$A$39:$B$41,2,FALSE),"""")"),"lent")</f>
        <v>lent</v>
      </c>
      <c r="O378" s="19" t="str">
        <f>IFERROR(__xludf.DUMMYFUNCTION("IFNA(REGEXEXTRACT(F378, ""\d{1,2}""),"""")"),"")</f>
        <v/>
      </c>
      <c r="P378" s="20" t="b">
        <f t="shared" si="4"/>
        <v>0</v>
      </c>
    </row>
    <row r="379">
      <c r="A379" s="9" t="s">
        <v>809</v>
      </c>
      <c r="B379" s="9" t="str">
        <f t="shared" si="1"/>
        <v>Євр.</v>
      </c>
      <c r="C379" s="10" t="s">
        <v>17</v>
      </c>
      <c r="D379" s="11" t="str">
        <f t="shared" si="2"/>
        <v>322</v>
      </c>
      <c r="E379" s="9"/>
      <c r="F379" s="13" t="s">
        <v>810</v>
      </c>
      <c r="G379" s="14"/>
      <c r="H379" s="22"/>
      <c r="I379" s="16" t="s">
        <v>20</v>
      </c>
      <c r="J379" s="23">
        <v>5.0</v>
      </c>
      <c r="K379" s="17"/>
      <c r="L379" s="16">
        <v>6.0</v>
      </c>
      <c r="M379" s="18" t="str">
        <f>IFNA( VLOOKUP(LEFT(F379, IFERROR(FIND(" ", F379, 1),1) - 1), lists!$A$31:$B$37, 2, FALSE),"")</f>
        <v/>
      </c>
      <c r="N379" s="18" t="str">
        <f>IFERROR(__xludf.DUMMYFUNCTION("IFNA(VLOOKUP(IFNA(REGEXEXTRACT(F379, ""(Пасхи|50-ці|посту)""),""""),lists!$A$39:$B$41,2,FALSE),"""")"),"lent")</f>
        <v>lent</v>
      </c>
      <c r="O379" s="19" t="str">
        <f>IFERROR(__xludf.DUMMYFUNCTION("IFNA(REGEXEXTRACT(F379, ""\d{1,2}""),"""")"),"")</f>
        <v/>
      </c>
      <c r="P379" s="20" t="b">
        <f t="shared" si="4"/>
        <v>0</v>
      </c>
    </row>
    <row r="380">
      <c r="A380" s="9" t="s">
        <v>811</v>
      </c>
      <c r="B380" s="9" t="str">
        <f t="shared" si="1"/>
        <v>Євр.</v>
      </c>
      <c r="C380" s="10" t="s">
        <v>17</v>
      </c>
      <c r="D380" s="11" t="str">
        <f t="shared" si="2"/>
        <v>323</v>
      </c>
      <c r="E380" s="9"/>
      <c r="F380" s="13" t="s">
        <v>812</v>
      </c>
      <c r="G380" s="14"/>
      <c r="H380" s="22"/>
      <c r="I380" s="16" t="s">
        <v>29</v>
      </c>
      <c r="J380" s="23" t="s">
        <v>591</v>
      </c>
      <c r="K380" s="17"/>
      <c r="L380" s="16">
        <v>3.0</v>
      </c>
      <c r="M380" s="18">
        <f>IFNA( VLOOKUP(LEFT(F380, IFERROR(FIND(" ", F380, 1),1) - 1), lists!$A$31:$B$37, 2, FALSE),"")</f>
        <v>3</v>
      </c>
      <c r="N380" s="18" t="str">
        <f>IFERROR(__xludf.DUMMYFUNCTION("IFNA(VLOOKUP(IFNA(REGEXEXTRACT(F380, ""(Пасхи|50-ці|посту)""),""""),lists!$A$39:$B$41,2,FALSE),"""")"),"pentecost")</f>
        <v>pentecost</v>
      </c>
      <c r="O380" s="19" t="str">
        <f>IFERROR(__xludf.DUMMYFUNCTION("IFNA(REGEXEXTRACT(F380, ""\d{1,2}""),"""")"),"30")</f>
        <v>30</v>
      </c>
      <c r="P380" s="20" t="b">
        <f t="shared" si="4"/>
        <v>0</v>
      </c>
    </row>
    <row r="381">
      <c r="A381" s="9" t="s">
        <v>813</v>
      </c>
      <c r="B381" s="9" t="str">
        <f t="shared" si="1"/>
        <v>Євр.</v>
      </c>
      <c r="C381" s="10" t="s">
        <v>17</v>
      </c>
      <c r="D381" s="11" t="str">
        <f t="shared" si="2"/>
        <v>324</v>
      </c>
      <c r="E381" s="9"/>
      <c r="F381" s="13" t="s">
        <v>814</v>
      </c>
      <c r="G381" s="14"/>
      <c r="H381" s="15" t="s">
        <v>70</v>
      </c>
      <c r="I381" s="16" t="s">
        <v>71</v>
      </c>
      <c r="J381" s="23" t="s">
        <v>315</v>
      </c>
      <c r="K381" s="17"/>
      <c r="L381" s="16" t="s">
        <v>71</v>
      </c>
      <c r="M381" s="18" t="str">
        <f>IFNA( VLOOKUP(LEFT(F381, IFERROR(FIND(" ", F381, 1),1) - 1), lists!$A$31:$B$37, 2, FALSE),"")</f>
        <v/>
      </c>
      <c r="N381" s="18" t="str">
        <f>IFERROR(__xludf.DUMMYFUNCTION("IFNA(VLOOKUP(IFNA(REGEXEXTRACT(F381, ""(Пасхи|50-ці|посту)""),""""),lists!$A$39:$B$41,2,FALSE),"""")"),"")</f>
        <v/>
      </c>
      <c r="O381" s="19" t="str">
        <f>IFERROR(__xludf.DUMMYFUNCTION("IFNA(REGEXEXTRACT(F381, ""\d{1,2}""),"""")"),"9")</f>
        <v>9</v>
      </c>
      <c r="P381" s="20" t="b">
        <f t="shared" si="4"/>
        <v>0</v>
      </c>
    </row>
    <row r="382">
      <c r="A382" s="9" t="s">
        <v>815</v>
      </c>
      <c r="B382" s="9" t="str">
        <f t="shared" si="1"/>
        <v>Євр.</v>
      </c>
      <c r="C382" s="10" t="s">
        <v>17</v>
      </c>
      <c r="D382" s="11" t="str">
        <f t="shared" si="2"/>
        <v>325</v>
      </c>
      <c r="E382" s="9"/>
      <c r="F382" s="13" t="s">
        <v>816</v>
      </c>
      <c r="G382" s="14"/>
      <c r="H382" s="22"/>
      <c r="I382" s="16" t="s">
        <v>20</v>
      </c>
      <c r="J382" s="23">
        <v>3.0</v>
      </c>
      <c r="K382" s="17"/>
      <c r="L382" s="16">
        <v>6.0</v>
      </c>
      <c r="M382" s="18" t="str">
        <f>IFNA( VLOOKUP(LEFT(F382, IFERROR(FIND(" ", F382, 1),1) - 1), lists!$A$31:$B$37, 2, FALSE),"")</f>
        <v/>
      </c>
      <c r="N382" s="18" t="str">
        <f>IFERROR(__xludf.DUMMYFUNCTION("IFNA(VLOOKUP(IFNA(REGEXEXTRACT(F382, ""(Пасхи|50-ці|посту)""),""""),lists!$A$39:$B$41,2,FALSE),"""")"),"lent")</f>
        <v>lent</v>
      </c>
      <c r="O382" s="19" t="str">
        <f>IFERROR(__xludf.DUMMYFUNCTION("IFNA(REGEXEXTRACT(F382, ""\d{1,2}""),"""")"),"")</f>
        <v/>
      </c>
      <c r="P382" s="20" t="b">
        <f t="shared" si="4"/>
        <v>0</v>
      </c>
    </row>
    <row r="383">
      <c r="A383" s="9" t="s">
        <v>817</v>
      </c>
      <c r="B383" s="9" t="str">
        <f t="shared" si="1"/>
        <v>Євр.</v>
      </c>
      <c r="C383" s="10" t="s">
        <v>17</v>
      </c>
      <c r="D383" s="11" t="str">
        <f t="shared" si="2"/>
        <v>326</v>
      </c>
      <c r="E383" s="9"/>
      <c r="F383" s="13" t="s">
        <v>818</v>
      </c>
      <c r="G383" s="14"/>
      <c r="H383" s="22"/>
      <c r="I383" s="16" t="s">
        <v>29</v>
      </c>
      <c r="J383" s="23" t="s">
        <v>591</v>
      </c>
      <c r="K383" s="17"/>
      <c r="L383" s="16">
        <v>4.0</v>
      </c>
      <c r="M383" s="18">
        <f>IFNA( VLOOKUP(LEFT(F383, IFERROR(FIND(" ", F383, 1),1) - 1), lists!$A$31:$B$37, 2, FALSE),"")</f>
        <v>4</v>
      </c>
      <c r="N383" s="18" t="str">
        <f>IFERROR(__xludf.DUMMYFUNCTION("IFNA(VLOOKUP(IFNA(REGEXEXTRACT(F383, ""(Пасхи|50-ці|посту)""),""""),lists!$A$39:$B$41,2,FALSE),"""")"),"pentecost")</f>
        <v>pentecost</v>
      </c>
      <c r="O383" s="19" t="str">
        <f>IFERROR(__xludf.DUMMYFUNCTION("IFNA(REGEXEXTRACT(F383, ""\d{1,2}""),"""")"),"30")</f>
        <v>30</v>
      </c>
      <c r="P383" s="20" t="b">
        <f t="shared" si="4"/>
        <v>0</v>
      </c>
    </row>
    <row r="384">
      <c r="A384" s="9" t="s">
        <v>819</v>
      </c>
      <c r="B384" s="9" t="str">
        <f t="shared" si="1"/>
        <v>Євр.</v>
      </c>
      <c r="C384" s="10" t="s">
        <v>17</v>
      </c>
      <c r="D384" s="11" t="str">
        <f t="shared" si="2"/>
        <v>327</v>
      </c>
      <c r="E384" s="9"/>
      <c r="F384" s="13" t="s">
        <v>820</v>
      </c>
      <c r="G384" s="14"/>
      <c r="H384" s="22"/>
      <c r="I384" s="16" t="s">
        <v>29</v>
      </c>
      <c r="J384" s="23" t="s">
        <v>591</v>
      </c>
      <c r="K384" s="17"/>
      <c r="L384" s="16">
        <v>5.0</v>
      </c>
      <c r="M384" s="18">
        <f>IFNA( VLOOKUP(LEFT(F384, IFERROR(FIND(" ", F384, 1),1) - 1), lists!$A$31:$B$37, 2, FALSE),"")</f>
        <v>5</v>
      </c>
      <c r="N384" s="18" t="str">
        <f>IFERROR(__xludf.DUMMYFUNCTION("IFNA(VLOOKUP(IFNA(REGEXEXTRACT(F384, ""(Пасхи|50-ці|посту)""),""""),lists!$A$39:$B$41,2,FALSE),"""")"),"pentecost")</f>
        <v>pentecost</v>
      </c>
      <c r="O384" s="19" t="str">
        <f>IFERROR(__xludf.DUMMYFUNCTION("IFNA(REGEXEXTRACT(F384, ""\d{1,2}""),"""")"),"30")</f>
        <v>30</v>
      </c>
      <c r="P384" s="20" t="b">
        <f t="shared" si="4"/>
        <v>0</v>
      </c>
    </row>
    <row r="385">
      <c r="A385" s="9" t="s">
        <v>821</v>
      </c>
      <c r="B385" s="9" t="str">
        <f t="shared" si="1"/>
        <v>Євр.</v>
      </c>
      <c r="C385" s="10" t="s">
        <v>17</v>
      </c>
      <c r="D385" s="11" t="str">
        <f t="shared" si="2"/>
        <v>328</v>
      </c>
      <c r="E385" s="9"/>
      <c r="F385" s="13" t="s">
        <v>822</v>
      </c>
      <c r="G385" s="14"/>
      <c r="H385" s="15" t="s">
        <v>70</v>
      </c>
      <c r="I385" s="16" t="s">
        <v>71</v>
      </c>
      <c r="J385" s="23" t="s">
        <v>71</v>
      </c>
      <c r="K385" s="17"/>
      <c r="L385" s="16">
        <v>7.0</v>
      </c>
      <c r="M385" s="18">
        <f>IFNA( VLOOKUP(LEFT(F385, IFERROR(FIND(" ", F385, 1),1) - 1), lists!$A$31:$B$37, 2, FALSE),"")</f>
        <v>7</v>
      </c>
      <c r="N385" s="18" t="str">
        <f>IFERROR(__xludf.DUMMYFUNCTION("IFNA(VLOOKUP(IFNA(REGEXEXTRACT(F385, ""(Пасхи|50-ці|посту)""),""""),lists!$A$39:$B$41,2,FALSE),"""")"),"")</f>
        <v/>
      </c>
      <c r="O385" s="19" t="str">
        <f>IFERROR(__xludf.DUMMYFUNCTION("IFNA(REGEXEXTRACT(F385, ""\d{1,2}""),"""")"),"")</f>
        <v/>
      </c>
      <c r="P385" s="20" t="b">
        <f t="shared" si="4"/>
        <v>0</v>
      </c>
    </row>
    <row r="386">
      <c r="A386" s="26" t="s">
        <v>823</v>
      </c>
      <c r="B386" s="26" t="str">
        <f t="shared" si="1"/>
        <v>Євр.</v>
      </c>
      <c r="C386" s="10" t="s">
        <v>17</v>
      </c>
      <c r="D386" s="40" t="str">
        <f>MID(A386,FIND(".",A386)+2,FIND(" ",RIGHT(A386,LEN(A386)-FIND(".",A386)-1))-1)</f>
        <v>329</v>
      </c>
      <c r="E386" s="41" t="s">
        <v>18</v>
      </c>
      <c r="F386" s="42" t="s">
        <v>824</v>
      </c>
      <c r="G386" s="43"/>
      <c r="H386" s="44"/>
      <c r="I386" s="16" t="s">
        <v>29</v>
      </c>
      <c r="J386" s="23" t="s">
        <v>143</v>
      </c>
      <c r="K386" s="45"/>
      <c r="L386" s="46">
        <v>1.0</v>
      </c>
      <c r="M386" s="18">
        <f>IFNA( VLOOKUP(LEFT(F386, IFERROR(FIND(" ", F386, 1),1) - 1), lists!$A$31:$B$37, 2, FALSE),"")</f>
        <v>1</v>
      </c>
      <c r="N386" s="18" t="str">
        <f>IFERROR(__xludf.DUMMYFUNCTION("IFNA(VLOOKUP(IFNA(REGEXEXTRACT(F386, ""(Пасхи|50-ці|посту)""),""""),lists!$A$39:$B$41,2,FALSE),"""")"),"pentecost")</f>
        <v>pentecost</v>
      </c>
      <c r="O386" s="47" t="str">
        <f>IFERROR(__xludf.DUMMYFUNCTION("IFNA(REGEXEXTRACT(F386, ""\d{1,2}""),"""")"),"31")</f>
        <v>31</v>
      </c>
      <c r="P386" s="20" t="b">
        <f t="shared" si="4"/>
        <v>0</v>
      </c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>
      <c r="A387" s="9" t="s">
        <v>825</v>
      </c>
      <c r="B387" s="9" t="str">
        <f t="shared" si="1"/>
        <v>Євр.</v>
      </c>
      <c r="C387" s="10" t="s">
        <v>17</v>
      </c>
      <c r="D387" s="11" t="str">
        <f t="shared" ref="D387:D395" si="5">MID(A387,FIND(".",A387)+2,FIND(" ",RIGHT(A387,LEN(A387)-FIND(".",A387)-1))-1)</f>
        <v>329</v>
      </c>
      <c r="E387" s="12" t="s">
        <v>22</v>
      </c>
      <c r="F387" s="13" t="s">
        <v>826</v>
      </c>
      <c r="G387" s="14"/>
      <c r="H387" s="22"/>
      <c r="I387" s="16" t="s">
        <v>20</v>
      </c>
      <c r="J387" s="23">
        <v>1.0</v>
      </c>
      <c r="K387" s="17"/>
      <c r="L387" s="16">
        <v>7.0</v>
      </c>
      <c r="M387" s="18" t="str">
        <f>IFNA( VLOOKUP(LEFT(F387, IFERROR(FIND(" ", F387, 1),1) - 1), lists!$A$31:$B$37, 2, FALSE),"")</f>
        <v/>
      </c>
      <c r="N387" s="18" t="str">
        <f>IFERROR(__xludf.DUMMYFUNCTION("IFNA(VLOOKUP(IFNA(REGEXEXTRACT(F387, ""(Пасхи|50-ці|посту)""),""""),lists!$A$39:$B$41,2,FALSE),"""")"),"lent")</f>
        <v>lent</v>
      </c>
      <c r="O387" s="19" t="str">
        <f>IFERROR(__xludf.DUMMYFUNCTION("IFNA(REGEXEXTRACT(F387, ""\d{1,2}""),"""")"),"")</f>
        <v/>
      </c>
      <c r="P387" s="20" t="b">
        <f t="shared" si="4"/>
        <v>0</v>
      </c>
    </row>
    <row r="388">
      <c r="A388" s="9" t="s">
        <v>827</v>
      </c>
      <c r="B388" s="9" t="str">
        <f t="shared" si="1"/>
        <v>Євр.</v>
      </c>
      <c r="C388" s="10" t="s">
        <v>17</v>
      </c>
      <c r="D388" s="11" t="str">
        <f t="shared" si="5"/>
        <v>330</v>
      </c>
      <c r="E388" s="9"/>
      <c r="F388" s="13" t="s">
        <v>828</v>
      </c>
      <c r="G388" s="14"/>
      <c r="H388" s="22"/>
      <c r="I388" s="16" t="s">
        <v>29</v>
      </c>
      <c r="J388" s="23">
        <v>1.0</v>
      </c>
      <c r="K388" s="17"/>
      <c r="L388" s="16">
        <v>7.0</v>
      </c>
      <c r="M388" s="18">
        <f>IFNA( VLOOKUP(LEFT(F388, IFERROR(FIND(" ", F388, 1),1) - 1), lists!$A$31:$B$37, 2, FALSE),"")</f>
        <v>7</v>
      </c>
      <c r="N388" s="18" t="str">
        <f>IFERROR(__xludf.DUMMYFUNCTION("IFNA(VLOOKUP(IFNA(REGEXEXTRACT(F388, ""(Пасхи|50-ці|посту)""),""""),lists!$A$39:$B$41,2,FALSE),"""")"),"")</f>
        <v/>
      </c>
      <c r="O388" s="19" t="str">
        <f>IFERROR(__xludf.DUMMYFUNCTION("IFNA(REGEXEXTRACT(F388, ""\d{1,2}""),"""")"),"")</f>
        <v/>
      </c>
      <c r="P388" s="20" t="b">
        <f t="shared" si="4"/>
        <v>0</v>
      </c>
    </row>
    <row r="389">
      <c r="A389" s="9" t="s">
        <v>829</v>
      </c>
      <c r="B389" s="9" t="str">
        <f t="shared" si="1"/>
        <v>Євр.</v>
      </c>
      <c r="C389" s="10" t="s">
        <v>17</v>
      </c>
      <c r="D389" s="11" t="str">
        <f t="shared" si="5"/>
        <v>331</v>
      </c>
      <c r="E389" s="26" t="s">
        <v>18</v>
      </c>
      <c r="F389" s="13" t="s">
        <v>830</v>
      </c>
      <c r="G389" s="14"/>
      <c r="H389" s="15" t="s">
        <v>70</v>
      </c>
      <c r="I389" s="16" t="s">
        <v>71</v>
      </c>
      <c r="J389" s="23" t="s">
        <v>315</v>
      </c>
      <c r="K389" s="17"/>
      <c r="L389" s="16" t="s">
        <v>71</v>
      </c>
      <c r="M389" s="18" t="str">
        <f>IFNA( VLOOKUP(LEFT(F389, IFERROR(FIND(" ", F389, 1),1) - 1), lists!$A$31:$B$37, 2, FALSE),"")</f>
        <v/>
      </c>
      <c r="N389" s="18" t="str">
        <f>IFERROR(__xludf.DUMMYFUNCTION("IFNA(VLOOKUP(IFNA(REGEXEXTRACT(F389, ""(Пасхи|50-ці|посту)""),""""),lists!$A$39:$B$41,2,FALSE),"""")"),"")</f>
        <v/>
      </c>
      <c r="O389" s="19" t="str">
        <f>IFERROR(__xludf.DUMMYFUNCTION("IFNA(REGEXEXTRACT(F389, ""\d{1,2}""),"""")"),"9")</f>
        <v>9</v>
      </c>
      <c r="P389" s="20" t="b">
        <f t="shared" si="4"/>
        <v>0</v>
      </c>
    </row>
    <row r="390">
      <c r="A390" s="9" t="s">
        <v>831</v>
      </c>
      <c r="B390" s="9" t="str">
        <f t="shared" si="1"/>
        <v>Євр.</v>
      </c>
      <c r="C390" s="10" t="s">
        <v>17</v>
      </c>
      <c r="D390" s="11" t="str">
        <f t="shared" si="5"/>
        <v>331</v>
      </c>
      <c r="E390" s="26" t="s">
        <v>22</v>
      </c>
      <c r="F390" s="13" t="s">
        <v>832</v>
      </c>
      <c r="G390" s="14"/>
      <c r="H390" s="15" t="s">
        <v>70</v>
      </c>
      <c r="I390" s="16" t="s">
        <v>71</v>
      </c>
      <c r="J390" s="23" t="s">
        <v>71</v>
      </c>
      <c r="K390" s="17"/>
      <c r="L390" s="16" t="s">
        <v>71</v>
      </c>
      <c r="M390" s="18" t="str">
        <f>IFNA( VLOOKUP(LEFT(F390, IFERROR(FIND(" ", F390, 1),1) - 1), lists!$A$31:$B$37, 2, FALSE),"")</f>
        <v/>
      </c>
      <c r="N390" s="18" t="str">
        <f>IFERROR(__xludf.DUMMYFUNCTION("IFNA(VLOOKUP(IFNA(REGEXEXTRACT(F390, ""(Пасхи|50-ці|посту)""),""""),lists!$A$39:$B$41,2,FALSE),"""")"),"")</f>
        <v/>
      </c>
      <c r="O390" s="19" t="str">
        <f>IFERROR(__xludf.DUMMYFUNCTION("IFNA(REGEXEXTRACT(F390, ""\d{1,2}""),"""")"),"")</f>
        <v/>
      </c>
      <c r="P390" s="20" t="b">
        <f t="shared" si="4"/>
        <v>0</v>
      </c>
    </row>
    <row r="391">
      <c r="A391" s="9" t="s">
        <v>833</v>
      </c>
      <c r="B391" s="9" t="str">
        <f t="shared" si="1"/>
        <v>Євр.</v>
      </c>
      <c r="C391" s="10" t="s">
        <v>17</v>
      </c>
      <c r="D391" s="11" t="str">
        <f t="shared" si="5"/>
        <v>332</v>
      </c>
      <c r="E391" s="9"/>
      <c r="F391" s="13" t="s">
        <v>834</v>
      </c>
      <c r="G391" s="14"/>
      <c r="H391" s="15" t="s">
        <v>70</v>
      </c>
      <c r="I391" s="16" t="s">
        <v>71</v>
      </c>
      <c r="J391" s="23" t="s">
        <v>71</v>
      </c>
      <c r="K391" s="17"/>
      <c r="L391" s="16" t="s">
        <v>71</v>
      </c>
      <c r="M391" s="18" t="str">
        <f>IFNA( VLOOKUP(LEFT(F391, IFERROR(FIND(" ", F391, 1),1) - 1), lists!$A$31:$B$37, 2, FALSE),"")</f>
        <v/>
      </c>
      <c r="N391" s="18" t="str">
        <f>IFERROR(__xludf.DUMMYFUNCTION("IFNA(VLOOKUP(IFNA(REGEXEXTRACT(F391, ""(Пасхи|50-ці|посту)""),""""),lists!$A$39:$B$41,2,FALSE),"""")"),"")</f>
        <v/>
      </c>
      <c r="O391" s="19" t="str">
        <f>IFERROR(__xludf.DUMMYFUNCTION("IFNA(REGEXEXTRACT(F391, ""\d{1,2}""),"""")"),"")</f>
        <v/>
      </c>
      <c r="P391" s="20" t="b">
        <f t="shared" si="4"/>
        <v>0</v>
      </c>
    </row>
    <row r="392">
      <c r="A392" s="9" t="s">
        <v>835</v>
      </c>
      <c r="B392" s="9" t="str">
        <f t="shared" si="1"/>
        <v>Євр.</v>
      </c>
      <c r="C392" s="10" t="s">
        <v>17</v>
      </c>
      <c r="D392" s="11" t="str">
        <f t="shared" si="5"/>
        <v>333</v>
      </c>
      <c r="E392" s="12" t="s">
        <v>18</v>
      </c>
      <c r="F392" s="21" t="s">
        <v>836</v>
      </c>
      <c r="G392" s="14"/>
      <c r="H392" s="22"/>
      <c r="I392" s="16" t="s">
        <v>29</v>
      </c>
      <c r="J392" s="23" t="s">
        <v>143</v>
      </c>
      <c r="K392" s="17"/>
      <c r="L392" s="16">
        <v>2.0</v>
      </c>
      <c r="M392" s="18">
        <f>IFNA( VLOOKUP(LEFT(F392, IFERROR(FIND(" ", F392, 1),1) - 1), lists!$A$31:$B$37, 2, FALSE),"")</f>
        <v>2</v>
      </c>
      <c r="N392" s="18" t="str">
        <f>IFERROR(__xludf.DUMMYFUNCTION("IFNA(VLOOKUP(IFNA(REGEXEXTRACT(F392, ""(Пасхи|50-ці|посту)""),""""),lists!$A$39:$B$41,2,FALSE),"""")"),"pentecost")</f>
        <v>pentecost</v>
      </c>
      <c r="O392" s="19" t="str">
        <f>IFERROR(__xludf.DUMMYFUNCTION("IFNA(REGEXEXTRACT(F392, ""\d{1,2}""),"""")"),"31")</f>
        <v>31</v>
      </c>
      <c r="P392" s="20" t="b">
        <f t="shared" si="4"/>
        <v>0</v>
      </c>
    </row>
    <row r="393">
      <c r="A393" s="12" t="s">
        <v>837</v>
      </c>
      <c r="B393" s="9" t="str">
        <f t="shared" si="1"/>
        <v>Євр.</v>
      </c>
      <c r="C393" s="10" t="s">
        <v>17</v>
      </c>
      <c r="D393" s="11" t="str">
        <f t="shared" si="5"/>
        <v>333</v>
      </c>
      <c r="E393" s="12" t="s">
        <v>22</v>
      </c>
      <c r="F393" s="13" t="s">
        <v>838</v>
      </c>
      <c r="G393" s="14"/>
      <c r="H393" s="22"/>
      <c r="I393" s="16" t="s">
        <v>20</v>
      </c>
      <c r="J393" s="23">
        <v>6.0</v>
      </c>
      <c r="K393" s="17"/>
      <c r="L393" s="16">
        <v>6.0</v>
      </c>
      <c r="M393" s="18" t="str">
        <f>IFNA( VLOOKUP(LEFT(F393, IFERROR(FIND(" ", F393, 1),1) - 1), lists!$A$31:$B$37, 2, FALSE),"")</f>
        <v/>
      </c>
      <c r="N393" s="18" t="str">
        <f>IFERROR(__xludf.DUMMYFUNCTION("IFNA(VLOOKUP(IFNA(REGEXEXTRACT(F393, ""(Пасхи|50-ці|посту)""),""""),lists!$A$39:$B$41,2,FALSE),"""")"),"lent")</f>
        <v>lent</v>
      </c>
      <c r="O393" s="19" t="str">
        <f>IFERROR(__xludf.DUMMYFUNCTION("IFNA(REGEXEXTRACT(F393, ""\d{1,2}""),"""")"),"")</f>
        <v/>
      </c>
      <c r="P393" s="20" t="b">
        <f t="shared" si="4"/>
        <v>0</v>
      </c>
    </row>
    <row r="394">
      <c r="A394" s="9" t="s">
        <v>839</v>
      </c>
      <c r="B394" s="9" t="str">
        <f t="shared" si="1"/>
        <v>Євр.</v>
      </c>
      <c r="C394" s="10" t="s">
        <v>17</v>
      </c>
      <c r="D394" s="11" t="str">
        <f t="shared" si="5"/>
        <v>334</v>
      </c>
      <c r="E394" s="9"/>
      <c r="F394" s="21" t="s">
        <v>840</v>
      </c>
      <c r="G394" s="14"/>
      <c r="H394" s="15" t="s">
        <v>70</v>
      </c>
      <c r="I394" s="16" t="s">
        <v>71</v>
      </c>
      <c r="J394" s="23" t="s">
        <v>71</v>
      </c>
      <c r="K394" s="17"/>
      <c r="L394" s="16" t="s">
        <v>71</v>
      </c>
      <c r="M394" s="18" t="str">
        <f>IFNA( VLOOKUP(LEFT(F394, IFERROR(FIND(" ", F394, 1),1) - 1), lists!$A$31:$B$37, 2, FALSE),"")</f>
        <v/>
      </c>
      <c r="N394" s="18" t="str">
        <f>IFERROR(__xludf.DUMMYFUNCTION("IFNA(VLOOKUP(IFNA(REGEXEXTRACT(F394, ""(Пасхи|50-ці|посту)""),""""),lists!$A$39:$B$41,2,FALSE),"""")"),"")</f>
        <v/>
      </c>
      <c r="O394" s="19" t="str">
        <f>IFERROR(__xludf.DUMMYFUNCTION("IFNA(REGEXEXTRACT(F394, ""\d{1,2}""),"""")"),"")</f>
        <v/>
      </c>
      <c r="P394" s="20" t="b">
        <f t="shared" si="4"/>
        <v>0</v>
      </c>
    </row>
    <row r="395">
      <c r="A395" s="9" t="s">
        <v>841</v>
      </c>
      <c r="B395" s="9" t="str">
        <f t="shared" si="1"/>
        <v>Євр.</v>
      </c>
      <c r="C395" s="10" t="s">
        <v>17</v>
      </c>
      <c r="D395" s="11" t="str">
        <f t="shared" si="5"/>
        <v>335</v>
      </c>
      <c r="E395" s="9"/>
      <c r="F395" s="21" t="s">
        <v>842</v>
      </c>
      <c r="G395" s="14"/>
      <c r="H395" s="15" t="s">
        <v>70</v>
      </c>
      <c r="I395" s="16" t="s">
        <v>71</v>
      </c>
      <c r="J395" s="23" t="s">
        <v>71</v>
      </c>
      <c r="K395" s="17"/>
      <c r="L395" s="16" t="s">
        <v>71</v>
      </c>
      <c r="M395" s="18" t="str">
        <f>IFNA( VLOOKUP(LEFT(F395, IFERROR(FIND(" ", F395, 1),1) - 1), lists!$A$31:$B$37, 2, FALSE),"")</f>
        <v/>
      </c>
      <c r="N395" s="18" t="str">
        <f>IFERROR(__xludf.DUMMYFUNCTION("IFNA(VLOOKUP(IFNA(REGEXEXTRACT(F395, ""(Пасхи|50-ці|посту)""),""""),lists!$A$39:$B$41,2,FALSE),"""")"),"")</f>
        <v/>
      </c>
      <c r="O395" s="19" t="str">
        <f>IFERROR(__xludf.DUMMYFUNCTION("IFNA(REGEXEXTRACT(F395, ""\d{1,2}""),"""")"),"")</f>
        <v/>
      </c>
      <c r="P395" s="20" t="b">
        <f t="shared" si="4"/>
        <v>0</v>
      </c>
    </row>
    <row r="396" ht="15.75" customHeight="1">
      <c r="F396" s="49"/>
      <c r="H396" s="50"/>
      <c r="I396" s="51"/>
      <c r="J396" s="51"/>
      <c r="K396" s="51"/>
      <c r="L396" s="51"/>
      <c r="M396" s="52"/>
      <c r="N396" s="52"/>
      <c r="O396" s="52"/>
    </row>
    <row r="397" ht="15.75" customHeight="1">
      <c r="F397" s="49"/>
      <c r="H397" s="50"/>
      <c r="I397" s="51"/>
      <c r="J397" s="51"/>
      <c r="K397" s="51"/>
      <c r="L397" s="51"/>
      <c r="M397" s="52"/>
      <c r="N397" s="52"/>
      <c r="O397" s="52"/>
    </row>
    <row r="398" ht="15.75" customHeight="1">
      <c r="F398" s="49"/>
      <c r="H398" s="50"/>
      <c r="I398" s="51"/>
      <c r="J398" s="51"/>
      <c r="K398" s="51"/>
      <c r="L398" s="51"/>
      <c r="M398" s="52"/>
      <c r="N398" s="52"/>
      <c r="O398" s="52"/>
    </row>
    <row r="399" ht="15.75" customHeight="1">
      <c r="F399" s="49"/>
      <c r="H399" s="50"/>
      <c r="I399" s="51"/>
      <c r="J399" s="51"/>
      <c r="K399" s="51"/>
      <c r="L399" s="51"/>
      <c r="M399" s="52"/>
      <c r="N399" s="52"/>
      <c r="O399" s="52"/>
    </row>
    <row r="400" ht="15.75" customHeight="1">
      <c r="F400" s="49"/>
      <c r="H400" s="50"/>
      <c r="I400" s="51"/>
      <c r="J400" s="51"/>
      <c r="K400" s="51"/>
      <c r="L400" s="51"/>
      <c r="M400" s="52"/>
      <c r="N400" s="52"/>
      <c r="O400" s="52"/>
    </row>
    <row r="401" ht="15.75" customHeight="1">
      <c r="F401" s="49"/>
      <c r="H401" s="50"/>
      <c r="I401" s="51"/>
      <c r="J401" s="51"/>
      <c r="K401" s="51"/>
      <c r="L401" s="51"/>
      <c r="M401" s="52"/>
      <c r="N401" s="52"/>
      <c r="O401" s="52"/>
    </row>
    <row r="402" ht="15.75" customHeight="1">
      <c r="F402" s="49"/>
      <c r="H402" s="50"/>
      <c r="I402" s="51"/>
      <c r="J402" s="51"/>
      <c r="K402" s="51"/>
      <c r="L402" s="51"/>
      <c r="M402" s="52"/>
      <c r="N402" s="52"/>
      <c r="O402" s="52"/>
    </row>
    <row r="403" ht="15.75" customHeight="1">
      <c r="F403" s="49"/>
      <c r="H403" s="50"/>
      <c r="I403" s="51"/>
      <c r="J403" s="51"/>
      <c r="K403" s="51"/>
      <c r="L403" s="51"/>
      <c r="M403" s="52"/>
      <c r="N403" s="52"/>
      <c r="O403" s="52"/>
    </row>
    <row r="404" ht="15.75" customHeight="1">
      <c r="F404" s="49"/>
      <c r="H404" s="50"/>
      <c r="I404" s="51"/>
      <c r="J404" s="51"/>
      <c r="K404" s="51"/>
      <c r="L404" s="51"/>
      <c r="M404" s="52"/>
      <c r="N404" s="52"/>
      <c r="O404" s="52"/>
    </row>
    <row r="405" ht="15.75" customHeight="1">
      <c r="F405" s="49"/>
      <c r="H405" s="50"/>
      <c r="I405" s="51"/>
      <c r="J405" s="51"/>
      <c r="K405" s="51"/>
      <c r="L405" s="51"/>
      <c r="M405" s="52"/>
      <c r="N405" s="52"/>
      <c r="O405" s="52"/>
    </row>
    <row r="406" ht="15.75" customHeight="1">
      <c r="F406" s="49"/>
      <c r="H406" s="50"/>
      <c r="I406" s="51"/>
      <c r="J406" s="51"/>
      <c r="K406" s="51"/>
      <c r="L406" s="51"/>
      <c r="M406" s="52"/>
      <c r="N406" s="52"/>
      <c r="O406" s="52"/>
    </row>
    <row r="407" ht="15.75" customHeight="1">
      <c r="F407" s="49"/>
      <c r="H407" s="50"/>
      <c r="I407" s="51"/>
      <c r="J407" s="51"/>
      <c r="K407" s="51"/>
      <c r="L407" s="51"/>
      <c r="M407" s="52"/>
      <c r="N407" s="52"/>
      <c r="O407" s="52"/>
    </row>
    <row r="408" ht="15.75" customHeight="1">
      <c r="F408" s="49"/>
      <c r="H408" s="50"/>
      <c r="I408" s="51"/>
      <c r="J408" s="51"/>
      <c r="K408" s="51"/>
      <c r="L408" s="51"/>
      <c r="M408" s="52"/>
      <c r="N408" s="52"/>
      <c r="O408" s="52"/>
    </row>
    <row r="409" ht="15.75" customHeight="1">
      <c r="F409" s="49"/>
      <c r="H409" s="50"/>
      <c r="I409" s="51"/>
      <c r="J409" s="51"/>
      <c r="K409" s="51"/>
      <c r="L409" s="51"/>
      <c r="M409" s="52"/>
      <c r="N409" s="52"/>
      <c r="O409" s="52"/>
    </row>
    <row r="410" ht="15.75" customHeight="1">
      <c r="F410" s="49"/>
      <c r="H410" s="50"/>
      <c r="I410" s="51"/>
      <c r="J410" s="51"/>
      <c r="K410" s="51"/>
      <c r="L410" s="51"/>
      <c r="M410" s="52"/>
      <c r="N410" s="52"/>
      <c r="O410" s="52"/>
    </row>
    <row r="411" ht="15.75" customHeight="1">
      <c r="F411" s="49"/>
      <c r="H411" s="50"/>
      <c r="I411" s="51"/>
      <c r="J411" s="51"/>
      <c r="K411" s="51"/>
      <c r="L411" s="51"/>
      <c r="M411" s="52"/>
      <c r="N411" s="52"/>
      <c r="O411" s="52"/>
    </row>
    <row r="412" ht="15.75" customHeight="1">
      <c r="F412" s="49"/>
      <c r="H412" s="50"/>
      <c r="I412" s="51"/>
      <c r="J412" s="51"/>
      <c r="K412" s="51"/>
      <c r="L412" s="51"/>
      <c r="M412" s="52"/>
      <c r="N412" s="52"/>
      <c r="O412" s="52"/>
    </row>
    <row r="413" ht="15.75" customHeight="1">
      <c r="F413" s="49"/>
      <c r="H413" s="50"/>
      <c r="I413" s="51"/>
      <c r="J413" s="51"/>
      <c r="K413" s="51"/>
      <c r="L413" s="51"/>
      <c r="M413" s="52"/>
      <c r="N413" s="52"/>
      <c r="O413" s="52"/>
    </row>
    <row r="414" ht="15.75" customHeight="1">
      <c r="F414" s="49"/>
      <c r="H414" s="50"/>
      <c r="I414" s="51"/>
      <c r="J414" s="51"/>
      <c r="K414" s="51"/>
      <c r="L414" s="51"/>
      <c r="M414" s="52"/>
      <c r="N414" s="52"/>
      <c r="O414" s="52"/>
    </row>
    <row r="415" ht="15.75" customHeight="1">
      <c r="F415" s="49"/>
      <c r="H415" s="50"/>
      <c r="I415" s="51"/>
      <c r="J415" s="51"/>
      <c r="K415" s="51"/>
      <c r="L415" s="51"/>
      <c r="M415" s="52"/>
      <c r="N415" s="52"/>
      <c r="O415" s="52"/>
    </row>
    <row r="416" ht="15.75" customHeight="1">
      <c r="F416" s="49"/>
      <c r="H416" s="50"/>
      <c r="I416" s="51"/>
      <c r="J416" s="51"/>
      <c r="K416" s="51"/>
      <c r="L416" s="51"/>
      <c r="M416" s="52"/>
      <c r="N416" s="52"/>
      <c r="O416" s="52"/>
    </row>
    <row r="417" ht="15.75" customHeight="1">
      <c r="F417" s="49"/>
      <c r="H417" s="50"/>
      <c r="I417" s="51"/>
      <c r="J417" s="51"/>
      <c r="K417" s="51"/>
      <c r="L417" s="51"/>
      <c r="M417" s="52"/>
      <c r="N417" s="52"/>
      <c r="O417" s="52"/>
    </row>
    <row r="418" ht="15.75" customHeight="1">
      <c r="F418" s="49"/>
      <c r="H418" s="50"/>
      <c r="I418" s="51"/>
      <c r="J418" s="51"/>
      <c r="K418" s="51"/>
      <c r="L418" s="51"/>
      <c r="M418" s="52"/>
      <c r="N418" s="52"/>
      <c r="O418" s="52"/>
    </row>
    <row r="419" ht="15.75" customHeight="1">
      <c r="F419" s="49"/>
      <c r="H419" s="50"/>
      <c r="I419" s="51"/>
      <c r="J419" s="51"/>
      <c r="K419" s="51"/>
      <c r="L419" s="51"/>
      <c r="M419" s="52"/>
      <c r="N419" s="52"/>
      <c r="O419" s="52"/>
    </row>
    <row r="420" ht="15.75" customHeight="1">
      <c r="F420" s="49"/>
      <c r="H420" s="50"/>
      <c r="I420" s="51"/>
      <c r="J420" s="51"/>
      <c r="K420" s="51"/>
      <c r="L420" s="51"/>
      <c r="M420" s="52"/>
      <c r="N420" s="52"/>
      <c r="O420" s="52"/>
    </row>
    <row r="421" ht="15.75" customHeight="1">
      <c r="F421" s="49"/>
      <c r="H421" s="50"/>
      <c r="I421" s="51"/>
      <c r="J421" s="51"/>
      <c r="K421" s="51"/>
      <c r="L421" s="51"/>
      <c r="M421" s="52"/>
      <c r="N421" s="52"/>
      <c r="O421" s="52"/>
    </row>
    <row r="422" ht="15.75" customHeight="1">
      <c r="F422" s="49"/>
      <c r="H422" s="50"/>
      <c r="I422" s="51"/>
      <c r="J422" s="51"/>
      <c r="K422" s="51"/>
      <c r="L422" s="51"/>
      <c r="M422" s="52"/>
      <c r="N422" s="52"/>
      <c r="O422" s="52"/>
    </row>
    <row r="423" ht="15.75" customHeight="1">
      <c r="F423" s="49"/>
      <c r="H423" s="50"/>
      <c r="I423" s="51"/>
      <c r="J423" s="51"/>
      <c r="K423" s="51"/>
      <c r="L423" s="51"/>
      <c r="M423" s="52"/>
      <c r="N423" s="52"/>
      <c r="O423" s="52"/>
    </row>
    <row r="424" ht="15.75" customHeight="1">
      <c r="F424" s="49"/>
      <c r="H424" s="50"/>
      <c r="I424" s="51"/>
      <c r="J424" s="51"/>
      <c r="K424" s="51"/>
      <c r="L424" s="51"/>
      <c r="M424" s="52"/>
      <c r="N424" s="52"/>
      <c r="O424" s="52"/>
    </row>
    <row r="425" ht="15.75" customHeight="1">
      <c r="F425" s="49"/>
      <c r="H425" s="50"/>
      <c r="I425" s="51"/>
      <c r="J425" s="51"/>
      <c r="K425" s="51"/>
      <c r="L425" s="51"/>
      <c r="M425" s="52"/>
      <c r="N425" s="52"/>
      <c r="O425" s="52"/>
    </row>
    <row r="426" ht="15.75" customHeight="1">
      <c r="F426" s="49"/>
      <c r="H426" s="50"/>
      <c r="I426" s="51"/>
      <c r="J426" s="51"/>
      <c r="K426" s="51"/>
      <c r="L426" s="51"/>
      <c r="M426" s="52"/>
      <c r="N426" s="52"/>
      <c r="O426" s="52"/>
    </row>
    <row r="427" ht="15.75" customHeight="1">
      <c r="F427" s="49"/>
      <c r="H427" s="50"/>
      <c r="I427" s="51"/>
      <c r="J427" s="51"/>
      <c r="K427" s="51"/>
      <c r="L427" s="51"/>
      <c r="M427" s="52"/>
      <c r="N427" s="52"/>
      <c r="O427" s="52"/>
    </row>
    <row r="428" ht="15.75" customHeight="1">
      <c r="F428" s="49"/>
      <c r="H428" s="50"/>
      <c r="I428" s="51"/>
      <c r="J428" s="51"/>
      <c r="K428" s="51"/>
      <c r="L428" s="51"/>
      <c r="M428" s="52"/>
      <c r="N428" s="52"/>
      <c r="O428" s="52"/>
    </row>
    <row r="429" ht="15.75" customHeight="1">
      <c r="F429" s="49"/>
      <c r="H429" s="50"/>
      <c r="I429" s="51"/>
      <c r="J429" s="51"/>
      <c r="K429" s="51"/>
      <c r="L429" s="51"/>
      <c r="M429" s="52"/>
      <c r="N429" s="52"/>
      <c r="O429" s="52"/>
    </row>
    <row r="430" ht="15.75" customHeight="1">
      <c r="F430" s="49"/>
      <c r="H430" s="50"/>
      <c r="I430" s="51"/>
      <c r="J430" s="51"/>
      <c r="K430" s="51"/>
      <c r="L430" s="51"/>
      <c r="M430" s="52"/>
      <c r="N430" s="52"/>
      <c r="O430" s="52"/>
    </row>
    <row r="431" ht="15.75" customHeight="1">
      <c r="F431" s="49"/>
      <c r="H431" s="50"/>
      <c r="I431" s="51"/>
      <c r="J431" s="51"/>
      <c r="K431" s="51"/>
      <c r="L431" s="51"/>
      <c r="M431" s="52"/>
      <c r="N431" s="52"/>
      <c r="O431" s="52"/>
    </row>
    <row r="432" ht="15.75" customHeight="1">
      <c r="F432" s="49"/>
      <c r="H432" s="50"/>
      <c r="I432" s="51"/>
      <c r="J432" s="51"/>
      <c r="K432" s="51"/>
      <c r="L432" s="51"/>
      <c r="M432" s="52"/>
      <c r="N432" s="52"/>
      <c r="O432" s="52"/>
    </row>
    <row r="433" ht="15.75" customHeight="1">
      <c r="F433" s="49"/>
      <c r="H433" s="50"/>
      <c r="I433" s="51"/>
      <c r="J433" s="51"/>
      <c r="K433" s="51"/>
      <c r="L433" s="51"/>
      <c r="M433" s="52"/>
      <c r="N433" s="52"/>
      <c r="O433" s="52"/>
    </row>
    <row r="434" ht="15.75" customHeight="1">
      <c r="F434" s="49"/>
      <c r="H434" s="50"/>
      <c r="I434" s="51"/>
      <c r="J434" s="51"/>
      <c r="K434" s="51"/>
      <c r="L434" s="51"/>
      <c r="M434" s="52"/>
      <c r="N434" s="52"/>
      <c r="O434" s="52"/>
    </row>
    <row r="435" ht="15.75" customHeight="1">
      <c r="F435" s="49"/>
      <c r="H435" s="50"/>
      <c r="I435" s="51"/>
      <c r="J435" s="51"/>
      <c r="K435" s="51"/>
      <c r="L435" s="51"/>
      <c r="M435" s="52"/>
      <c r="N435" s="52"/>
      <c r="O435" s="52"/>
    </row>
    <row r="436" ht="15.75" customHeight="1">
      <c r="F436" s="49"/>
      <c r="H436" s="50"/>
      <c r="I436" s="51"/>
      <c r="J436" s="51"/>
      <c r="K436" s="51"/>
      <c r="L436" s="51"/>
      <c r="M436" s="52"/>
      <c r="N436" s="52"/>
      <c r="O436" s="52"/>
    </row>
    <row r="437" ht="15.75" customHeight="1">
      <c r="F437" s="49"/>
      <c r="H437" s="50"/>
      <c r="I437" s="51"/>
      <c r="J437" s="51"/>
      <c r="K437" s="51"/>
      <c r="L437" s="51"/>
      <c r="M437" s="52"/>
      <c r="N437" s="52"/>
      <c r="O437" s="52"/>
    </row>
    <row r="438" ht="15.75" customHeight="1">
      <c r="F438" s="49"/>
      <c r="H438" s="50"/>
      <c r="I438" s="51"/>
      <c r="J438" s="51"/>
      <c r="K438" s="51"/>
      <c r="L438" s="51"/>
      <c r="M438" s="52"/>
      <c r="N438" s="52"/>
      <c r="O438" s="52"/>
    </row>
    <row r="439" ht="15.75" customHeight="1">
      <c r="F439" s="49"/>
      <c r="H439" s="50"/>
      <c r="I439" s="51"/>
      <c r="J439" s="51"/>
      <c r="K439" s="51"/>
      <c r="L439" s="51"/>
      <c r="M439" s="52"/>
      <c r="N439" s="52"/>
      <c r="O439" s="52"/>
    </row>
    <row r="440" ht="15.75" customHeight="1">
      <c r="F440" s="49"/>
      <c r="H440" s="50"/>
      <c r="I440" s="51"/>
      <c r="J440" s="51"/>
      <c r="K440" s="51"/>
      <c r="L440" s="51"/>
      <c r="M440" s="52"/>
      <c r="N440" s="52"/>
      <c r="O440" s="52"/>
    </row>
    <row r="441" ht="15.75" customHeight="1">
      <c r="F441" s="49"/>
      <c r="H441" s="50"/>
      <c r="I441" s="51"/>
      <c r="J441" s="51"/>
      <c r="K441" s="51"/>
      <c r="L441" s="51"/>
      <c r="M441" s="52"/>
      <c r="N441" s="52"/>
      <c r="O441" s="52"/>
    </row>
    <row r="442" ht="15.75" customHeight="1">
      <c r="F442" s="49"/>
      <c r="H442" s="50"/>
      <c r="I442" s="51"/>
      <c r="J442" s="51"/>
      <c r="K442" s="51"/>
      <c r="L442" s="51"/>
      <c r="M442" s="52"/>
      <c r="N442" s="52"/>
      <c r="O442" s="52"/>
    </row>
    <row r="443" ht="15.75" customHeight="1">
      <c r="F443" s="49"/>
      <c r="H443" s="50"/>
      <c r="I443" s="51"/>
      <c r="J443" s="51"/>
      <c r="K443" s="51"/>
      <c r="L443" s="51"/>
      <c r="M443" s="52"/>
      <c r="N443" s="52"/>
      <c r="O443" s="52"/>
    </row>
    <row r="444" ht="15.75" customHeight="1">
      <c r="F444" s="49"/>
      <c r="H444" s="50"/>
      <c r="I444" s="51"/>
      <c r="J444" s="51"/>
      <c r="K444" s="51"/>
      <c r="L444" s="51"/>
      <c r="M444" s="52"/>
      <c r="N444" s="52"/>
      <c r="O444" s="52"/>
    </row>
    <row r="445" ht="15.75" customHeight="1">
      <c r="F445" s="49"/>
      <c r="H445" s="50"/>
      <c r="I445" s="51"/>
      <c r="J445" s="51"/>
      <c r="K445" s="51"/>
      <c r="L445" s="51"/>
      <c r="M445" s="52"/>
      <c r="N445" s="52"/>
      <c r="O445" s="52"/>
    </row>
    <row r="446" ht="15.75" customHeight="1">
      <c r="F446" s="49"/>
      <c r="H446" s="50"/>
      <c r="I446" s="51"/>
      <c r="J446" s="51"/>
      <c r="K446" s="51"/>
      <c r="L446" s="51"/>
      <c r="M446" s="52"/>
      <c r="N446" s="52"/>
      <c r="O446" s="52"/>
    </row>
    <row r="447" ht="15.75" customHeight="1">
      <c r="F447" s="49"/>
      <c r="H447" s="50"/>
      <c r="I447" s="51"/>
      <c r="J447" s="51"/>
      <c r="K447" s="51"/>
      <c r="L447" s="51"/>
      <c r="M447" s="52"/>
      <c r="N447" s="52"/>
      <c r="O447" s="52"/>
    </row>
    <row r="448" ht="15.75" customHeight="1">
      <c r="F448" s="49"/>
      <c r="H448" s="50"/>
      <c r="I448" s="51"/>
      <c r="J448" s="51"/>
      <c r="K448" s="51"/>
      <c r="L448" s="51"/>
      <c r="M448" s="52"/>
      <c r="N448" s="52"/>
      <c r="O448" s="52"/>
    </row>
    <row r="449" ht="15.75" customHeight="1">
      <c r="F449" s="49"/>
      <c r="H449" s="50"/>
      <c r="I449" s="51"/>
      <c r="J449" s="51"/>
      <c r="K449" s="51"/>
      <c r="L449" s="51"/>
      <c r="M449" s="52"/>
      <c r="N449" s="52"/>
      <c r="O449" s="52"/>
    </row>
    <row r="450" ht="15.75" customHeight="1">
      <c r="F450" s="49"/>
      <c r="H450" s="50"/>
      <c r="I450" s="51"/>
      <c r="J450" s="51"/>
      <c r="K450" s="51"/>
      <c r="L450" s="51"/>
      <c r="M450" s="52"/>
      <c r="N450" s="52"/>
      <c r="O450" s="52"/>
    </row>
    <row r="451" ht="15.75" customHeight="1">
      <c r="F451" s="49"/>
      <c r="H451" s="50"/>
      <c r="I451" s="51"/>
      <c r="J451" s="51"/>
      <c r="K451" s="51"/>
      <c r="L451" s="51"/>
      <c r="M451" s="52"/>
      <c r="N451" s="52"/>
      <c r="O451" s="52"/>
    </row>
    <row r="452" ht="15.75" customHeight="1">
      <c r="F452" s="49"/>
      <c r="H452" s="50"/>
      <c r="I452" s="51"/>
      <c r="J452" s="51"/>
      <c r="K452" s="51"/>
      <c r="L452" s="51"/>
      <c r="M452" s="52"/>
      <c r="N452" s="52"/>
      <c r="O452" s="52"/>
    </row>
    <row r="453" ht="15.75" customHeight="1">
      <c r="F453" s="49"/>
      <c r="H453" s="50"/>
      <c r="I453" s="51"/>
      <c r="J453" s="51"/>
      <c r="K453" s="51"/>
      <c r="L453" s="51"/>
      <c r="M453" s="52"/>
      <c r="N453" s="52"/>
      <c r="O453" s="52"/>
    </row>
    <row r="454" ht="15.75" customHeight="1">
      <c r="F454" s="49"/>
      <c r="H454" s="50"/>
      <c r="I454" s="51"/>
      <c r="J454" s="51"/>
      <c r="K454" s="51"/>
      <c r="L454" s="51"/>
      <c r="M454" s="52"/>
      <c r="N454" s="52"/>
      <c r="O454" s="52"/>
    </row>
    <row r="455" ht="15.75" customHeight="1">
      <c r="F455" s="49"/>
      <c r="H455" s="50"/>
      <c r="I455" s="51"/>
      <c r="J455" s="51"/>
      <c r="K455" s="51"/>
      <c r="L455" s="51"/>
      <c r="M455" s="52"/>
      <c r="N455" s="52"/>
      <c r="O455" s="52"/>
    </row>
    <row r="456" ht="15.75" customHeight="1">
      <c r="F456" s="49"/>
      <c r="H456" s="50"/>
      <c r="I456" s="51"/>
      <c r="J456" s="51"/>
      <c r="K456" s="51"/>
      <c r="L456" s="51"/>
      <c r="M456" s="52"/>
      <c r="N456" s="52"/>
      <c r="O456" s="52"/>
    </row>
    <row r="457" ht="15.75" customHeight="1">
      <c r="F457" s="49"/>
      <c r="H457" s="50"/>
      <c r="I457" s="51"/>
      <c r="J457" s="51"/>
      <c r="K457" s="51"/>
      <c r="L457" s="51"/>
      <c r="M457" s="52"/>
      <c r="N457" s="52"/>
      <c r="O457" s="52"/>
    </row>
    <row r="458" ht="15.75" customHeight="1">
      <c r="F458" s="49"/>
      <c r="H458" s="50"/>
      <c r="I458" s="51"/>
      <c r="J458" s="51"/>
      <c r="K458" s="51"/>
      <c r="L458" s="51"/>
      <c r="M458" s="52"/>
      <c r="N458" s="52"/>
      <c r="O458" s="52"/>
    </row>
    <row r="459" ht="15.75" customHeight="1">
      <c r="F459" s="49"/>
      <c r="H459" s="50"/>
      <c r="I459" s="51"/>
      <c r="J459" s="51"/>
      <c r="K459" s="51"/>
      <c r="L459" s="51"/>
      <c r="M459" s="52"/>
      <c r="N459" s="52"/>
      <c r="O459" s="52"/>
    </row>
    <row r="460" ht="15.75" customHeight="1">
      <c r="F460" s="49"/>
      <c r="H460" s="50"/>
      <c r="I460" s="51"/>
      <c r="J460" s="51"/>
      <c r="K460" s="51"/>
      <c r="L460" s="51"/>
      <c r="M460" s="52"/>
      <c r="N460" s="52"/>
      <c r="O460" s="52"/>
    </row>
    <row r="461" ht="15.75" customHeight="1">
      <c r="F461" s="49"/>
      <c r="H461" s="50"/>
      <c r="I461" s="51"/>
      <c r="J461" s="51"/>
      <c r="K461" s="51"/>
      <c r="L461" s="51"/>
      <c r="M461" s="52"/>
      <c r="N461" s="52"/>
      <c r="O461" s="52"/>
    </row>
    <row r="462" ht="15.75" customHeight="1">
      <c r="F462" s="49"/>
      <c r="H462" s="50"/>
      <c r="I462" s="51"/>
      <c r="J462" s="51"/>
      <c r="K462" s="51"/>
      <c r="L462" s="51"/>
      <c r="M462" s="52"/>
      <c r="N462" s="52"/>
      <c r="O462" s="52"/>
    </row>
    <row r="463" ht="15.75" customHeight="1">
      <c r="F463" s="49"/>
      <c r="H463" s="50"/>
      <c r="I463" s="51"/>
      <c r="J463" s="51"/>
      <c r="K463" s="51"/>
      <c r="L463" s="51"/>
      <c r="M463" s="52"/>
      <c r="N463" s="52"/>
      <c r="O463" s="52"/>
    </row>
    <row r="464" ht="15.75" customHeight="1">
      <c r="F464" s="49"/>
      <c r="H464" s="50"/>
      <c r="I464" s="51"/>
      <c r="J464" s="51"/>
      <c r="K464" s="51"/>
      <c r="L464" s="51"/>
      <c r="M464" s="52"/>
      <c r="N464" s="52"/>
      <c r="O464" s="52"/>
    </row>
    <row r="465" ht="15.75" customHeight="1">
      <c r="F465" s="49"/>
      <c r="H465" s="50"/>
      <c r="I465" s="51"/>
      <c r="J465" s="51"/>
      <c r="K465" s="51"/>
      <c r="L465" s="51"/>
      <c r="M465" s="52"/>
      <c r="N465" s="52"/>
      <c r="O465" s="52"/>
    </row>
    <row r="466" ht="15.75" customHeight="1">
      <c r="F466" s="49"/>
      <c r="H466" s="50"/>
      <c r="I466" s="51"/>
      <c r="J466" s="51"/>
      <c r="K466" s="51"/>
      <c r="L466" s="51"/>
      <c r="M466" s="52"/>
      <c r="N466" s="52"/>
      <c r="O466" s="52"/>
    </row>
    <row r="467" ht="15.75" customHeight="1">
      <c r="F467" s="49"/>
      <c r="H467" s="50"/>
      <c r="I467" s="51"/>
      <c r="J467" s="51"/>
      <c r="K467" s="51"/>
      <c r="L467" s="51"/>
      <c r="M467" s="52"/>
      <c r="N467" s="52"/>
      <c r="O467" s="52"/>
    </row>
    <row r="468" ht="15.75" customHeight="1">
      <c r="F468" s="49"/>
      <c r="H468" s="50"/>
      <c r="I468" s="51"/>
      <c r="J468" s="51"/>
      <c r="K468" s="51"/>
      <c r="L468" s="51"/>
      <c r="M468" s="52"/>
      <c r="N468" s="52"/>
      <c r="O468" s="52"/>
    </row>
    <row r="469" ht="15.75" customHeight="1">
      <c r="F469" s="49"/>
      <c r="H469" s="50"/>
      <c r="I469" s="51"/>
      <c r="J469" s="51"/>
      <c r="K469" s="51"/>
      <c r="L469" s="51"/>
      <c r="M469" s="52"/>
      <c r="N469" s="52"/>
      <c r="O469" s="52"/>
    </row>
    <row r="470" ht="15.75" customHeight="1">
      <c r="F470" s="49"/>
      <c r="H470" s="50"/>
      <c r="I470" s="51"/>
      <c r="J470" s="51"/>
      <c r="K470" s="51"/>
      <c r="L470" s="51"/>
      <c r="M470" s="52"/>
      <c r="N470" s="52"/>
      <c r="O470" s="52"/>
    </row>
    <row r="471" ht="15.75" customHeight="1">
      <c r="F471" s="49"/>
      <c r="H471" s="50"/>
      <c r="I471" s="51"/>
      <c r="J471" s="51"/>
      <c r="K471" s="51"/>
      <c r="L471" s="51"/>
      <c r="M471" s="52"/>
      <c r="N471" s="52"/>
      <c r="O471" s="52"/>
    </row>
    <row r="472" ht="15.75" customHeight="1">
      <c r="F472" s="49"/>
      <c r="H472" s="50"/>
      <c r="I472" s="51"/>
      <c r="J472" s="51"/>
      <c r="K472" s="51"/>
      <c r="L472" s="51"/>
      <c r="M472" s="52"/>
      <c r="N472" s="52"/>
      <c r="O472" s="52"/>
    </row>
    <row r="473" ht="15.75" customHeight="1">
      <c r="F473" s="49"/>
      <c r="H473" s="50"/>
      <c r="I473" s="51"/>
      <c r="J473" s="51"/>
      <c r="K473" s="51"/>
      <c r="L473" s="51"/>
      <c r="M473" s="52"/>
      <c r="N473" s="52"/>
      <c r="O473" s="52"/>
    </row>
    <row r="474" ht="15.75" customHeight="1">
      <c r="F474" s="49"/>
      <c r="H474" s="50"/>
      <c r="I474" s="51"/>
      <c r="J474" s="51"/>
      <c r="K474" s="51"/>
      <c r="L474" s="51"/>
      <c r="M474" s="52"/>
      <c r="N474" s="52"/>
      <c r="O474" s="52"/>
    </row>
    <row r="475" ht="15.75" customHeight="1">
      <c r="F475" s="49"/>
      <c r="H475" s="50"/>
      <c r="I475" s="51"/>
      <c r="J475" s="51"/>
      <c r="K475" s="51"/>
      <c r="L475" s="51"/>
      <c r="M475" s="52"/>
      <c r="N475" s="52"/>
      <c r="O475" s="52"/>
    </row>
    <row r="476" ht="15.75" customHeight="1">
      <c r="F476" s="49"/>
      <c r="H476" s="50"/>
      <c r="I476" s="51"/>
      <c r="J476" s="51"/>
      <c r="K476" s="51"/>
      <c r="L476" s="51"/>
      <c r="M476" s="52"/>
      <c r="N476" s="52"/>
      <c r="O476" s="52"/>
    </row>
    <row r="477" ht="15.75" customHeight="1">
      <c r="F477" s="49"/>
      <c r="H477" s="50"/>
      <c r="I477" s="51"/>
      <c r="J477" s="51"/>
      <c r="K477" s="51"/>
      <c r="L477" s="51"/>
      <c r="M477" s="52"/>
      <c r="N477" s="52"/>
      <c r="O477" s="52"/>
    </row>
    <row r="478" ht="15.75" customHeight="1">
      <c r="F478" s="49"/>
      <c r="H478" s="50"/>
      <c r="I478" s="51"/>
      <c r="J478" s="51"/>
      <c r="K478" s="51"/>
      <c r="L478" s="51"/>
      <c r="M478" s="52"/>
      <c r="N478" s="52"/>
      <c r="O478" s="52"/>
    </row>
    <row r="479" ht="15.75" customHeight="1">
      <c r="F479" s="49"/>
      <c r="H479" s="50"/>
      <c r="I479" s="51"/>
      <c r="J479" s="51"/>
      <c r="K479" s="51"/>
      <c r="L479" s="51"/>
      <c r="M479" s="52"/>
      <c r="N479" s="52"/>
      <c r="O479" s="52"/>
    </row>
    <row r="480" ht="15.75" customHeight="1">
      <c r="F480" s="49"/>
      <c r="H480" s="50"/>
      <c r="I480" s="51"/>
      <c r="J480" s="51"/>
      <c r="K480" s="51"/>
      <c r="L480" s="51"/>
      <c r="M480" s="52"/>
      <c r="N480" s="52"/>
      <c r="O480" s="52"/>
    </row>
    <row r="481" ht="15.75" customHeight="1">
      <c r="F481" s="49"/>
      <c r="H481" s="50"/>
      <c r="I481" s="51"/>
      <c r="J481" s="51"/>
      <c r="K481" s="51"/>
      <c r="L481" s="51"/>
      <c r="M481" s="52"/>
      <c r="N481" s="52"/>
      <c r="O481" s="52"/>
    </row>
    <row r="482" ht="15.75" customHeight="1">
      <c r="F482" s="49"/>
      <c r="H482" s="50"/>
      <c r="I482" s="51"/>
      <c r="J482" s="51"/>
      <c r="K482" s="51"/>
      <c r="L482" s="51"/>
      <c r="M482" s="52"/>
      <c r="N482" s="52"/>
      <c r="O482" s="52"/>
    </row>
    <row r="483" ht="15.75" customHeight="1">
      <c r="F483" s="49"/>
      <c r="H483" s="50"/>
      <c r="I483" s="51"/>
      <c r="J483" s="51"/>
      <c r="K483" s="51"/>
      <c r="L483" s="51"/>
      <c r="M483" s="52"/>
      <c r="N483" s="52"/>
      <c r="O483" s="52"/>
    </row>
    <row r="484" ht="15.75" customHeight="1">
      <c r="F484" s="49"/>
      <c r="H484" s="50"/>
      <c r="I484" s="51"/>
      <c r="J484" s="51"/>
      <c r="K484" s="51"/>
      <c r="L484" s="51"/>
      <c r="M484" s="52"/>
      <c r="N484" s="52"/>
      <c r="O484" s="52"/>
    </row>
    <row r="485" ht="15.75" customHeight="1">
      <c r="F485" s="49"/>
      <c r="H485" s="50"/>
      <c r="I485" s="51"/>
      <c r="J485" s="51"/>
      <c r="K485" s="51"/>
      <c r="L485" s="51"/>
      <c r="M485" s="52"/>
      <c r="N485" s="52"/>
      <c r="O485" s="52"/>
    </row>
    <row r="486" ht="15.75" customHeight="1">
      <c r="F486" s="49"/>
      <c r="H486" s="50"/>
      <c r="I486" s="51"/>
      <c r="J486" s="51"/>
      <c r="K486" s="51"/>
      <c r="L486" s="51"/>
      <c r="M486" s="52"/>
      <c r="N486" s="52"/>
      <c r="O486" s="52"/>
    </row>
    <row r="487" ht="15.75" customHeight="1">
      <c r="F487" s="49"/>
      <c r="H487" s="50"/>
      <c r="I487" s="51"/>
      <c r="J487" s="51"/>
      <c r="K487" s="51"/>
      <c r="L487" s="51"/>
      <c r="M487" s="52"/>
      <c r="N487" s="52"/>
      <c r="O487" s="52"/>
    </row>
    <row r="488" ht="15.75" customHeight="1">
      <c r="F488" s="49"/>
      <c r="H488" s="50"/>
      <c r="I488" s="51"/>
      <c r="J488" s="51"/>
      <c r="K488" s="51"/>
      <c r="L488" s="51"/>
      <c r="M488" s="52"/>
      <c r="N488" s="52"/>
      <c r="O488" s="52"/>
    </row>
    <row r="489" ht="15.75" customHeight="1">
      <c r="F489" s="49"/>
      <c r="H489" s="50"/>
      <c r="I489" s="51"/>
      <c r="J489" s="51"/>
      <c r="K489" s="51"/>
      <c r="L489" s="51"/>
      <c r="M489" s="52"/>
      <c r="N489" s="52"/>
      <c r="O489" s="52"/>
    </row>
    <row r="490" ht="15.75" customHeight="1">
      <c r="F490" s="49"/>
      <c r="H490" s="50"/>
      <c r="I490" s="51"/>
      <c r="J490" s="51"/>
      <c r="K490" s="51"/>
      <c r="L490" s="51"/>
      <c r="M490" s="52"/>
      <c r="N490" s="52"/>
      <c r="O490" s="52"/>
    </row>
    <row r="491" ht="15.75" customHeight="1">
      <c r="F491" s="49"/>
      <c r="H491" s="50"/>
      <c r="I491" s="51"/>
      <c r="J491" s="51"/>
      <c r="K491" s="51"/>
      <c r="L491" s="51"/>
      <c r="M491" s="52"/>
      <c r="N491" s="52"/>
      <c r="O491" s="52"/>
    </row>
    <row r="492" ht="15.75" customHeight="1">
      <c r="F492" s="49"/>
      <c r="H492" s="50"/>
      <c r="I492" s="51"/>
      <c r="J492" s="51"/>
      <c r="K492" s="51"/>
      <c r="L492" s="51"/>
      <c r="M492" s="52"/>
      <c r="N492" s="52"/>
      <c r="O492" s="52"/>
    </row>
    <row r="493" ht="15.75" customHeight="1">
      <c r="F493" s="49"/>
      <c r="H493" s="50"/>
      <c r="I493" s="51"/>
      <c r="J493" s="51"/>
      <c r="K493" s="51"/>
      <c r="L493" s="51"/>
      <c r="M493" s="52"/>
      <c r="N493" s="52"/>
      <c r="O493" s="52"/>
    </row>
    <row r="494" ht="15.75" customHeight="1">
      <c r="F494" s="49"/>
      <c r="H494" s="50"/>
      <c r="I494" s="51"/>
      <c r="J494" s="51"/>
      <c r="K494" s="51"/>
      <c r="L494" s="51"/>
      <c r="M494" s="52"/>
      <c r="N494" s="52"/>
      <c r="O494" s="52"/>
    </row>
    <row r="495" ht="15.75" customHeight="1">
      <c r="F495" s="49"/>
      <c r="H495" s="50"/>
      <c r="I495" s="51"/>
      <c r="J495" s="51"/>
      <c r="K495" s="51"/>
      <c r="L495" s="51"/>
      <c r="M495" s="52"/>
      <c r="N495" s="52"/>
      <c r="O495" s="52"/>
    </row>
    <row r="496" ht="15.75" customHeight="1">
      <c r="F496" s="49"/>
      <c r="H496" s="50"/>
      <c r="I496" s="51"/>
      <c r="J496" s="51"/>
      <c r="K496" s="51"/>
      <c r="L496" s="51"/>
      <c r="M496" s="52"/>
      <c r="N496" s="52"/>
      <c r="O496" s="52"/>
    </row>
    <row r="497" ht="15.75" customHeight="1">
      <c r="F497" s="49"/>
      <c r="H497" s="50"/>
      <c r="I497" s="51"/>
      <c r="J497" s="51"/>
      <c r="K497" s="51"/>
      <c r="L497" s="51"/>
      <c r="M497" s="52"/>
      <c r="N497" s="52"/>
      <c r="O497" s="52"/>
    </row>
    <row r="498" ht="15.75" customHeight="1">
      <c r="F498" s="49"/>
      <c r="H498" s="50"/>
      <c r="I498" s="51"/>
      <c r="J498" s="51"/>
      <c r="K498" s="51"/>
      <c r="L498" s="51"/>
      <c r="M498" s="52"/>
      <c r="N498" s="52"/>
      <c r="O498" s="52"/>
    </row>
    <row r="499" ht="15.75" customHeight="1">
      <c r="F499" s="49"/>
      <c r="H499" s="50"/>
      <c r="I499" s="51"/>
      <c r="J499" s="51"/>
      <c r="K499" s="51"/>
      <c r="L499" s="51"/>
      <c r="M499" s="52"/>
      <c r="N499" s="52"/>
      <c r="O499" s="52"/>
    </row>
    <row r="500" ht="15.75" customHeight="1">
      <c r="F500" s="49"/>
      <c r="H500" s="50"/>
      <c r="I500" s="51"/>
      <c r="J500" s="51"/>
      <c r="K500" s="51"/>
      <c r="L500" s="51"/>
      <c r="M500" s="52"/>
      <c r="N500" s="52"/>
      <c r="O500" s="52"/>
    </row>
    <row r="501" ht="15.75" customHeight="1">
      <c r="F501" s="49"/>
      <c r="H501" s="50"/>
      <c r="I501" s="51"/>
      <c r="J501" s="51"/>
      <c r="K501" s="51"/>
      <c r="L501" s="51"/>
      <c r="M501" s="52"/>
      <c r="N501" s="52"/>
      <c r="O501" s="52"/>
    </row>
    <row r="502" ht="15.75" customHeight="1">
      <c r="F502" s="49"/>
      <c r="H502" s="50"/>
      <c r="I502" s="51"/>
      <c r="J502" s="51"/>
      <c r="K502" s="51"/>
      <c r="L502" s="51"/>
      <c r="M502" s="52"/>
      <c r="N502" s="52"/>
      <c r="O502" s="52"/>
    </row>
    <row r="503" ht="15.75" customHeight="1">
      <c r="F503" s="49"/>
      <c r="H503" s="50"/>
      <c r="I503" s="51"/>
      <c r="J503" s="51"/>
      <c r="K503" s="51"/>
      <c r="L503" s="51"/>
      <c r="M503" s="52"/>
      <c r="N503" s="52"/>
      <c r="O503" s="52"/>
    </row>
    <row r="504" ht="15.75" customHeight="1">
      <c r="F504" s="49"/>
      <c r="H504" s="50"/>
      <c r="I504" s="51"/>
      <c r="J504" s="51"/>
      <c r="K504" s="51"/>
      <c r="L504" s="51"/>
      <c r="M504" s="52"/>
      <c r="N504" s="52"/>
      <c r="O504" s="52"/>
    </row>
    <row r="505" ht="15.75" customHeight="1">
      <c r="F505" s="49"/>
      <c r="H505" s="50"/>
      <c r="I505" s="51"/>
      <c r="J505" s="51"/>
      <c r="K505" s="51"/>
      <c r="L505" s="51"/>
      <c r="M505" s="52"/>
      <c r="N505" s="52"/>
      <c r="O505" s="52"/>
    </row>
    <row r="506" ht="15.75" customHeight="1">
      <c r="F506" s="49"/>
      <c r="H506" s="50"/>
      <c r="I506" s="51"/>
      <c r="J506" s="51"/>
      <c r="K506" s="51"/>
      <c r="L506" s="51"/>
      <c r="M506" s="52"/>
      <c r="N506" s="52"/>
      <c r="O506" s="52"/>
    </row>
    <row r="507" ht="15.75" customHeight="1">
      <c r="F507" s="49"/>
      <c r="H507" s="50"/>
      <c r="I507" s="51"/>
      <c r="J507" s="51"/>
      <c r="K507" s="51"/>
      <c r="L507" s="51"/>
      <c r="M507" s="52"/>
      <c r="N507" s="52"/>
      <c r="O507" s="52"/>
    </row>
    <row r="508" ht="15.75" customHeight="1">
      <c r="F508" s="49"/>
      <c r="H508" s="50"/>
      <c r="I508" s="51"/>
      <c r="J508" s="51"/>
      <c r="K508" s="51"/>
      <c r="L508" s="51"/>
      <c r="M508" s="52"/>
      <c r="N508" s="52"/>
      <c r="O508" s="52"/>
    </row>
    <row r="509" ht="15.75" customHeight="1">
      <c r="F509" s="49"/>
      <c r="H509" s="50"/>
      <c r="I509" s="51"/>
      <c r="J509" s="51"/>
      <c r="K509" s="51"/>
      <c r="L509" s="51"/>
      <c r="M509" s="52"/>
      <c r="N509" s="52"/>
      <c r="O509" s="52"/>
    </row>
    <row r="510" ht="15.75" customHeight="1">
      <c r="F510" s="49"/>
      <c r="H510" s="50"/>
      <c r="I510" s="51"/>
      <c r="J510" s="51"/>
      <c r="K510" s="51"/>
      <c r="L510" s="51"/>
      <c r="M510" s="52"/>
      <c r="N510" s="52"/>
      <c r="O510" s="52"/>
    </row>
    <row r="511" ht="15.75" customHeight="1">
      <c r="F511" s="49"/>
      <c r="H511" s="50"/>
      <c r="I511" s="51"/>
      <c r="J511" s="51"/>
      <c r="K511" s="51"/>
      <c r="L511" s="51"/>
      <c r="M511" s="52"/>
      <c r="N511" s="52"/>
      <c r="O511" s="52"/>
    </row>
    <row r="512" ht="15.75" customHeight="1">
      <c r="F512" s="49"/>
      <c r="H512" s="50"/>
      <c r="I512" s="51"/>
      <c r="J512" s="51"/>
      <c r="K512" s="51"/>
      <c r="L512" s="51"/>
      <c r="M512" s="52"/>
      <c r="N512" s="52"/>
      <c r="O512" s="52"/>
    </row>
    <row r="513" ht="15.75" customHeight="1">
      <c r="F513" s="49"/>
      <c r="H513" s="50"/>
      <c r="I513" s="51"/>
      <c r="J513" s="51"/>
      <c r="K513" s="51"/>
      <c r="L513" s="51"/>
      <c r="M513" s="52"/>
      <c r="N513" s="52"/>
      <c r="O513" s="52"/>
    </row>
    <row r="514" ht="15.75" customHeight="1">
      <c r="F514" s="49"/>
      <c r="H514" s="50"/>
      <c r="I514" s="51"/>
      <c r="J514" s="51"/>
      <c r="K514" s="51"/>
      <c r="L514" s="51"/>
      <c r="M514" s="52"/>
      <c r="N514" s="52"/>
      <c r="O514" s="52"/>
    </row>
    <row r="515" ht="15.75" customHeight="1">
      <c r="F515" s="49"/>
      <c r="H515" s="50"/>
      <c r="I515" s="51"/>
      <c r="J515" s="51"/>
      <c r="K515" s="51"/>
      <c r="L515" s="51"/>
      <c r="M515" s="52"/>
      <c r="N515" s="52"/>
      <c r="O515" s="52"/>
    </row>
    <row r="516" ht="15.75" customHeight="1">
      <c r="F516" s="49"/>
      <c r="H516" s="50"/>
      <c r="I516" s="51"/>
      <c r="J516" s="51"/>
      <c r="K516" s="51"/>
      <c r="L516" s="51"/>
      <c r="M516" s="52"/>
      <c r="N516" s="52"/>
      <c r="O516" s="52"/>
    </row>
    <row r="517" ht="15.75" customHeight="1">
      <c r="F517" s="49"/>
      <c r="H517" s="50"/>
      <c r="I517" s="51"/>
      <c r="J517" s="51"/>
      <c r="K517" s="51"/>
      <c r="L517" s="51"/>
      <c r="M517" s="52"/>
      <c r="N517" s="52"/>
      <c r="O517" s="52"/>
    </row>
    <row r="518" ht="15.75" customHeight="1">
      <c r="F518" s="49"/>
      <c r="H518" s="50"/>
      <c r="I518" s="51"/>
      <c r="J518" s="51"/>
      <c r="K518" s="51"/>
      <c r="L518" s="51"/>
      <c r="M518" s="52"/>
      <c r="N518" s="52"/>
      <c r="O518" s="52"/>
    </row>
    <row r="519" ht="15.75" customHeight="1">
      <c r="F519" s="49"/>
      <c r="H519" s="50"/>
      <c r="I519" s="51"/>
      <c r="J519" s="51"/>
      <c r="K519" s="51"/>
      <c r="L519" s="51"/>
      <c r="M519" s="52"/>
      <c r="N519" s="52"/>
      <c r="O519" s="52"/>
    </row>
    <row r="520" ht="15.75" customHeight="1">
      <c r="F520" s="49"/>
      <c r="H520" s="50"/>
      <c r="I520" s="51"/>
      <c r="J520" s="51"/>
      <c r="K520" s="51"/>
      <c r="L520" s="51"/>
      <c r="M520" s="52"/>
      <c r="N520" s="52"/>
      <c r="O520" s="52"/>
    </row>
    <row r="521" ht="15.75" customHeight="1">
      <c r="F521" s="49"/>
      <c r="H521" s="50"/>
      <c r="I521" s="51"/>
      <c r="J521" s="51"/>
      <c r="K521" s="51"/>
      <c r="L521" s="51"/>
      <c r="M521" s="52"/>
      <c r="N521" s="52"/>
      <c r="O521" s="52"/>
    </row>
    <row r="522" ht="15.75" customHeight="1">
      <c r="F522" s="49"/>
      <c r="H522" s="50"/>
      <c r="I522" s="51"/>
      <c r="J522" s="51"/>
      <c r="K522" s="51"/>
      <c r="L522" s="51"/>
      <c r="M522" s="52"/>
      <c r="N522" s="52"/>
      <c r="O522" s="52"/>
    </row>
    <row r="523" ht="15.75" customHeight="1">
      <c r="F523" s="49"/>
      <c r="H523" s="50"/>
      <c r="I523" s="51"/>
      <c r="J523" s="51"/>
      <c r="K523" s="51"/>
      <c r="L523" s="51"/>
      <c r="M523" s="52"/>
      <c r="N523" s="52"/>
      <c r="O523" s="52"/>
    </row>
    <row r="524" ht="15.75" customHeight="1">
      <c r="F524" s="49"/>
      <c r="H524" s="50"/>
      <c r="I524" s="51"/>
      <c r="J524" s="51"/>
      <c r="K524" s="51"/>
      <c r="L524" s="51"/>
      <c r="M524" s="52"/>
      <c r="N524" s="52"/>
      <c r="O524" s="52"/>
    </row>
    <row r="525" ht="15.75" customHeight="1">
      <c r="F525" s="49"/>
      <c r="H525" s="50"/>
      <c r="I525" s="51"/>
      <c r="J525" s="51"/>
      <c r="K525" s="51"/>
      <c r="L525" s="51"/>
      <c r="M525" s="52"/>
      <c r="N525" s="52"/>
      <c r="O525" s="52"/>
    </row>
    <row r="526" ht="15.75" customHeight="1">
      <c r="F526" s="49"/>
      <c r="H526" s="50"/>
      <c r="I526" s="51"/>
      <c r="J526" s="51"/>
      <c r="K526" s="51"/>
      <c r="L526" s="51"/>
      <c r="M526" s="52"/>
      <c r="N526" s="52"/>
      <c r="O526" s="52"/>
    </row>
    <row r="527" ht="15.75" customHeight="1">
      <c r="F527" s="49"/>
      <c r="H527" s="50"/>
      <c r="I527" s="51"/>
      <c r="J527" s="51"/>
      <c r="K527" s="51"/>
      <c r="L527" s="51"/>
      <c r="M527" s="52"/>
      <c r="N527" s="52"/>
      <c r="O527" s="52"/>
    </row>
    <row r="528" ht="15.75" customHeight="1">
      <c r="F528" s="49"/>
      <c r="H528" s="50"/>
      <c r="I528" s="51"/>
      <c r="J528" s="51"/>
      <c r="K528" s="51"/>
      <c r="L528" s="51"/>
      <c r="M528" s="52"/>
      <c r="N528" s="52"/>
      <c r="O528" s="52"/>
    </row>
    <row r="529" ht="15.75" customHeight="1">
      <c r="F529" s="49"/>
      <c r="H529" s="50"/>
      <c r="I529" s="51"/>
      <c r="J529" s="51"/>
      <c r="K529" s="51"/>
      <c r="L529" s="51"/>
      <c r="M529" s="52"/>
      <c r="N529" s="52"/>
      <c r="O529" s="52"/>
    </row>
    <row r="530" ht="15.75" customHeight="1">
      <c r="F530" s="49"/>
      <c r="H530" s="50"/>
      <c r="I530" s="51"/>
      <c r="J530" s="51"/>
      <c r="K530" s="51"/>
      <c r="L530" s="51"/>
      <c r="M530" s="52"/>
      <c r="N530" s="52"/>
      <c r="O530" s="52"/>
    </row>
    <row r="531" ht="15.75" customHeight="1">
      <c r="F531" s="49"/>
      <c r="H531" s="50"/>
      <c r="I531" s="51"/>
      <c r="J531" s="51"/>
      <c r="K531" s="51"/>
      <c r="L531" s="51"/>
      <c r="M531" s="52"/>
      <c r="N531" s="52"/>
      <c r="O531" s="52"/>
    </row>
    <row r="532" ht="15.75" customHeight="1">
      <c r="F532" s="49"/>
      <c r="H532" s="50"/>
      <c r="I532" s="51"/>
      <c r="J532" s="51"/>
      <c r="K532" s="51"/>
      <c r="L532" s="51"/>
      <c r="M532" s="52"/>
      <c r="N532" s="52"/>
      <c r="O532" s="52"/>
    </row>
    <row r="533" ht="15.75" customHeight="1">
      <c r="F533" s="49"/>
      <c r="H533" s="50"/>
      <c r="I533" s="51"/>
      <c r="J533" s="51"/>
      <c r="K533" s="51"/>
      <c r="L533" s="51"/>
      <c r="M533" s="52"/>
      <c r="N533" s="52"/>
      <c r="O533" s="52"/>
    </row>
    <row r="534" ht="15.75" customHeight="1">
      <c r="F534" s="49"/>
      <c r="H534" s="50"/>
      <c r="I534" s="51"/>
      <c r="J534" s="51"/>
      <c r="K534" s="51"/>
      <c r="L534" s="51"/>
      <c r="M534" s="52"/>
      <c r="N534" s="52"/>
      <c r="O534" s="52"/>
    </row>
    <row r="535" ht="15.75" customHeight="1">
      <c r="F535" s="49"/>
      <c r="H535" s="50"/>
      <c r="I535" s="51"/>
      <c r="J535" s="51"/>
      <c r="K535" s="51"/>
      <c r="L535" s="51"/>
      <c r="M535" s="52"/>
      <c r="N535" s="52"/>
      <c r="O535" s="52"/>
    </row>
    <row r="536" ht="15.75" customHeight="1">
      <c r="F536" s="49"/>
      <c r="H536" s="50"/>
      <c r="I536" s="51"/>
      <c r="J536" s="51"/>
      <c r="K536" s="51"/>
      <c r="L536" s="51"/>
      <c r="M536" s="52"/>
      <c r="N536" s="52"/>
      <c r="O536" s="52"/>
    </row>
    <row r="537" ht="15.75" customHeight="1">
      <c r="F537" s="49"/>
      <c r="H537" s="50"/>
      <c r="I537" s="51"/>
      <c r="J537" s="51"/>
      <c r="K537" s="51"/>
      <c r="L537" s="51"/>
      <c r="M537" s="52"/>
      <c r="N537" s="52"/>
      <c r="O537" s="52"/>
    </row>
    <row r="538" ht="15.75" customHeight="1">
      <c r="F538" s="49"/>
      <c r="H538" s="50"/>
      <c r="I538" s="51"/>
      <c r="J538" s="51"/>
      <c r="K538" s="51"/>
      <c r="L538" s="51"/>
      <c r="M538" s="52"/>
      <c r="N538" s="52"/>
      <c r="O538" s="52"/>
    </row>
    <row r="539" ht="15.75" customHeight="1">
      <c r="F539" s="49"/>
      <c r="H539" s="50"/>
      <c r="I539" s="51"/>
      <c r="J539" s="51"/>
      <c r="K539" s="51"/>
      <c r="L539" s="51"/>
      <c r="M539" s="52"/>
      <c r="N539" s="52"/>
      <c r="O539" s="52"/>
    </row>
    <row r="540" ht="15.75" customHeight="1">
      <c r="F540" s="49"/>
      <c r="H540" s="50"/>
      <c r="I540" s="51"/>
      <c r="J540" s="51"/>
      <c r="K540" s="51"/>
      <c r="L540" s="51"/>
      <c r="M540" s="52"/>
      <c r="N540" s="52"/>
      <c r="O540" s="52"/>
    </row>
    <row r="541" ht="15.75" customHeight="1">
      <c r="F541" s="49"/>
      <c r="H541" s="50"/>
      <c r="I541" s="51"/>
      <c r="J541" s="51"/>
      <c r="K541" s="51"/>
      <c r="L541" s="51"/>
      <c r="M541" s="52"/>
      <c r="N541" s="52"/>
      <c r="O541" s="52"/>
    </row>
    <row r="542" ht="15.75" customHeight="1">
      <c r="F542" s="49"/>
      <c r="H542" s="50"/>
      <c r="I542" s="51"/>
      <c r="J542" s="51"/>
      <c r="K542" s="51"/>
      <c r="L542" s="51"/>
      <c r="M542" s="52"/>
      <c r="N542" s="52"/>
      <c r="O542" s="52"/>
    </row>
    <row r="543" ht="15.75" customHeight="1">
      <c r="F543" s="49"/>
      <c r="H543" s="50"/>
      <c r="I543" s="51"/>
      <c r="J543" s="51"/>
      <c r="K543" s="51"/>
      <c r="L543" s="51"/>
      <c r="M543" s="52"/>
      <c r="N543" s="52"/>
      <c r="O543" s="52"/>
    </row>
    <row r="544" ht="15.75" customHeight="1">
      <c r="F544" s="49"/>
      <c r="H544" s="50"/>
      <c r="I544" s="51"/>
      <c r="J544" s="51"/>
      <c r="K544" s="51"/>
      <c r="L544" s="51"/>
      <c r="M544" s="52"/>
      <c r="N544" s="52"/>
      <c r="O544" s="52"/>
    </row>
    <row r="545" ht="15.75" customHeight="1">
      <c r="F545" s="49"/>
      <c r="H545" s="50"/>
      <c r="I545" s="51"/>
      <c r="J545" s="51"/>
      <c r="K545" s="51"/>
      <c r="L545" s="51"/>
      <c r="M545" s="52"/>
      <c r="N545" s="52"/>
      <c r="O545" s="52"/>
    </row>
    <row r="546" ht="15.75" customHeight="1">
      <c r="F546" s="49"/>
      <c r="H546" s="50"/>
      <c r="I546" s="51"/>
      <c r="J546" s="51"/>
      <c r="K546" s="51"/>
      <c r="L546" s="51"/>
      <c r="M546" s="52"/>
      <c r="N546" s="52"/>
      <c r="O546" s="52"/>
    </row>
    <row r="547" ht="15.75" customHeight="1">
      <c r="F547" s="49"/>
      <c r="H547" s="50"/>
      <c r="I547" s="51"/>
      <c r="J547" s="51"/>
      <c r="K547" s="51"/>
      <c r="L547" s="51"/>
      <c r="M547" s="52"/>
      <c r="N547" s="52"/>
      <c r="O547" s="52"/>
    </row>
    <row r="548" ht="15.75" customHeight="1">
      <c r="F548" s="49"/>
      <c r="H548" s="50"/>
      <c r="I548" s="51"/>
      <c r="J548" s="51"/>
      <c r="K548" s="51"/>
      <c r="L548" s="51"/>
      <c r="M548" s="52"/>
      <c r="N548" s="52"/>
      <c r="O548" s="52"/>
    </row>
    <row r="549" ht="15.75" customHeight="1">
      <c r="F549" s="49"/>
      <c r="H549" s="50"/>
      <c r="I549" s="51"/>
      <c r="J549" s="51"/>
      <c r="K549" s="51"/>
      <c r="L549" s="51"/>
      <c r="M549" s="52"/>
      <c r="N549" s="52"/>
      <c r="O549" s="52"/>
    </row>
    <row r="550" ht="15.75" customHeight="1">
      <c r="F550" s="49"/>
      <c r="H550" s="50"/>
      <c r="I550" s="51"/>
      <c r="J550" s="51"/>
      <c r="K550" s="51"/>
      <c r="L550" s="51"/>
      <c r="M550" s="52"/>
      <c r="N550" s="52"/>
      <c r="O550" s="52"/>
    </row>
    <row r="551" ht="15.75" customHeight="1">
      <c r="F551" s="49"/>
      <c r="H551" s="50"/>
      <c r="I551" s="51"/>
      <c r="J551" s="51"/>
      <c r="K551" s="51"/>
      <c r="L551" s="51"/>
      <c r="M551" s="52"/>
      <c r="N551" s="52"/>
      <c r="O551" s="52"/>
    </row>
    <row r="552" ht="15.75" customHeight="1">
      <c r="F552" s="49"/>
      <c r="H552" s="50"/>
      <c r="I552" s="51"/>
      <c r="J552" s="51"/>
      <c r="K552" s="51"/>
      <c r="L552" s="51"/>
      <c r="M552" s="52"/>
      <c r="N552" s="52"/>
      <c r="O552" s="52"/>
    </row>
    <row r="553" ht="15.75" customHeight="1">
      <c r="F553" s="49"/>
      <c r="H553" s="50"/>
      <c r="I553" s="51"/>
      <c r="J553" s="51"/>
      <c r="K553" s="51"/>
      <c r="L553" s="51"/>
      <c r="M553" s="52"/>
      <c r="N553" s="52"/>
      <c r="O553" s="52"/>
    </row>
    <row r="554" ht="15.75" customHeight="1">
      <c r="F554" s="49"/>
      <c r="H554" s="50"/>
      <c r="I554" s="51"/>
      <c r="J554" s="51"/>
      <c r="K554" s="51"/>
      <c r="L554" s="51"/>
      <c r="M554" s="52"/>
      <c r="N554" s="52"/>
      <c r="O554" s="52"/>
    </row>
    <row r="555" ht="15.75" customHeight="1">
      <c r="F555" s="49"/>
      <c r="H555" s="50"/>
      <c r="I555" s="51"/>
      <c r="J555" s="51"/>
      <c r="K555" s="51"/>
      <c r="L555" s="51"/>
      <c r="M555" s="52"/>
      <c r="N555" s="52"/>
      <c r="O555" s="52"/>
    </row>
    <row r="556" ht="15.75" customHeight="1">
      <c r="F556" s="49"/>
      <c r="H556" s="50"/>
      <c r="I556" s="51"/>
      <c r="J556" s="51"/>
      <c r="K556" s="51"/>
      <c r="L556" s="51"/>
      <c r="M556" s="52"/>
      <c r="N556" s="52"/>
      <c r="O556" s="52"/>
    </row>
    <row r="557" ht="15.75" customHeight="1">
      <c r="F557" s="49"/>
      <c r="H557" s="50"/>
      <c r="I557" s="51"/>
      <c r="J557" s="51"/>
      <c r="K557" s="51"/>
      <c r="L557" s="51"/>
      <c r="M557" s="52"/>
      <c r="N557" s="52"/>
      <c r="O557" s="52"/>
    </row>
    <row r="558" ht="15.75" customHeight="1">
      <c r="F558" s="49"/>
      <c r="H558" s="50"/>
      <c r="I558" s="51"/>
      <c r="J558" s="51"/>
      <c r="K558" s="51"/>
      <c r="L558" s="51"/>
      <c r="M558" s="52"/>
      <c r="N558" s="52"/>
      <c r="O558" s="52"/>
    </row>
    <row r="559" ht="15.75" customHeight="1">
      <c r="F559" s="49"/>
      <c r="H559" s="50"/>
      <c r="I559" s="51"/>
      <c r="J559" s="51"/>
      <c r="K559" s="51"/>
      <c r="L559" s="51"/>
      <c r="M559" s="52"/>
      <c r="N559" s="52"/>
      <c r="O559" s="52"/>
    </row>
    <row r="560" ht="15.75" customHeight="1">
      <c r="F560" s="49"/>
      <c r="H560" s="50"/>
      <c r="I560" s="51"/>
      <c r="J560" s="51"/>
      <c r="K560" s="51"/>
      <c r="L560" s="51"/>
      <c r="M560" s="52"/>
      <c r="N560" s="52"/>
      <c r="O560" s="52"/>
    </row>
    <row r="561" ht="15.75" customHeight="1">
      <c r="F561" s="49"/>
      <c r="H561" s="50"/>
      <c r="I561" s="51"/>
      <c r="J561" s="51"/>
      <c r="K561" s="51"/>
      <c r="L561" s="51"/>
      <c r="M561" s="52"/>
      <c r="N561" s="52"/>
      <c r="O561" s="52"/>
    </row>
    <row r="562" ht="15.75" customHeight="1">
      <c r="F562" s="49"/>
      <c r="H562" s="50"/>
      <c r="I562" s="51"/>
      <c r="J562" s="51"/>
      <c r="K562" s="51"/>
      <c r="L562" s="51"/>
      <c r="M562" s="52"/>
      <c r="N562" s="52"/>
      <c r="O562" s="52"/>
    </row>
    <row r="563" ht="15.75" customHeight="1">
      <c r="F563" s="49"/>
      <c r="H563" s="50"/>
      <c r="I563" s="51"/>
      <c r="J563" s="51"/>
      <c r="K563" s="51"/>
      <c r="L563" s="51"/>
      <c r="M563" s="52"/>
      <c r="N563" s="52"/>
      <c r="O563" s="52"/>
    </row>
    <row r="564" ht="15.75" customHeight="1">
      <c r="F564" s="49"/>
      <c r="H564" s="50"/>
      <c r="I564" s="51"/>
      <c r="J564" s="51"/>
      <c r="K564" s="51"/>
      <c r="L564" s="51"/>
      <c r="M564" s="52"/>
      <c r="N564" s="52"/>
      <c r="O564" s="52"/>
    </row>
    <row r="565" ht="15.75" customHeight="1">
      <c r="F565" s="49"/>
      <c r="H565" s="50"/>
      <c r="I565" s="51"/>
      <c r="J565" s="51"/>
      <c r="K565" s="51"/>
      <c r="L565" s="51"/>
      <c r="M565" s="52"/>
      <c r="N565" s="52"/>
      <c r="O565" s="52"/>
    </row>
    <row r="566" ht="15.75" customHeight="1">
      <c r="F566" s="49"/>
      <c r="H566" s="50"/>
      <c r="I566" s="51"/>
      <c r="J566" s="51"/>
      <c r="K566" s="51"/>
      <c r="L566" s="51"/>
      <c r="M566" s="52"/>
      <c r="N566" s="52"/>
      <c r="O566" s="52"/>
    </row>
    <row r="567" ht="15.75" customHeight="1">
      <c r="F567" s="49"/>
      <c r="H567" s="50"/>
      <c r="I567" s="51"/>
      <c r="J567" s="51"/>
      <c r="K567" s="51"/>
      <c r="L567" s="51"/>
      <c r="M567" s="52"/>
      <c r="N567" s="52"/>
      <c r="O567" s="52"/>
    </row>
    <row r="568" ht="15.75" customHeight="1">
      <c r="F568" s="49"/>
      <c r="H568" s="50"/>
      <c r="I568" s="51"/>
      <c r="J568" s="51"/>
      <c r="K568" s="51"/>
      <c r="L568" s="51"/>
      <c r="M568" s="52"/>
      <c r="N568" s="52"/>
      <c r="O568" s="52"/>
    </row>
    <row r="569" ht="15.75" customHeight="1">
      <c r="F569" s="49"/>
      <c r="H569" s="50"/>
      <c r="I569" s="51"/>
      <c r="J569" s="51"/>
      <c r="K569" s="51"/>
      <c r="L569" s="51"/>
      <c r="M569" s="52"/>
      <c r="N569" s="52"/>
      <c r="O569" s="52"/>
    </row>
    <row r="570" ht="15.75" customHeight="1">
      <c r="F570" s="49"/>
      <c r="H570" s="50"/>
      <c r="I570" s="51"/>
      <c r="J570" s="51"/>
      <c r="K570" s="51"/>
      <c r="L570" s="51"/>
      <c r="M570" s="52"/>
      <c r="N570" s="52"/>
      <c r="O570" s="52"/>
    </row>
    <row r="571" ht="15.75" customHeight="1">
      <c r="F571" s="49"/>
      <c r="H571" s="50"/>
      <c r="I571" s="51"/>
      <c r="J571" s="51"/>
      <c r="K571" s="51"/>
      <c r="L571" s="51"/>
      <c r="M571" s="52"/>
      <c r="N571" s="52"/>
      <c r="O571" s="52"/>
    </row>
    <row r="572" ht="15.75" customHeight="1">
      <c r="F572" s="49"/>
      <c r="H572" s="50"/>
      <c r="I572" s="51"/>
      <c r="J572" s="51"/>
      <c r="K572" s="51"/>
      <c r="L572" s="51"/>
      <c r="M572" s="52"/>
      <c r="N572" s="52"/>
      <c r="O572" s="52"/>
    </row>
    <row r="573" ht="15.75" customHeight="1">
      <c r="F573" s="49"/>
      <c r="H573" s="50"/>
      <c r="I573" s="51"/>
      <c r="J573" s="51"/>
      <c r="K573" s="51"/>
      <c r="L573" s="51"/>
      <c r="M573" s="52"/>
      <c r="N573" s="52"/>
      <c r="O573" s="52"/>
    </row>
    <row r="574" ht="15.75" customHeight="1">
      <c r="F574" s="49"/>
      <c r="H574" s="50"/>
      <c r="I574" s="51"/>
      <c r="J574" s="51"/>
      <c r="K574" s="51"/>
      <c r="L574" s="51"/>
      <c r="M574" s="52"/>
      <c r="N574" s="52"/>
      <c r="O574" s="52"/>
    </row>
    <row r="575" ht="15.75" customHeight="1">
      <c r="F575" s="49"/>
      <c r="H575" s="50"/>
      <c r="I575" s="51"/>
      <c r="J575" s="51"/>
      <c r="K575" s="51"/>
      <c r="L575" s="51"/>
      <c r="M575" s="52"/>
      <c r="N575" s="52"/>
      <c r="O575" s="52"/>
    </row>
    <row r="576" ht="15.75" customHeight="1">
      <c r="F576" s="49"/>
      <c r="H576" s="50"/>
      <c r="I576" s="51"/>
      <c r="J576" s="51"/>
      <c r="K576" s="51"/>
      <c r="L576" s="51"/>
      <c r="M576" s="52"/>
      <c r="N576" s="52"/>
      <c r="O576" s="52"/>
    </row>
    <row r="577" ht="15.75" customHeight="1">
      <c r="F577" s="49"/>
      <c r="H577" s="50"/>
      <c r="I577" s="51"/>
      <c r="J577" s="51"/>
      <c r="K577" s="51"/>
      <c r="L577" s="51"/>
      <c r="M577" s="52"/>
      <c r="N577" s="52"/>
      <c r="O577" s="52"/>
    </row>
    <row r="578" ht="15.75" customHeight="1">
      <c r="F578" s="49"/>
      <c r="H578" s="50"/>
      <c r="I578" s="51"/>
      <c r="J578" s="51"/>
      <c r="K578" s="51"/>
      <c r="L578" s="51"/>
      <c r="M578" s="52"/>
      <c r="N578" s="52"/>
      <c r="O578" s="52"/>
    </row>
    <row r="579" ht="15.75" customHeight="1">
      <c r="F579" s="49"/>
      <c r="H579" s="50"/>
      <c r="I579" s="51"/>
      <c r="J579" s="51"/>
      <c r="K579" s="51"/>
      <c r="L579" s="51"/>
      <c r="M579" s="52"/>
      <c r="N579" s="52"/>
      <c r="O579" s="52"/>
    </row>
    <row r="580" ht="15.75" customHeight="1">
      <c r="F580" s="49"/>
      <c r="H580" s="50"/>
      <c r="I580" s="51"/>
      <c r="J580" s="51"/>
      <c r="K580" s="51"/>
      <c r="L580" s="51"/>
      <c r="M580" s="52"/>
      <c r="N580" s="52"/>
      <c r="O580" s="52"/>
    </row>
    <row r="581" ht="15.75" customHeight="1">
      <c r="F581" s="49"/>
      <c r="H581" s="50"/>
      <c r="I581" s="51"/>
      <c r="J581" s="51"/>
      <c r="K581" s="51"/>
      <c r="L581" s="51"/>
      <c r="M581" s="52"/>
      <c r="N581" s="52"/>
      <c r="O581" s="52"/>
    </row>
    <row r="582" ht="15.75" customHeight="1">
      <c r="F582" s="49"/>
      <c r="H582" s="50"/>
      <c r="I582" s="51"/>
      <c r="J582" s="51"/>
      <c r="K582" s="51"/>
      <c r="L582" s="51"/>
      <c r="M582" s="52"/>
      <c r="N582" s="52"/>
      <c r="O582" s="52"/>
    </row>
    <row r="583" ht="15.75" customHeight="1">
      <c r="F583" s="49"/>
      <c r="H583" s="50"/>
      <c r="I583" s="51"/>
      <c r="J583" s="51"/>
      <c r="K583" s="51"/>
      <c r="L583" s="51"/>
      <c r="M583" s="52"/>
      <c r="N583" s="52"/>
      <c r="O583" s="52"/>
    </row>
    <row r="584" ht="15.75" customHeight="1">
      <c r="F584" s="49"/>
      <c r="H584" s="50"/>
      <c r="I584" s="51"/>
      <c r="J584" s="51"/>
      <c r="K584" s="51"/>
      <c r="L584" s="51"/>
      <c r="M584" s="52"/>
      <c r="N584" s="52"/>
      <c r="O584" s="52"/>
    </row>
    <row r="585" ht="15.75" customHeight="1">
      <c r="F585" s="49"/>
      <c r="H585" s="50"/>
      <c r="I585" s="51"/>
      <c r="J585" s="51"/>
      <c r="K585" s="51"/>
      <c r="L585" s="51"/>
      <c r="M585" s="52"/>
      <c r="N585" s="52"/>
      <c r="O585" s="52"/>
    </row>
    <row r="586" ht="15.75" customHeight="1">
      <c r="F586" s="49"/>
      <c r="H586" s="50"/>
      <c r="I586" s="51"/>
      <c r="J586" s="51"/>
      <c r="K586" s="51"/>
      <c r="L586" s="51"/>
      <c r="M586" s="52"/>
      <c r="N586" s="52"/>
      <c r="O586" s="52"/>
    </row>
    <row r="587" ht="15.75" customHeight="1">
      <c r="F587" s="49"/>
      <c r="H587" s="50"/>
      <c r="I587" s="51"/>
      <c r="J587" s="51"/>
      <c r="K587" s="51"/>
      <c r="L587" s="51"/>
      <c r="M587" s="52"/>
      <c r="N587" s="52"/>
      <c r="O587" s="52"/>
    </row>
    <row r="588" ht="15.75" customHeight="1">
      <c r="F588" s="49"/>
      <c r="H588" s="50"/>
      <c r="I588" s="51"/>
      <c r="J588" s="51"/>
      <c r="K588" s="51"/>
      <c r="L588" s="51"/>
      <c r="M588" s="52"/>
      <c r="N588" s="52"/>
      <c r="O588" s="52"/>
    </row>
    <row r="589" ht="15.75" customHeight="1">
      <c r="F589" s="49"/>
      <c r="H589" s="50"/>
      <c r="I589" s="51"/>
      <c r="J589" s="51"/>
      <c r="K589" s="51"/>
      <c r="L589" s="51"/>
      <c r="M589" s="52"/>
      <c r="N589" s="52"/>
      <c r="O589" s="52"/>
    </row>
    <row r="590" ht="15.75" customHeight="1">
      <c r="F590" s="49"/>
      <c r="H590" s="50"/>
      <c r="I590" s="51"/>
      <c r="J590" s="51"/>
      <c r="K590" s="51"/>
      <c r="L590" s="51"/>
      <c r="M590" s="52"/>
      <c r="N590" s="52"/>
      <c r="O590" s="52"/>
    </row>
    <row r="591" ht="15.75" customHeight="1">
      <c r="F591" s="49"/>
      <c r="H591" s="50"/>
      <c r="I591" s="51"/>
      <c r="J591" s="51"/>
      <c r="K591" s="51"/>
      <c r="L591" s="51"/>
      <c r="M591" s="52"/>
      <c r="N591" s="52"/>
      <c r="O591" s="52"/>
    </row>
    <row r="592" ht="15.75" customHeight="1">
      <c r="F592" s="49"/>
      <c r="H592" s="50"/>
      <c r="I592" s="51"/>
      <c r="J592" s="51"/>
      <c r="K592" s="51"/>
      <c r="L592" s="51"/>
      <c r="M592" s="52"/>
      <c r="N592" s="52"/>
      <c r="O592" s="52"/>
    </row>
    <row r="593" ht="15.75" customHeight="1">
      <c r="F593" s="49"/>
      <c r="H593" s="50"/>
      <c r="I593" s="51"/>
      <c r="J593" s="51"/>
      <c r="K593" s="51"/>
      <c r="L593" s="51"/>
      <c r="M593" s="52"/>
      <c r="N593" s="52"/>
      <c r="O593" s="52"/>
    </row>
    <row r="594" ht="15.75" customHeight="1">
      <c r="F594" s="49"/>
      <c r="H594" s="50"/>
      <c r="I594" s="51"/>
      <c r="J594" s="51"/>
      <c r="K594" s="51"/>
      <c r="L594" s="51"/>
      <c r="M594" s="52"/>
      <c r="N594" s="52"/>
      <c r="O594" s="52"/>
    </row>
    <row r="595" ht="15.75" customHeight="1">
      <c r="F595" s="49"/>
      <c r="H595" s="50"/>
      <c r="I595" s="51"/>
      <c r="J595" s="51"/>
      <c r="K595" s="51"/>
      <c r="L595" s="51"/>
      <c r="M595" s="52"/>
      <c r="N595" s="52"/>
      <c r="O595" s="52"/>
    </row>
    <row r="596" ht="15.75" customHeight="1">
      <c r="F596" s="49"/>
      <c r="H596" s="50"/>
      <c r="I596" s="51"/>
      <c r="J596" s="51"/>
      <c r="K596" s="51"/>
      <c r="L596" s="51"/>
      <c r="M596" s="52"/>
      <c r="N596" s="52"/>
      <c r="O596" s="52"/>
    </row>
    <row r="597" ht="15.75" customHeight="1">
      <c r="F597" s="49"/>
      <c r="H597" s="50"/>
      <c r="I597" s="51"/>
      <c r="J597" s="51"/>
      <c r="K597" s="51"/>
      <c r="L597" s="51"/>
      <c r="M597" s="52"/>
      <c r="N597" s="52"/>
      <c r="O597" s="52"/>
    </row>
    <row r="598" ht="15.75" customHeight="1">
      <c r="F598" s="49"/>
      <c r="H598" s="50"/>
      <c r="I598" s="51"/>
      <c r="J598" s="51"/>
      <c r="K598" s="51"/>
      <c r="L598" s="51"/>
      <c r="M598" s="52"/>
      <c r="N598" s="52"/>
      <c r="O598" s="52"/>
    </row>
    <row r="599" ht="15.75" customHeight="1">
      <c r="F599" s="49"/>
      <c r="H599" s="50"/>
      <c r="I599" s="51"/>
      <c r="J599" s="51"/>
      <c r="K599" s="51"/>
      <c r="L599" s="51"/>
      <c r="M599" s="52"/>
      <c r="N599" s="52"/>
      <c r="O599" s="52"/>
    </row>
    <row r="600" ht="15.75" customHeight="1">
      <c r="F600" s="49"/>
      <c r="H600" s="50"/>
      <c r="I600" s="51"/>
      <c r="J600" s="51"/>
      <c r="K600" s="51"/>
      <c r="L600" s="51"/>
      <c r="M600" s="52"/>
      <c r="N600" s="52"/>
      <c r="O600" s="52"/>
    </row>
    <row r="601" ht="15.75" customHeight="1">
      <c r="F601" s="49"/>
      <c r="H601" s="50"/>
      <c r="I601" s="51"/>
      <c r="J601" s="51"/>
      <c r="K601" s="51"/>
      <c r="L601" s="51"/>
      <c r="M601" s="52"/>
      <c r="N601" s="52"/>
      <c r="O601" s="52"/>
    </row>
    <row r="602" ht="15.75" customHeight="1">
      <c r="F602" s="49"/>
      <c r="H602" s="50"/>
      <c r="I602" s="51"/>
      <c r="J602" s="51"/>
      <c r="K602" s="51"/>
      <c r="L602" s="51"/>
      <c r="M602" s="52"/>
      <c r="N602" s="52"/>
      <c r="O602" s="52"/>
    </row>
    <row r="603" ht="15.75" customHeight="1">
      <c r="F603" s="49"/>
      <c r="H603" s="50"/>
      <c r="I603" s="51"/>
      <c r="J603" s="51"/>
      <c r="K603" s="51"/>
      <c r="L603" s="51"/>
      <c r="M603" s="52"/>
      <c r="N603" s="52"/>
      <c r="O603" s="52"/>
    </row>
    <row r="604" ht="15.75" customHeight="1">
      <c r="F604" s="49"/>
      <c r="H604" s="50"/>
      <c r="I604" s="51"/>
      <c r="J604" s="51"/>
      <c r="K604" s="51"/>
      <c r="L604" s="51"/>
      <c r="M604" s="52"/>
      <c r="N604" s="52"/>
      <c r="O604" s="52"/>
    </row>
    <row r="605" ht="15.75" customHeight="1">
      <c r="F605" s="49"/>
      <c r="H605" s="50"/>
      <c r="I605" s="51"/>
      <c r="J605" s="51"/>
      <c r="K605" s="51"/>
      <c r="L605" s="51"/>
      <c r="M605" s="52"/>
      <c r="N605" s="52"/>
      <c r="O605" s="52"/>
    </row>
    <row r="606" ht="15.75" customHeight="1">
      <c r="F606" s="49"/>
      <c r="H606" s="50"/>
      <c r="I606" s="51"/>
      <c r="J606" s="51"/>
      <c r="K606" s="51"/>
      <c r="L606" s="51"/>
      <c r="M606" s="52"/>
      <c r="N606" s="52"/>
      <c r="O606" s="52"/>
    </row>
    <row r="607" ht="15.75" customHeight="1">
      <c r="F607" s="49"/>
      <c r="H607" s="50"/>
      <c r="I607" s="51"/>
      <c r="J607" s="51"/>
      <c r="K607" s="51"/>
      <c r="L607" s="51"/>
      <c r="M607" s="52"/>
      <c r="N607" s="52"/>
      <c r="O607" s="52"/>
    </row>
    <row r="608" ht="15.75" customHeight="1">
      <c r="F608" s="49"/>
      <c r="H608" s="50"/>
      <c r="I608" s="51"/>
      <c r="J608" s="51"/>
      <c r="K608" s="51"/>
      <c r="L608" s="51"/>
      <c r="M608" s="52"/>
      <c r="N608" s="52"/>
      <c r="O608" s="52"/>
    </row>
    <row r="609" ht="15.75" customHeight="1">
      <c r="F609" s="49"/>
      <c r="H609" s="50"/>
      <c r="I609" s="51"/>
      <c r="J609" s="51"/>
      <c r="K609" s="51"/>
      <c r="L609" s="51"/>
      <c r="M609" s="52"/>
      <c r="N609" s="52"/>
      <c r="O609" s="52"/>
    </row>
    <row r="610" ht="15.75" customHeight="1">
      <c r="F610" s="49"/>
      <c r="H610" s="50"/>
      <c r="I610" s="51"/>
      <c r="J610" s="51"/>
      <c r="K610" s="51"/>
      <c r="L610" s="51"/>
      <c r="M610" s="52"/>
      <c r="N610" s="52"/>
      <c r="O610" s="52"/>
    </row>
    <row r="611" ht="15.75" customHeight="1">
      <c r="F611" s="49"/>
      <c r="H611" s="50"/>
      <c r="I611" s="51"/>
      <c r="J611" s="51"/>
      <c r="K611" s="51"/>
      <c r="L611" s="51"/>
      <c r="M611" s="52"/>
      <c r="N611" s="52"/>
      <c r="O611" s="52"/>
    </row>
    <row r="612" ht="15.75" customHeight="1">
      <c r="F612" s="49"/>
      <c r="H612" s="50"/>
      <c r="I612" s="51"/>
      <c r="J612" s="51"/>
      <c r="K612" s="51"/>
      <c r="L612" s="51"/>
      <c r="M612" s="52"/>
      <c r="N612" s="52"/>
      <c r="O612" s="52"/>
    </row>
    <row r="613" ht="15.75" customHeight="1">
      <c r="F613" s="49"/>
      <c r="H613" s="50"/>
      <c r="I613" s="51"/>
      <c r="J613" s="51"/>
      <c r="K613" s="51"/>
      <c r="L613" s="51"/>
      <c r="M613" s="52"/>
      <c r="N613" s="52"/>
      <c r="O613" s="52"/>
    </row>
    <row r="614" ht="15.75" customHeight="1">
      <c r="F614" s="49"/>
      <c r="H614" s="50"/>
      <c r="I614" s="51"/>
      <c r="J614" s="51"/>
      <c r="K614" s="51"/>
      <c r="L614" s="51"/>
      <c r="M614" s="52"/>
      <c r="N614" s="52"/>
      <c r="O614" s="52"/>
    </row>
    <row r="615" ht="15.75" customHeight="1">
      <c r="F615" s="49"/>
      <c r="H615" s="50"/>
      <c r="I615" s="51"/>
      <c r="J615" s="51"/>
      <c r="K615" s="51"/>
      <c r="L615" s="51"/>
      <c r="M615" s="52"/>
      <c r="N615" s="52"/>
      <c r="O615" s="52"/>
    </row>
    <row r="616" ht="15.75" customHeight="1">
      <c r="F616" s="49"/>
      <c r="H616" s="50"/>
      <c r="I616" s="51"/>
      <c r="J616" s="51"/>
      <c r="K616" s="51"/>
      <c r="L616" s="51"/>
      <c r="M616" s="52"/>
      <c r="N616" s="52"/>
      <c r="O616" s="52"/>
    </row>
    <row r="617" ht="15.75" customHeight="1">
      <c r="F617" s="49"/>
      <c r="H617" s="50"/>
      <c r="I617" s="51"/>
      <c r="J617" s="51"/>
      <c r="K617" s="51"/>
      <c r="L617" s="51"/>
      <c r="M617" s="52"/>
      <c r="N617" s="52"/>
      <c r="O617" s="52"/>
    </row>
    <row r="618" ht="15.75" customHeight="1">
      <c r="F618" s="49"/>
      <c r="H618" s="50"/>
      <c r="I618" s="51"/>
      <c r="J618" s="51"/>
      <c r="K618" s="51"/>
      <c r="L618" s="51"/>
      <c r="M618" s="52"/>
      <c r="N618" s="52"/>
      <c r="O618" s="52"/>
    </row>
    <row r="619" ht="15.75" customHeight="1">
      <c r="F619" s="49"/>
      <c r="H619" s="50"/>
      <c r="I619" s="51"/>
      <c r="J619" s="51"/>
      <c r="K619" s="51"/>
      <c r="L619" s="51"/>
      <c r="M619" s="52"/>
      <c r="N619" s="52"/>
      <c r="O619" s="52"/>
    </row>
    <row r="620" ht="15.75" customHeight="1">
      <c r="F620" s="49"/>
      <c r="H620" s="50"/>
      <c r="I620" s="51"/>
      <c r="J620" s="51"/>
      <c r="K620" s="51"/>
      <c r="L620" s="51"/>
      <c r="M620" s="52"/>
      <c r="N620" s="52"/>
      <c r="O620" s="52"/>
    </row>
    <row r="621" ht="15.75" customHeight="1">
      <c r="F621" s="49"/>
      <c r="H621" s="50"/>
      <c r="I621" s="51"/>
      <c r="J621" s="51"/>
      <c r="K621" s="51"/>
      <c r="L621" s="51"/>
      <c r="M621" s="52"/>
      <c r="N621" s="52"/>
      <c r="O621" s="52"/>
    </row>
    <row r="622" ht="15.75" customHeight="1">
      <c r="F622" s="49"/>
      <c r="H622" s="50"/>
      <c r="I622" s="51"/>
      <c r="J622" s="51"/>
      <c r="K622" s="51"/>
      <c r="L622" s="51"/>
      <c r="M622" s="52"/>
      <c r="N622" s="52"/>
      <c r="O622" s="52"/>
    </row>
    <row r="623" ht="15.75" customHeight="1">
      <c r="F623" s="49"/>
      <c r="H623" s="50"/>
      <c r="I623" s="51"/>
      <c r="J623" s="51"/>
      <c r="K623" s="51"/>
      <c r="L623" s="51"/>
      <c r="M623" s="52"/>
      <c r="N623" s="52"/>
      <c r="O623" s="52"/>
    </row>
    <row r="624" ht="15.75" customHeight="1">
      <c r="F624" s="49"/>
      <c r="H624" s="50"/>
      <c r="I624" s="51"/>
      <c r="J624" s="51"/>
      <c r="K624" s="51"/>
      <c r="L624" s="51"/>
      <c r="M624" s="52"/>
      <c r="N624" s="52"/>
      <c r="O624" s="52"/>
    </row>
    <row r="625" ht="15.75" customHeight="1">
      <c r="F625" s="49"/>
      <c r="H625" s="50"/>
      <c r="I625" s="51"/>
      <c r="J625" s="51"/>
      <c r="K625" s="51"/>
      <c r="L625" s="51"/>
      <c r="M625" s="52"/>
      <c r="N625" s="52"/>
      <c r="O625" s="52"/>
    </row>
    <row r="626" ht="15.75" customHeight="1">
      <c r="F626" s="49"/>
      <c r="H626" s="50"/>
      <c r="I626" s="51"/>
      <c r="J626" s="51"/>
      <c r="K626" s="51"/>
      <c r="L626" s="51"/>
      <c r="M626" s="52"/>
      <c r="N626" s="52"/>
      <c r="O626" s="52"/>
    </row>
    <row r="627" ht="15.75" customHeight="1">
      <c r="F627" s="49"/>
      <c r="H627" s="50"/>
      <c r="I627" s="51"/>
      <c r="J627" s="51"/>
      <c r="K627" s="51"/>
      <c r="L627" s="51"/>
      <c r="M627" s="52"/>
      <c r="N627" s="52"/>
      <c r="O627" s="52"/>
    </row>
    <row r="628" ht="15.75" customHeight="1">
      <c r="F628" s="49"/>
      <c r="H628" s="50"/>
      <c r="I628" s="51"/>
      <c r="J628" s="51"/>
      <c r="K628" s="51"/>
      <c r="L628" s="51"/>
      <c r="M628" s="52"/>
      <c r="N628" s="52"/>
      <c r="O628" s="52"/>
    </row>
    <row r="629" ht="15.75" customHeight="1">
      <c r="F629" s="49"/>
      <c r="H629" s="50"/>
      <c r="I629" s="51"/>
      <c r="J629" s="51"/>
      <c r="K629" s="51"/>
      <c r="L629" s="51"/>
      <c r="M629" s="52"/>
      <c r="N629" s="52"/>
      <c r="O629" s="52"/>
    </row>
    <row r="630" ht="15.75" customHeight="1">
      <c r="F630" s="49"/>
      <c r="H630" s="50"/>
      <c r="I630" s="51"/>
      <c r="J630" s="51"/>
      <c r="K630" s="51"/>
      <c r="L630" s="51"/>
      <c r="M630" s="52"/>
      <c r="N630" s="52"/>
      <c r="O630" s="52"/>
    </row>
    <row r="631" ht="15.75" customHeight="1">
      <c r="F631" s="49"/>
      <c r="H631" s="50"/>
      <c r="I631" s="51"/>
      <c r="J631" s="51"/>
      <c r="K631" s="51"/>
      <c r="L631" s="51"/>
      <c r="M631" s="52"/>
      <c r="N631" s="52"/>
      <c r="O631" s="52"/>
    </row>
    <row r="632" ht="15.75" customHeight="1">
      <c r="F632" s="49"/>
      <c r="H632" s="50"/>
      <c r="I632" s="51"/>
      <c r="J632" s="51"/>
      <c r="K632" s="51"/>
      <c r="L632" s="51"/>
      <c r="M632" s="52"/>
      <c r="N632" s="52"/>
      <c r="O632" s="52"/>
    </row>
    <row r="633" ht="15.75" customHeight="1">
      <c r="F633" s="49"/>
      <c r="H633" s="50"/>
      <c r="I633" s="51"/>
      <c r="J633" s="51"/>
      <c r="K633" s="51"/>
      <c r="L633" s="51"/>
      <c r="M633" s="52"/>
      <c r="N633" s="52"/>
      <c r="O633" s="52"/>
    </row>
    <row r="634" ht="15.75" customHeight="1">
      <c r="F634" s="49"/>
      <c r="H634" s="50"/>
      <c r="I634" s="51"/>
      <c r="J634" s="51"/>
      <c r="K634" s="51"/>
      <c r="L634" s="51"/>
      <c r="M634" s="52"/>
      <c r="N634" s="52"/>
      <c r="O634" s="52"/>
    </row>
    <row r="635" ht="15.75" customHeight="1">
      <c r="F635" s="49"/>
      <c r="H635" s="50"/>
      <c r="I635" s="51"/>
      <c r="J635" s="51"/>
      <c r="K635" s="51"/>
      <c r="L635" s="51"/>
      <c r="M635" s="52"/>
      <c r="N635" s="52"/>
      <c r="O635" s="52"/>
    </row>
    <row r="636" ht="15.75" customHeight="1">
      <c r="F636" s="49"/>
      <c r="H636" s="50"/>
      <c r="I636" s="51"/>
      <c r="J636" s="51"/>
      <c r="K636" s="51"/>
      <c r="L636" s="51"/>
      <c r="M636" s="52"/>
      <c r="N636" s="52"/>
      <c r="O636" s="52"/>
    </row>
    <row r="637" ht="15.75" customHeight="1">
      <c r="F637" s="49"/>
      <c r="H637" s="50"/>
      <c r="I637" s="51"/>
      <c r="J637" s="51"/>
      <c r="K637" s="51"/>
      <c r="L637" s="51"/>
      <c r="M637" s="52"/>
      <c r="N637" s="52"/>
      <c r="O637" s="52"/>
    </row>
    <row r="638" ht="15.75" customHeight="1">
      <c r="F638" s="49"/>
      <c r="H638" s="50"/>
      <c r="I638" s="51"/>
      <c r="J638" s="51"/>
      <c r="K638" s="51"/>
      <c r="L638" s="51"/>
      <c r="M638" s="52"/>
      <c r="N638" s="52"/>
      <c r="O638" s="52"/>
    </row>
    <row r="639" ht="15.75" customHeight="1">
      <c r="F639" s="49"/>
      <c r="H639" s="50"/>
      <c r="I639" s="51"/>
      <c r="J639" s="51"/>
      <c r="K639" s="51"/>
      <c r="L639" s="51"/>
      <c r="M639" s="52"/>
      <c r="N639" s="52"/>
      <c r="O639" s="52"/>
    </row>
    <row r="640" ht="15.75" customHeight="1">
      <c r="F640" s="49"/>
      <c r="H640" s="50"/>
      <c r="I640" s="51"/>
      <c r="J640" s="51"/>
      <c r="K640" s="51"/>
      <c r="L640" s="51"/>
      <c r="M640" s="52"/>
      <c r="N640" s="52"/>
      <c r="O640" s="52"/>
    </row>
    <row r="641" ht="15.75" customHeight="1">
      <c r="F641" s="49"/>
      <c r="H641" s="50"/>
      <c r="I641" s="51"/>
      <c r="J641" s="51"/>
      <c r="K641" s="51"/>
      <c r="L641" s="51"/>
      <c r="M641" s="52"/>
      <c r="N641" s="52"/>
      <c r="O641" s="52"/>
    </row>
    <row r="642" ht="15.75" customHeight="1">
      <c r="F642" s="49"/>
      <c r="H642" s="50"/>
      <c r="I642" s="51"/>
      <c r="J642" s="51"/>
      <c r="K642" s="51"/>
      <c r="L642" s="51"/>
      <c r="M642" s="52"/>
      <c r="N642" s="52"/>
      <c r="O642" s="52"/>
    </row>
    <row r="643" ht="15.75" customHeight="1">
      <c r="F643" s="49"/>
      <c r="H643" s="50"/>
      <c r="I643" s="51"/>
      <c r="J643" s="51"/>
      <c r="K643" s="51"/>
      <c r="L643" s="51"/>
      <c r="M643" s="52"/>
      <c r="N643" s="52"/>
      <c r="O643" s="52"/>
    </row>
    <row r="644" ht="15.75" customHeight="1">
      <c r="F644" s="49"/>
      <c r="H644" s="50"/>
      <c r="I644" s="51"/>
      <c r="J644" s="51"/>
      <c r="K644" s="51"/>
      <c r="L644" s="51"/>
      <c r="M644" s="52"/>
      <c r="N644" s="52"/>
      <c r="O644" s="52"/>
    </row>
    <row r="645" ht="15.75" customHeight="1">
      <c r="F645" s="49"/>
      <c r="H645" s="50"/>
      <c r="I645" s="51"/>
      <c r="J645" s="51"/>
      <c r="K645" s="51"/>
      <c r="L645" s="51"/>
      <c r="M645" s="52"/>
      <c r="N645" s="52"/>
      <c r="O645" s="52"/>
    </row>
    <row r="646" ht="15.75" customHeight="1">
      <c r="F646" s="49"/>
      <c r="H646" s="50"/>
      <c r="I646" s="51"/>
      <c r="J646" s="51"/>
      <c r="K646" s="51"/>
      <c r="L646" s="51"/>
      <c r="M646" s="52"/>
      <c r="N646" s="52"/>
      <c r="O646" s="52"/>
    </row>
    <row r="647" ht="15.75" customHeight="1">
      <c r="F647" s="49"/>
      <c r="H647" s="50"/>
      <c r="I647" s="51"/>
      <c r="J647" s="51"/>
      <c r="K647" s="51"/>
      <c r="L647" s="51"/>
      <c r="M647" s="52"/>
      <c r="N647" s="52"/>
      <c r="O647" s="52"/>
    </row>
    <row r="648" ht="15.75" customHeight="1">
      <c r="F648" s="49"/>
      <c r="H648" s="50"/>
      <c r="I648" s="51"/>
      <c r="J648" s="51"/>
      <c r="K648" s="51"/>
      <c r="L648" s="51"/>
      <c r="M648" s="52"/>
      <c r="N648" s="52"/>
      <c r="O648" s="52"/>
    </row>
    <row r="649" ht="15.75" customHeight="1">
      <c r="F649" s="49"/>
      <c r="H649" s="50"/>
      <c r="I649" s="51"/>
      <c r="J649" s="51"/>
      <c r="K649" s="51"/>
      <c r="L649" s="51"/>
      <c r="M649" s="52"/>
      <c r="N649" s="52"/>
      <c r="O649" s="52"/>
    </row>
    <row r="650" ht="15.75" customHeight="1">
      <c r="F650" s="49"/>
      <c r="H650" s="50"/>
      <c r="I650" s="51"/>
      <c r="J650" s="51"/>
      <c r="K650" s="51"/>
      <c r="L650" s="51"/>
      <c r="M650" s="52"/>
      <c r="N650" s="52"/>
      <c r="O650" s="52"/>
    </row>
    <row r="651" ht="15.75" customHeight="1">
      <c r="F651" s="49"/>
      <c r="H651" s="50"/>
      <c r="I651" s="51"/>
      <c r="J651" s="51"/>
      <c r="K651" s="51"/>
      <c r="L651" s="51"/>
      <c r="M651" s="52"/>
      <c r="N651" s="52"/>
      <c r="O651" s="52"/>
    </row>
    <row r="652" ht="15.75" customHeight="1">
      <c r="F652" s="49"/>
      <c r="H652" s="50"/>
      <c r="I652" s="51"/>
      <c r="J652" s="51"/>
      <c r="K652" s="51"/>
      <c r="L652" s="51"/>
      <c r="M652" s="52"/>
      <c r="N652" s="52"/>
      <c r="O652" s="52"/>
    </row>
    <row r="653" ht="15.75" customHeight="1">
      <c r="F653" s="49"/>
      <c r="H653" s="50"/>
      <c r="I653" s="51"/>
      <c r="J653" s="51"/>
      <c r="K653" s="51"/>
      <c r="L653" s="51"/>
      <c r="M653" s="52"/>
      <c r="N653" s="52"/>
      <c r="O653" s="52"/>
    </row>
    <row r="654" ht="15.75" customHeight="1">
      <c r="F654" s="49"/>
      <c r="H654" s="50"/>
      <c r="I654" s="51"/>
      <c r="J654" s="51"/>
      <c r="K654" s="51"/>
      <c r="L654" s="51"/>
      <c r="M654" s="52"/>
      <c r="N654" s="52"/>
      <c r="O654" s="52"/>
    </row>
    <row r="655" ht="15.75" customHeight="1">
      <c r="F655" s="49"/>
      <c r="H655" s="50"/>
      <c r="I655" s="51"/>
      <c r="J655" s="51"/>
      <c r="K655" s="51"/>
      <c r="L655" s="51"/>
      <c r="M655" s="52"/>
      <c r="N655" s="52"/>
      <c r="O655" s="52"/>
    </row>
    <row r="656" ht="15.75" customHeight="1">
      <c r="F656" s="49"/>
      <c r="H656" s="50"/>
      <c r="I656" s="51"/>
      <c r="J656" s="51"/>
      <c r="K656" s="51"/>
      <c r="L656" s="51"/>
      <c r="M656" s="52"/>
      <c r="N656" s="52"/>
      <c r="O656" s="52"/>
    </row>
    <row r="657" ht="15.75" customHeight="1">
      <c r="F657" s="49"/>
      <c r="H657" s="50"/>
      <c r="I657" s="51"/>
      <c r="J657" s="51"/>
      <c r="K657" s="51"/>
      <c r="L657" s="51"/>
      <c r="M657" s="52"/>
      <c r="N657" s="52"/>
      <c r="O657" s="52"/>
    </row>
    <row r="658" ht="15.75" customHeight="1">
      <c r="F658" s="49"/>
      <c r="H658" s="50"/>
      <c r="I658" s="51"/>
      <c r="J658" s="51"/>
      <c r="K658" s="51"/>
      <c r="L658" s="51"/>
      <c r="M658" s="52"/>
      <c r="N658" s="52"/>
      <c r="O658" s="52"/>
    </row>
    <row r="659" ht="15.75" customHeight="1">
      <c r="F659" s="49"/>
      <c r="H659" s="50"/>
      <c r="I659" s="51"/>
      <c r="J659" s="51"/>
      <c r="K659" s="51"/>
      <c r="L659" s="51"/>
      <c r="M659" s="52"/>
      <c r="N659" s="52"/>
      <c r="O659" s="52"/>
    </row>
    <row r="660" ht="15.75" customHeight="1">
      <c r="F660" s="49"/>
      <c r="H660" s="50"/>
      <c r="I660" s="51"/>
      <c r="J660" s="51"/>
      <c r="K660" s="51"/>
      <c r="L660" s="51"/>
      <c r="M660" s="52"/>
      <c r="N660" s="52"/>
      <c r="O660" s="52"/>
    </row>
    <row r="661" ht="15.75" customHeight="1">
      <c r="F661" s="49"/>
      <c r="H661" s="50"/>
      <c r="I661" s="51"/>
      <c r="J661" s="51"/>
      <c r="K661" s="51"/>
      <c r="L661" s="51"/>
      <c r="M661" s="52"/>
      <c r="N661" s="52"/>
      <c r="O661" s="52"/>
    </row>
    <row r="662" ht="15.75" customHeight="1">
      <c r="F662" s="49"/>
      <c r="H662" s="50"/>
      <c r="I662" s="51"/>
      <c r="J662" s="51"/>
      <c r="K662" s="51"/>
      <c r="L662" s="51"/>
      <c r="M662" s="52"/>
      <c r="N662" s="52"/>
      <c r="O662" s="52"/>
    </row>
    <row r="663" ht="15.75" customHeight="1">
      <c r="F663" s="49"/>
      <c r="H663" s="50"/>
      <c r="I663" s="51"/>
      <c r="J663" s="51"/>
      <c r="K663" s="51"/>
      <c r="L663" s="51"/>
      <c r="M663" s="52"/>
      <c r="N663" s="52"/>
      <c r="O663" s="52"/>
    </row>
    <row r="664" ht="15.75" customHeight="1">
      <c r="F664" s="49"/>
      <c r="H664" s="50"/>
      <c r="I664" s="51"/>
      <c r="J664" s="51"/>
      <c r="K664" s="51"/>
      <c r="L664" s="51"/>
      <c r="M664" s="52"/>
      <c r="N664" s="52"/>
      <c r="O664" s="52"/>
    </row>
    <row r="665" ht="15.75" customHeight="1">
      <c r="F665" s="49"/>
      <c r="H665" s="50"/>
      <c r="I665" s="51"/>
      <c r="J665" s="51"/>
      <c r="K665" s="51"/>
      <c r="L665" s="51"/>
      <c r="M665" s="52"/>
      <c r="N665" s="52"/>
      <c r="O665" s="52"/>
    </row>
    <row r="666" ht="15.75" customHeight="1">
      <c r="F666" s="49"/>
      <c r="H666" s="50"/>
      <c r="I666" s="51"/>
      <c r="J666" s="51"/>
      <c r="K666" s="51"/>
      <c r="L666" s="51"/>
      <c r="M666" s="52"/>
      <c r="N666" s="52"/>
      <c r="O666" s="52"/>
    </row>
    <row r="667" ht="15.75" customHeight="1">
      <c r="F667" s="49"/>
      <c r="H667" s="50"/>
      <c r="I667" s="51"/>
      <c r="J667" s="51"/>
      <c r="K667" s="51"/>
      <c r="L667" s="51"/>
      <c r="M667" s="52"/>
      <c r="N667" s="52"/>
      <c r="O667" s="52"/>
    </row>
    <row r="668" ht="15.75" customHeight="1">
      <c r="F668" s="49"/>
      <c r="H668" s="50"/>
      <c r="I668" s="51"/>
      <c r="J668" s="51"/>
      <c r="K668" s="51"/>
      <c r="L668" s="51"/>
      <c r="M668" s="52"/>
      <c r="N668" s="52"/>
      <c r="O668" s="52"/>
    </row>
    <row r="669" ht="15.75" customHeight="1">
      <c r="F669" s="49"/>
      <c r="H669" s="50"/>
      <c r="I669" s="51"/>
      <c r="J669" s="51"/>
      <c r="K669" s="51"/>
      <c r="L669" s="51"/>
      <c r="M669" s="52"/>
      <c r="N669" s="52"/>
      <c r="O669" s="52"/>
    </row>
    <row r="670" ht="15.75" customHeight="1">
      <c r="F670" s="49"/>
      <c r="H670" s="50"/>
      <c r="I670" s="51"/>
      <c r="J670" s="51"/>
      <c r="K670" s="51"/>
      <c r="L670" s="51"/>
      <c r="M670" s="52"/>
      <c r="N670" s="52"/>
      <c r="O670" s="52"/>
    </row>
    <row r="671" ht="15.75" customHeight="1">
      <c r="F671" s="49"/>
      <c r="H671" s="50"/>
      <c r="I671" s="51"/>
      <c r="J671" s="51"/>
      <c r="K671" s="51"/>
      <c r="L671" s="51"/>
      <c r="M671" s="52"/>
      <c r="N671" s="52"/>
      <c r="O671" s="52"/>
    </row>
    <row r="672" ht="15.75" customHeight="1">
      <c r="F672" s="49"/>
      <c r="H672" s="50"/>
      <c r="I672" s="51"/>
      <c r="J672" s="51"/>
      <c r="K672" s="51"/>
      <c r="L672" s="51"/>
      <c r="M672" s="52"/>
      <c r="N672" s="52"/>
      <c r="O672" s="52"/>
    </row>
    <row r="673" ht="15.75" customHeight="1">
      <c r="F673" s="49"/>
      <c r="H673" s="50"/>
      <c r="I673" s="51"/>
      <c r="J673" s="51"/>
      <c r="K673" s="51"/>
      <c r="L673" s="51"/>
      <c r="M673" s="52"/>
      <c r="N673" s="52"/>
      <c r="O673" s="52"/>
    </row>
    <row r="674" ht="15.75" customHeight="1">
      <c r="F674" s="49"/>
      <c r="H674" s="50"/>
      <c r="I674" s="51"/>
      <c r="J674" s="51"/>
      <c r="K674" s="51"/>
      <c r="L674" s="51"/>
      <c r="M674" s="52"/>
      <c r="N674" s="52"/>
      <c r="O674" s="52"/>
    </row>
    <row r="675" ht="15.75" customHeight="1">
      <c r="F675" s="49"/>
      <c r="H675" s="50"/>
      <c r="I675" s="51"/>
      <c r="J675" s="51"/>
      <c r="K675" s="51"/>
      <c r="L675" s="51"/>
      <c r="M675" s="52"/>
      <c r="N675" s="52"/>
      <c r="O675" s="52"/>
    </row>
    <row r="676" ht="15.75" customHeight="1">
      <c r="F676" s="49"/>
      <c r="H676" s="50"/>
      <c r="I676" s="51"/>
      <c r="J676" s="51"/>
      <c r="K676" s="51"/>
      <c r="L676" s="51"/>
      <c r="M676" s="52"/>
      <c r="N676" s="52"/>
      <c r="O676" s="52"/>
    </row>
    <row r="677" ht="15.75" customHeight="1">
      <c r="F677" s="49"/>
      <c r="H677" s="50"/>
      <c r="I677" s="51"/>
      <c r="J677" s="51"/>
      <c r="K677" s="51"/>
      <c r="L677" s="51"/>
      <c r="M677" s="52"/>
      <c r="N677" s="52"/>
      <c r="O677" s="52"/>
    </row>
    <row r="678" ht="15.75" customHeight="1">
      <c r="F678" s="49"/>
      <c r="H678" s="50"/>
      <c r="I678" s="51"/>
      <c r="J678" s="51"/>
      <c r="K678" s="51"/>
      <c r="L678" s="51"/>
      <c r="M678" s="52"/>
      <c r="N678" s="52"/>
      <c r="O678" s="52"/>
    </row>
    <row r="679" ht="15.75" customHeight="1">
      <c r="F679" s="49"/>
      <c r="H679" s="50"/>
      <c r="I679" s="51"/>
      <c r="J679" s="51"/>
      <c r="K679" s="51"/>
      <c r="L679" s="51"/>
      <c r="M679" s="52"/>
      <c r="N679" s="52"/>
      <c r="O679" s="52"/>
    </row>
    <row r="680" ht="15.75" customHeight="1">
      <c r="F680" s="49"/>
      <c r="H680" s="50"/>
      <c r="I680" s="51"/>
      <c r="J680" s="51"/>
      <c r="K680" s="51"/>
      <c r="L680" s="51"/>
      <c r="M680" s="52"/>
      <c r="N680" s="52"/>
      <c r="O680" s="52"/>
    </row>
    <row r="681" ht="15.75" customHeight="1">
      <c r="F681" s="49"/>
      <c r="H681" s="50"/>
      <c r="I681" s="51"/>
      <c r="J681" s="51"/>
      <c r="K681" s="51"/>
      <c r="L681" s="51"/>
      <c r="M681" s="52"/>
      <c r="N681" s="52"/>
      <c r="O681" s="52"/>
    </row>
    <row r="682" ht="15.75" customHeight="1">
      <c r="F682" s="49"/>
      <c r="H682" s="50"/>
      <c r="I682" s="51"/>
      <c r="J682" s="51"/>
      <c r="K682" s="51"/>
      <c r="L682" s="51"/>
      <c r="M682" s="52"/>
      <c r="N682" s="52"/>
      <c r="O682" s="52"/>
    </row>
    <row r="683" ht="15.75" customHeight="1">
      <c r="F683" s="49"/>
      <c r="H683" s="50"/>
      <c r="I683" s="51"/>
      <c r="J683" s="51"/>
      <c r="K683" s="51"/>
      <c r="L683" s="51"/>
      <c r="M683" s="52"/>
      <c r="N683" s="52"/>
      <c r="O683" s="52"/>
    </row>
    <row r="684" ht="15.75" customHeight="1">
      <c r="F684" s="49"/>
      <c r="H684" s="50"/>
      <c r="I684" s="51"/>
      <c r="J684" s="51"/>
      <c r="K684" s="51"/>
      <c r="L684" s="51"/>
      <c r="M684" s="52"/>
      <c r="N684" s="52"/>
      <c r="O684" s="52"/>
    </row>
    <row r="685" ht="15.75" customHeight="1">
      <c r="F685" s="49"/>
      <c r="H685" s="50"/>
      <c r="I685" s="51"/>
      <c r="J685" s="51"/>
      <c r="K685" s="51"/>
      <c r="L685" s="51"/>
      <c r="M685" s="52"/>
      <c r="N685" s="52"/>
      <c r="O685" s="52"/>
    </row>
    <row r="686" ht="15.75" customHeight="1">
      <c r="F686" s="49"/>
      <c r="H686" s="50"/>
      <c r="I686" s="51"/>
      <c r="J686" s="51"/>
      <c r="K686" s="51"/>
      <c r="L686" s="51"/>
      <c r="M686" s="52"/>
      <c r="N686" s="52"/>
      <c r="O686" s="52"/>
    </row>
    <row r="687" ht="15.75" customHeight="1">
      <c r="F687" s="49"/>
      <c r="H687" s="50"/>
      <c r="I687" s="51"/>
      <c r="J687" s="51"/>
      <c r="K687" s="51"/>
      <c r="L687" s="51"/>
      <c r="M687" s="52"/>
      <c r="N687" s="52"/>
      <c r="O687" s="52"/>
    </row>
    <row r="688" ht="15.75" customHeight="1">
      <c r="F688" s="49"/>
      <c r="H688" s="50"/>
      <c r="I688" s="51"/>
      <c r="J688" s="51"/>
      <c r="K688" s="51"/>
      <c r="L688" s="51"/>
      <c r="M688" s="52"/>
      <c r="N688" s="52"/>
      <c r="O688" s="52"/>
    </row>
    <row r="689" ht="15.75" customHeight="1">
      <c r="F689" s="49"/>
      <c r="H689" s="50"/>
      <c r="I689" s="51"/>
      <c r="J689" s="51"/>
      <c r="K689" s="51"/>
      <c r="L689" s="51"/>
      <c r="M689" s="52"/>
      <c r="N689" s="52"/>
      <c r="O689" s="52"/>
    </row>
    <row r="690" ht="15.75" customHeight="1">
      <c r="F690" s="49"/>
      <c r="H690" s="50"/>
      <c r="I690" s="51"/>
      <c r="J690" s="51"/>
      <c r="K690" s="51"/>
      <c r="L690" s="51"/>
      <c r="M690" s="52"/>
      <c r="N690" s="52"/>
      <c r="O690" s="52"/>
    </row>
    <row r="691" ht="15.75" customHeight="1">
      <c r="F691" s="49"/>
      <c r="H691" s="50"/>
      <c r="I691" s="51"/>
      <c r="J691" s="51"/>
      <c r="K691" s="51"/>
      <c r="L691" s="51"/>
      <c r="M691" s="52"/>
      <c r="N691" s="52"/>
      <c r="O691" s="52"/>
    </row>
    <row r="692" ht="15.75" customHeight="1">
      <c r="F692" s="49"/>
      <c r="H692" s="50"/>
      <c r="I692" s="51"/>
      <c r="J692" s="51"/>
      <c r="K692" s="51"/>
      <c r="L692" s="51"/>
      <c r="M692" s="52"/>
      <c r="N692" s="52"/>
      <c r="O692" s="52"/>
    </row>
    <row r="693" ht="15.75" customHeight="1">
      <c r="F693" s="49"/>
      <c r="H693" s="50"/>
      <c r="I693" s="51"/>
      <c r="J693" s="51"/>
      <c r="K693" s="51"/>
      <c r="L693" s="51"/>
      <c r="M693" s="52"/>
      <c r="N693" s="52"/>
      <c r="O693" s="52"/>
    </row>
    <row r="694" ht="15.75" customHeight="1">
      <c r="F694" s="49"/>
      <c r="H694" s="50"/>
      <c r="I694" s="51"/>
      <c r="J694" s="51"/>
      <c r="K694" s="51"/>
      <c r="L694" s="51"/>
      <c r="M694" s="52"/>
      <c r="N694" s="52"/>
      <c r="O694" s="52"/>
    </row>
    <row r="695" ht="15.75" customHeight="1">
      <c r="F695" s="49"/>
      <c r="H695" s="50"/>
      <c r="I695" s="51"/>
      <c r="J695" s="51"/>
      <c r="K695" s="51"/>
      <c r="L695" s="51"/>
      <c r="M695" s="52"/>
      <c r="N695" s="52"/>
      <c r="O695" s="52"/>
    </row>
    <row r="696" ht="15.75" customHeight="1">
      <c r="F696" s="49"/>
      <c r="H696" s="50"/>
      <c r="I696" s="51"/>
      <c r="J696" s="51"/>
      <c r="K696" s="51"/>
      <c r="L696" s="51"/>
      <c r="M696" s="52"/>
      <c r="N696" s="52"/>
      <c r="O696" s="52"/>
    </row>
    <row r="697" ht="15.75" customHeight="1">
      <c r="F697" s="49"/>
      <c r="H697" s="50"/>
      <c r="I697" s="51"/>
      <c r="J697" s="51"/>
      <c r="K697" s="51"/>
      <c r="L697" s="51"/>
      <c r="M697" s="52"/>
      <c r="N697" s="52"/>
      <c r="O697" s="52"/>
    </row>
    <row r="698" ht="15.75" customHeight="1">
      <c r="F698" s="49"/>
      <c r="H698" s="50"/>
      <c r="I698" s="51"/>
      <c r="J698" s="51"/>
      <c r="K698" s="51"/>
      <c r="L698" s="51"/>
      <c r="M698" s="52"/>
      <c r="N698" s="52"/>
      <c r="O698" s="52"/>
    </row>
    <row r="699" ht="15.75" customHeight="1">
      <c r="F699" s="49"/>
      <c r="H699" s="50"/>
      <c r="I699" s="51"/>
      <c r="J699" s="51"/>
      <c r="K699" s="51"/>
      <c r="L699" s="51"/>
      <c r="M699" s="52"/>
      <c r="N699" s="52"/>
      <c r="O699" s="52"/>
    </row>
    <row r="700" ht="15.75" customHeight="1">
      <c r="F700" s="49"/>
      <c r="H700" s="50"/>
      <c r="I700" s="51"/>
      <c r="J700" s="51"/>
      <c r="K700" s="51"/>
      <c r="L700" s="51"/>
      <c r="M700" s="52"/>
      <c r="N700" s="52"/>
      <c r="O700" s="52"/>
    </row>
    <row r="701" ht="15.75" customHeight="1">
      <c r="F701" s="49"/>
      <c r="H701" s="50"/>
      <c r="I701" s="51"/>
      <c r="J701" s="51"/>
      <c r="K701" s="51"/>
      <c r="L701" s="51"/>
      <c r="M701" s="52"/>
      <c r="N701" s="52"/>
      <c r="O701" s="52"/>
    </row>
    <row r="702" ht="15.75" customHeight="1">
      <c r="F702" s="49"/>
      <c r="H702" s="50"/>
      <c r="I702" s="51"/>
      <c r="J702" s="51"/>
      <c r="K702" s="51"/>
      <c r="L702" s="51"/>
      <c r="M702" s="52"/>
      <c r="N702" s="52"/>
      <c r="O702" s="52"/>
    </row>
    <row r="703" ht="15.75" customHeight="1">
      <c r="F703" s="49"/>
      <c r="H703" s="50"/>
      <c r="I703" s="51"/>
      <c r="J703" s="51"/>
      <c r="K703" s="51"/>
      <c r="L703" s="51"/>
      <c r="M703" s="52"/>
      <c r="N703" s="52"/>
      <c r="O703" s="52"/>
    </row>
    <row r="704" ht="15.75" customHeight="1">
      <c r="F704" s="49"/>
      <c r="H704" s="50"/>
      <c r="I704" s="51"/>
      <c r="J704" s="51"/>
      <c r="K704" s="51"/>
      <c r="L704" s="51"/>
      <c r="M704" s="52"/>
      <c r="N704" s="52"/>
      <c r="O704" s="52"/>
    </row>
    <row r="705" ht="15.75" customHeight="1">
      <c r="F705" s="49"/>
      <c r="H705" s="50"/>
      <c r="I705" s="51"/>
      <c r="J705" s="51"/>
      <c r="K705" s="51"/>
      <c r="L705" s="51"/>
      <c r="M705" s="52"/>
      <c r="N705" s="52"/>
      <c r="O705" s="52"/>
    </row>
    <row r="706" ht="15.75" customHeight="1">
      <c r="F706" s="49"/>
      <c r="H706" s="50"/>
      <c r="I706" s="51"/>
      <c r="J706" s="51"/>
      <c r="K706" s="51"/>
      <c r="L706" s="51"/>
      <c r="M706" s="52"/>
      <c r="N706" s="52"/>
      <c r="O706" s="52"/>
    </row>
    <row r="707" ht="15.75" customHeight="1">
      <c r="F707" s="49"/>
      <c r="H707" s="50"/>
      <c r="I707" s="51"/>
      <c r="J707" s="51"/>
      <c r="K707" s="51"/>
      <c r="L707" s="51"/>
      <c r="M707" s="52"/>
      <c r="N707" s="52"/>
      <c r="O707" s="52"/>
    </row>
    <row r="708" ht="15.75" customHeight="1">
      <c r="F708" s="49"/>
      <c r="H708" s="50"/>
      <c r="I708" s="51"/>
      <c r="J708" s="51"/>
      <c r="K708" s="51"/>
      <c r="L708" s="51"/>
      <c r="M708" s="52"/>
      <c r="N708" s="52"/>
      <c r="O708" s="52"/>
    </row>
    <row r="709" ht="15.75" customHeight="1">
      <c r="F709" s="49"/>
      <c r="H709" s="50"/>
      <c r="I709" s="51"/>
      <c r="J709" s="51"/>
      <c r="K709" s="51"/>
      <c r="L709" s="51"/>
      <c r="M709" s="52"/>
      <c r="N709" s="52"/>
      <c r="O709" s="52"/>
    </row>
    <row r="710" ht="15.75" customHeight="1">
      <c r="F710" s="49"/>
      <c r="H710" s="50"/>
      <c r="I710" s="51"/>
      <c r="J710" s="51"/>
      <c r="K710" s="51"/>
      <c r="L710" s="51"/>
      <c r="M710" s="52"/>
      <c r="N710" s="52"/>
      <c r="O710" s="52"/>
    </row>
    <row r="711" ht="15.75" customHeight="1">
      <c r="F711" s="49"/>
      <c r="H711" s="50"/>
      <c r="I711" s="51"/>
      <c r="J711" s="51"/>
      <c r="K711" s="51"/>
      <c r="L711" s="51"/>
      <c r="M711" s="52"/>
      <c r="N711" s="52"/>
      <c r="O711" s="52"/>
    </row>
    <row r="712" ht="15.75" customHeight="1">
      <c r="F712" s="49"/>
      <c r="H712" s="50"/>
      <c r="I712" s="51"/>
      <c r="J712" s="51"/>
      <c r="K712" s="51"/>
      <c r="L712" s="51"/>
      <c r="M712" s="52"/>
      <c r="N712" s="52"/>
      <c r="O712" s="52"/>
    </row>
    <row r="713" ht="15.75" customHeight="1">
      <c r="F713" s="49"/>
      <c r="H713" s="50"/>
      <c r="I713" s="51"/>
      <c r="J713" s="51"/>
      <c r="K713" s="51"/>
      <c r="L713" s="51"/>
      <c r="M713" s="52"/>
      <c r="N713" s="52"/>
      <c r="O713" s="52"/>
    </row>
    <row r="714" ht="15.75" customHeight="1">
      <c r="F714" s="49"/>
      <c r="H714" s="50"/>
      <c r="I714" s="51"/>
      <c r="J714" s="51"/>
      <c r="K714" s="51"/>
      <c r="L714" s="51"/>
      <c r="M714" s="52"/>
      <c r="N714" s="52"/>
      <c r="O714" s="52"/>
    </row>
    <row r="715" ht="15.75" customHeight="1">
      <c r="F715" s="49"/>
      <c r="H715" s="50"/>
      <c r="I715" s="51"/>
      <c r="J715" s="51"/>
      <c r="K715" s="51"/>
      <c r="L715" s="51"/>
      <c r="M715" s="52"/>
      <c r="N715" s="52"/>
      <c r="O715" s="52"/>
    </row>
    <row r="716" ht="15.75" customHeight="1">
      <c r="F716" s="49"/>
      <c r="H716" s="50"/>
      <c r="I716" s="51"/>
      <c r="J716" s="51"/>
      <c r="K716" s="51"/>
      <c r="L716" s="51"/>
      <c r="M716" s="52"/>
      <c r="N716" s="52"/>
      <c r="O716" s="52"/>
    </row>
    <row r="717" ht="15.75" customHeight="1">
      <c r="F717" s="49"/>
      <c r="H717" s="50"/>
      <c r="I717" s="51"/>
      <c r="J717" s="51"/>
      <c r="K717" s="51"/>
      <c r="L717" s="51"/>
      <c r="M717" s="52"/>
      <c r="N717" s="52"/>
      <c r="O717" s="52"/>
    </row>
    <row r="718" ht="15.75" customHeight="1">
      <c r="F718" s="49"/>
      <c r="H718" s="50"/>
      <c r="I718" s="51"/>
      <c r="J718" s="51"/>
      <c r="K718" s="51"/>
      <c r="L718" s="51"/>
      <c r="M718" s="52"/>
      <c r="N718" s="52"/>
      <c r="O718" s="52"/>
    </row>
    <row r="719" ht="15.75" customHeight="1">
      <c r="F719" s="49"/>
      <c r="H719" s="50"/>
      <c r="I719" s="51"/>
      <c r="J719" s="51"/>
      <c r="K719" s="51"/>
      <c r="L719" s="51"/>
      <c r="M719" s="52"/>
      <c r="N719" s="52"/>
      <c r="O719" s="52"/>
    </row>
    <row r="720" ht="15.75" customHeight="1">
      <c r="F720" s="49"/>
      <c r="H720" s="50"/>
      <c r="I720" s="51"/>
      <c r="J720" s="51"/>
      <c r="K720" s="51"/>
      <c r="L720" s="51"/>
      <c r="M720" s="52"/>
      <c r="N720" s="52"/>
      <c r="O720" s="52"/>
    </row>
    <row r="721" ht="15.75" customHeight="1">
      <c r="F721" s="49"/>
      <c r="H721" s="50"/>
      <c r="I721" s="51"/>
      <c r="J721" s="51"/>
      <c r="K721" s="51"/>
      <c r="L721" s="51"/>
      <c r="M721" s="52"/>
      <c r="N721" s="52"/>
      <c r="O721" s="52"/>
    </row>
    <row r="722" ht="15.75" customHeight="1">
      <c r="F722" s="49"/>
      <c r="H722" s="50"/>
      <c r="I722" s="51"/>
      <c r="J722" s="51"/>
      <c r="K722" s="51"/>
      <c r="L722" s="51"/>
      <c r="M722" s="52"/>
      <c r="N722" s="52"/>
      <c r="O722" s="52"/>
    </row>
    <row r="723" ht="15.75" customHeight="1">
      <c r="F723" s="49"/>
      <c r="H723" s="50"/>
      <c r="I723" s="51"/>
      <c r="J723" s="51"/>
      <c r="K723" s="51"/>
      <c r="L723" s="51"/>
      <c r="M723" s="52"/>
      <c r="N723" s="52"/>
      <c r="O723" s="52"/>
    </row>
    <row r="724" ht="15.75" customHeight="1">
      <c r="F724" s="49"/>
      <c r="H724" s="50"/>
      <c r="I724" s="51"/>
      <c r="J724" s="51"/>
      <c r="K724" s="51"/>
      <c r="L724" s="51"/>
      <c r="M724" s="52"/>
      <c r="N724" s="52"/>
      <c r="O724" s="52"/>
    </row>
    <row r="725" ht="15.75" customHeight="1">
      <c r="F725" s="49"/>
      <c r="H725" s="50"/>
      <c r="I725" s="51"/>
      <c r="J725" s="51"/>
      <c r="K725" s="51"/>
      <c r="L725" s="51"/>
      <c r="M725" s="52"/>
      <c r="N725" s="52"/>
      <c r="O725" s="52"/>
    </row>
    <row r="726" ht="15.75" customHeight="1">
      <c r="F726" s="49"/>
      <c r="H726" s="50"/>
      <c r="I726" s="51"/>
      <c r="J726" s="51"/>
      <c r="K726" s="51"/>
      <c r="L726" s="51"/>
      <c r="M726" s="52"/>
      <c r="N726" s="52"/>
      <c r="O726" s="52"/>
    </row>
    <row r="727" ht="15.75" customHeight="1">
      <c r="F727" s="49"/>
      <c r="H727" s="50"/>
      <c r="I727" s="51"/>
      <c r="J727" s="51"/>
      <c r="K727" s="51"/>
      <c r="L727" s="51"/>
      <c r="M727" s="52"/>
      <c r="N727" s="52"/>
      <c r="O727" s="52"/>
    </row>
    <row r="728" ht="15.75" customHeight="1">
      <c r="F728" s="49"/>
      <c r="H728" s="50"/>
      <c r="I728" s="51"/>
      <c r="J728" s="51"/>
      <c r="K728" s="51"/>
      <c r="L728" s="51"/>
      <c r="M728" s="52"/>
      <c r="N728" s="52"/>
      <c r="O728" s="52"/>
    </row>
    <row r="729" ht="15.75" customHeight="1">
      <c r="F729" s="49"/>
      <c r="H729" s="50"/>
      <c r="I729" s="51"/>
      <c r="J729" s="51"/>
      <c r="K729" s="51"/>
      <c r="L729" s="51"/>
      <c r="M729" s="52"/>
      <c r="N729" s="52"/>
      <c r="O729" s="52"/>
    </row>
    <row r="730" ht="15.75" customHeight="1">
      <c r="F730" s="49"/>
      <c r="H730" s="50"/>
      <c r="I730" s="51"/>
      <c r="J730" s="51"/>
      <c r="K730" s="51"/>
      <c r="L730" s="51"/>
      <c r="M730" s="52"/>
      <c r="N730" s="52"/>
      <c r="O730" s="52"/>
    </row>
    <row r="731" ht="15.75" customHeight="1">
      <c r="F731" s="49"/>
      <c r="H731" s="50"/>
      <c r="I731" s="51"/>
      <c r="J731" s="51"/>
      <c r="K731" s="51"/>
      <c r="L731" s="51"/>
      <c r="M731" s="52"/>
      <c r="N731" s="52"/>
      <c r="O731" s="52"/>
    </row>
    <row r="732" ht="15.75" customHeight="1">
      <c r="F732" s="49"/>
      <c r="H732" s="50"/>
      <c r="I732" s="51"/>
      <c r="J732" s="51"/>
      <c r="K732" s="51"/>
      <c r="L732" s="51"/>
      <c r="M732" s="52"/>
      <c r="N732" s="52"/>
      <c r="O732" s="52"/>
    </row>
    <row r="733" ht="15.75" customHeight="1">
      <c r="F733" s="49"/>
      <c r="H733" s="50"/>
      <c r="I733" s="51"/>
      <c r="J733" s="51"/>
      <c r="K733" s="51"/>
      <c r="L733" s="51"/>
      <c r="M733" s="52"/>
      <c r="N733" s="52"/>
      <c r="O733" s="52"/>
    </row>
    <row r="734" ht="15.75" customHeight="1">
      <c r="F734" s="49"/>
      <c r="H734" s="50"/>
      <c r="I734" s="51"/>
      <c r="J734" s="51"/>
      <c r="K734" s="51"/>
      <c r="L734" s="51"/>
      <c r="M734" s="52"/>
      <c r="N734" s="52"/>
      <c r="O734" s="52"/>
    </row>
    <row r="735" ht="15.75" customHeight="1">
      <c r="F735" s="49"/>
      <c r="H735" s="50"/>
      <c r="I735" s="51"/>
      <c r="J735" s="51"/>
      <c r="K735" s="51"/>
      <c r="L735" s="51"/>
      <c r="M735" s="52"/>
      <c r="N735" s="52"/>
      <c r="O735" s="52"/>
    </row>
    <row r="736" ht="15.75" customHeight="1">
      <c r="F736" s="49"/>
      <c r="H736" s="50"/>
      <c r="I736" s="51"/>
      <c r="J736" s="51"/>
      <c r="K736" s="51"/>
      <c r="L736" s="51"/>
      <c r="M736" s="52"/>
      <c r="N736" s="52"/>
      <c r="O736" s="52"/>
    </row>
    <row r="737" ht="15.75" customHeight="1">
      <c r="F737" s="49"/>
      <c r="H737" s="50"/>
      <c r="I737" s="51"/>
      <c r="J737" s="51"/>
      <c r="K737" s="51"/>
      <c r="L737" s="51"/>
      <c r="M737" s="52"/>
      <c r="N737" s="52"/>
      <c r="O737" s="52"/>
    </row>
    <row r="738" ht="15.75" customHeight="1">
      <c r="F738" s="49"/>
      <c r="H738" s="50"/>
      <c r="I738" s="51"/>
      <c r="J738" s="51"/>
      <c r="K738" s="51"/>
      <c r="L738" s="51"/>
      <c r="M738" s="52"/>
      <c r="N738" s="52"/>
      <c r="O738" s="52"/>
    </row>
    <row r="739" ht="15.75" customHeight="1">
      <c r="F739" s="49"/>
      <c r="H739" s="50"/>
      <c r="I739" s="51"/>
      <c r="J739" s="51"/>
      <c r="K739" s="51"/>
      <c r="L739" s="51"/>
      <c r="M739" s="52"/>
      <c r="N739" s="52"/>
      <c r="O739" s="52"/>
    </row>
    <row r="740" ht="15.75" customHeight="1">
      <c r="F740" s="49"/>
      <c r="H740" s="50"/>
      <c r="I740" s="51"/>
      <c r="J740" s="51"/>
      <c r="K740" s="51"/>
      <c r="L740" s="51"/>
      <c r="M740" s="52"/>
      <c r="N740" s="52"/>
      <c r="O740" s="52"/>
    </row>
    <row r="741" ht="15.75" customHeight="1">
      <c r="F741" s="49"/>
      <c r="H741" s="50"/>
      <c r="I741" s="51"/>
      <c r="J741" s="51"/>
      <c r="K741" s="51"/>
      <c r="L741" s="51"/>
      <c r="M741" s="52"/>
      <c r="N741" s="52"/>
      <c r="O741" s="52"/>
    </row>
    <row r="742" ht="15.75" customHeight="1">
      <c r="F742" s="49"/>
      <c r="H742" s="50"/>
      <c r="I742" s="51"/>
      <c r="J742" s="51"/>
      <c r="K742" s="51"/>
      <c r="L742" s="51"/>
      <c r="M742" s="52"/>
      <c r="N742" s="52"/>
      <c r="O742" s="52"/>
    </row>
    <row r="743" ht="15.75" customHeight="1">
      <c r="F743" s="49"/>
      <c r="H743" s="50"/>
      <c r="I743" s="51"/>
      <c r="J743" s="51"/>
      <c r="K743" s="51"/>
      <c r="L743" s="51"/>
      <c r="M743" s="52"/>
      <c r="N743" s="52"/>
      <c r="O743" s="52"/>
    </row>
    <row r="744" ht="15.75" customHeight="1">
      <c r="F744" s="49"/>
      <c r="H744" s="50"/>
      <c r="I744" s="51"/>
      <c r="J744" s="51"/>
      <c r="K744" s="51"/>
      <c r="L744" s="51"/>
      <c r="M744" s="52"/>
      <c r="N744" s="52"/>
      <c r="O744" s="52"/>
    </row>
    <row r="745" ht="15.75" customHeight="1">
      <c r="F745" s="49"/>
      <c r="H745" s="50"/>
      <c r="I745" s="51"/>
      <c r="J745" s="51"/>
      <c r="K745" s="51"/>
      <c r="L745" s="51"/>
      <c r="M745" s="52"/>
      <c r="N745" s="52"/>
      <c r="O745" s="52"/>
    </row>
    <row r="746" ht="15.75" customHeight="1">
      <c r="F746" s="49"/>
      <c r="H746" s="50"/>
      <c r="I746" s="51"/>
      <c r="J746" s="51"/>
      <c r="K746" s="51"/>
      <c r="L746" s="51"/>
      <c r="M746" s="52"/>
      <c r="N746" s="52"/>
      <c r="O746" s="52"/>
    </row>
    <row r="747" ht="15.75" customHeight="1">
      <c r="F747" s="49"/>
      <c r="H747" s="50"/>
      <c r="I747" s="51"/>
      <c r="J747" s="51"/>
      <c r="K747" s="51"/>
      <c r="L747" s="51"/>
      <c r="M747" s="52"/>
      <c r="N747" s="52"/>
      <c r="O747" s="52"/>
    </row>
    <row r="748" ht="15.75" customHeight="1">
      <c r="F748" s="49"/>
      <c r="H748" s="50"/>
      <c r="I748" s="51"/>
      <c r="J748" s="51"/>
      <c r="K748" s="51"/>
      <c r="L748" s="51"/>
      <c r="M748" s="52"/>
      <c r="N748" s="52"/>
      <c r="O748" s="52"/>
    </row>
    <row r="749" ht="15.75" customHeight="1">
      <c r="F749" s="49"/>
      <c r="H749" s="50"/>
      <c r="I749" s="51"/>
      <c r="J749" s="51"/>
      <c r="K749" s="51"/>
      <c r="L749" s="51"/>
      <c r="M749" s="52"/>
      <c r="N749" s="52"/>
      <c r="O749" s="52"/>
    </row>
    <row r="750" ht="15.75" customHeight="1">
      <c r="F750" s="49"/>
      <c r="H750" s="50"/>
      <c r="I750" s="51"/>
      <c r="J750" s="51"/>
      <c r="K750" s="51"/>
      <c r="L750" s="51"/>
      <c r="M750" s="52"/>
      <c r="N750" s="52"/>
      <c r="O750" s="52"/>
    </row>
    <row r="751" ht="15.75" customHeight="1">
      <c r="F751" s="49"/>
      <c r="H751" s="50"/>
      <c r="I751" s="51"/>
      <c r="J751" s="51"/>
      <c r="K751" s="51"/>
      <c r="L751" s="51"/>
      <c r="M751" s="52"/>
      <c r="N751" s="52"/>
      <c r="O751" s="52"/>
    </row>
    <row r="752" ht="15.75" customHeight="1">
      <c r="F752" s="49"/>
      <c r="H752" s="50"/>
      <c r="I752" s="51"/>
      <c r="J752" s="51"/>
      <c r="K752" s="51"/>
      <c r="L752" s="51"/>
      <c r="M752" s="52"/>
      <c r="N752" s="52"/>
      <c r="O752" s="52"/>
    </row>
    <row r="753" ht="15.75" customHeight="1">
      <c r="F753" s="49"/>
      <c r="H753" s="50"/>
      <c r="I753" s="51"/>
      <c r="J753" s="51"/>
      <c r="K753" s="51"/>
      <c r="L753" s="51"/>
      <c r="M753" s="52"/>
      <c r="N753" s="52"/>
      <c r="O753" s="52"/>
    </row>
    <row r="754" ht="15.75" customHeight="1">
      <c r="F754" s="49"/>
      <c r="H754" s="50"/>
      <c r="I754" s="51"/>
      <c r="J754" s="51"/>
      <c r="K754" s="51"/>
      <c r="L754" s="51"/>
      <c r="M754" s="52"/>
      <c r="N754" s="52"/>
      <c r="O754" s="52"/>
    </row>
    <row r="755" ht="15.75" customHeight="1">
      <c r="F755" s="49"/>
      <c r="H755" s="50"/>
      <c r="I755" s="51"/>
      <c r="J755" s="51"/>
      <c r="K755" s="51"/>
      <c r="L755" s="51"/>
      <c r="M755" s="52"/>
      <c r="N755" s="52"/>
      <c r="O755" s="52"/>
    </row>
    <row r="756" ht="15.75" customHeight="1">
      <c r="F756" s="49"/>
      <c r="H756" s="50"/>
      <c r="I756" s="51"/>
      <c r="J756" s="51"/>
      <c r="K756" s="51"/>
      <c r="L756" s="51"/>
      <c r="M756" s="52"/>
      <c r="N756" s="52"/>
      <c r="O756" s="52"/>
    </row>
    <row r="757" ht="15.75" customHeight="1">
      <c r="F757" s="49"/>
      <c r="H757" s="50"/>
      <c r="I757" s="51"/>
      <c r="J757" s="51"/>
      <c r="K757" s="51"/>
      <c r="L757" s="51"/>
      <c r="M757" s="52"/>
      <c r="N757" s="52"/>
      <c r="O757" s="52"/>
    </row>
    <row r="758" ht="15.75" customHeight="1">
      <c r="F758" s="49"/>
      <c r="H758" s="50"/>
      <c r="I758" s="51"/>
      <c r="J758" s="51"/>
      <c r="K758" s="51"/>
      <c r="L758" s="51"/>
      <c r="M758" s="52"/>
      <c r="N758" s="52"/>
      <c r="O758" s="52"/>
    </row>
    <row r="759" ht="15.75" customHeight="1">
      <c r="F759" s="49"/>
      <c r="H759" s="50"/>
      <c r="I759" s="51"/>
      <c r="J759" s="51"/>
      <c r="K759" s="51"/>
      <c r="L759" s="51"/>
      <c r="M759" s="52"/>
      <c r="N759" s="52"/>
      <c r="O759" s="52"/>
    </row>
    <row r="760" ht="15.75" customHeight="1">
      <c r="F760" s="49"/>
      <c r="H760" s="50"/>
      <c r="I760" s="51"/>
      <c r="J760" s="51"/>
      <c r="K760" s="51"/>
      <c r="L760" s="51"/>
      <c r="M760" s="52"/>
      <c r="N760" s="52"/>
      <c r="O760" s="52"/>
    </row>
    <row r="761" ht="15.75" customHeight="1">
      <c r="F761" s="49"/>
      <c r="H761" s="50"/>
      <c r="I761" s="51"/>
      <c r="J761" s="51"/>
      <c r="K761" s="51"/>
      <c r="L761" s="51"/>
      <c r="M761" s="52"/>
      <c r="N761" s="52"/>
      <c r="O761" s="52"/>
    </row>
    <row r="762" ht="15.75" customHeight="1">
      <c r="F762" s="49"/>
      <c r="H762" s="50"/>
      <c r="I762" s="51"/>
      <c r="J762" s="51"/>
      <c r="K762" s="51"/>
      <c r="L762" s="51"/>
      <c r="M762" s="52"/>
      <c r="N762" s="52"/>
      <c r="O762" s="52"/>
    </row>
    <row r="763" ht="15.75" customHeight="1">
      <c r="F763" s="49"/>
      <c r="H763" s="50"/>
      <c r="I763" s="51"/>
      <c r="J763" s="51"/>
      <c r="K763" s="51"/>
      <c r="L763" s="51"/>
      <c r="M763" s="52"/>
      <c r="N763" s="52"/>
      <c r="O763" s="52"/>
    </row>
    <row r="764" ht="15.75" customHeight="1">
      <c r="F764" s="49"/>
      <c r="H764" s="50"/>
      <c r="I764" s="51"/>
      <c r="J764" s="51"/>
      <c r="K764" s="51"/>
      <c r="L764" s="51"/>
      <c r="M764" s="52"/>
      <c r="N764" s="52"/>
      <c r="O764" s="52"/>
    </row>
    <row r="765" ht="15.75" customHeight="1">
      <c r="F765" s="49"/>
      <c r="H765" s="50"/>
      <c r="I765" s="51"/>
      <c r="J765" s="51"/>
      <c r="K765" s="51"/>
      <c r="L765" s="51"/>
      <c r="M765" s="52"/>
      <c r="N765" s="52"/>
      <c r="O765" s="52"/>
    </row>
    <row r="766" ht="15.75" customHeight="1">
      <c r="F766" s="49"/>
      <c r="H766" s="50"/>
      <c r="I766" s="51"/>
      <c r="J766" s="51"/>
      <c r="K766" s="51"/>
      <c r="L766" s="51"/>
      <c r="M766" s="52"/>
      <c r="N766" s="52"/>
      <c r="O766" s="52"/>
    </row>
    <row r="767" ht="15.75" customHeight="1">
      <c r="F767" s="49"/>
      <c r="H767" s="50"/>
      <c r="I767" s="51"/>
      <c r="J767" s="51"/>
      <c r="K767" s="51"/>
      <c r="L767" s="51"/>
      <c r="M767" s="52"/>
      <c r="N767" s="52"/>
      <c r="O767" s="52"/>
    </row>
    <row r="768" ht="15.75" customHeight="1">
      <c r="F768" s="49"/>
      <c r="H768" s="50"/>
      <c r="I768" s="51"/>
      <c r="J768" s="51"/>
      <c r="K768" s="51"/>
      <c r="L768" s="51"/>
      <c r="M768" s="52"/>
      <c r="N768" s="52"/>
      <c r="O768" s="52"/>
    </row>
    <row r="769" ht="15.75" customHeight="1">
      <c r="F769" s="49"/>
      <c r="H769" s="50"/>
      <c r="I769" s="51"/>
      <c r="J769" s="51"/>
      <c r="K769" s="51"/>
      <c r="L769" s="51"/>
      <c r="M769" s="52"/>
      <c r="N769" s="52"/>
      <c r="O769" s="52"/>
    </row>
    <row r="770" ht="15.75" customHeight="1">
      <c r="F770" s="49"/>
      <c r="H770" s="50"/>
      <c r="I770" s="51"/>
      <c r="J770" s="51"/>
      <c r="K770" s="51"/>
      <c r="L770" s="51"/>
      <c r="M770" s="52"/>
      <c r="N770" s="52"/>
      <c r="O770" s="52"/>
    </row>
    <row r="771" ht="15.75" customHeight="1">
      <c r="F771" s="49"/>
      <c r="H771" s="50"/>
      <c r="I771" s="51"/>
      <c r="J771" s="51"/>
      <c r="K771" s="51"/>
      <c r="L771" s="51"/>
      <c r="M771" s="52"/>
      <c r="N771" s="52"/>
      <c r="O771" s="52"/>
    </row>
    <row r="772" ht="15.75" customHeight="1">
      <c r="F772" s="49"/>
      <c r="H772" s="50"/>
      <c r="I772" s="51"/>
      <c r="J772" s="51"/>
      <c r="K772" s="51"/>
      <c r="L772" s="51"/>
      <c r="M772" s="52"/>
      <c r="N772" s="52"/>
      <c r="O772" s="52"/>
    </row>
    <row r="773" ht="15.75" customHeight="1">
      <c r="F773" s="49"/>
      <c r="H773" s="50"/>
      <c r="I773" s="51"/>
      <c r="J773" s="51"/>
      <c r="K773" s="51"/>
      <c r="L773" s="51"/>
      <c r="M773" s="52"/>
      <c r="N773" s="52"/>
      <c r="O773" s="52"/>
    </row>
    <row r="774" ht="15.75" customHeight="1">
      <c r="F774" s="49"/>
      <c r="H774" s="50"/>
      <c r="I774" s="51"/>
      <c r="J774" s="51"/>
      <c r="K774" s="51"/>
      <c r="L774" s="51"/>
      <c r="M774" s="52"/>
      <c r="N774" s="52"/>
      <c r="O774" s="52"/>
    </row>
    <row r="775" ht="15.75" customHeight="1">
      <c r="F775" s="49"/>
      <c r="H775" s="50"/>
      <c r="I775" s="51"/>
      <c r="J775" s="51"/>
      <c r="K775" s="51"/>
      <c r="L775" s="51"/>
      <c r="M775" s="52"/>
      <c r="N775" s="52"/>
      <c r="O775" s="52"/>
    </row>
    <row r="776" ht="15.75" customHeight="1">
      <c r="F776" s="49"/>
      <c r="H776" s="50"/>
      <c r="I776" s="51"/>
      <c r="J776" s="51"/>
      <c r="K776" s="51"/>
      <c r="L776" s="51"/>
      <c r="M776" s="52"/>
      <c r="N776" s="52"/>
      <c r="O776" s="52"/>
    </row>
    <row r="777" ht="15.75" customHeight="1">
      <c r="F777" s="49"/>
      <c r="H777" s="50"/>
      <c r="I777" s="51"/>
      <c r="J777" s="51"/>
      <c r="K777" s="51"/>
      <c r="L777" s="51"/>
      <c r="M777" s="52"/>
      <c r="N777" s="52"/>
      <c r="O777" s="52"/>
    </row>
    <row r="778" ht="15.75" customHeight="1">
      <c r="F778" s="49"/>
      <c r="H778" s="50"/>
      <c r="I778" s="51"/>
      <c r="J778" s="51"/>
      <c r="K778" s="51"/>
      <c r="L778" s="51"/>
      <c r="M778" s="52"/>
      <c r="N778" s="52"/>
      <c r="O778" s="52"/>
    </row>
    <row r="779" ht="15.75" customHeight="1">
      <c r="F779" s="49"/>
      <c r="H779" s="50"/>
      <c r="I779" s="51"/>
      <c r="J779" s="51"/>
      <c r="K779" s="51"/>
      <c r="L779" s="51"/>
      <c r="M779" s="52"/>
      <c r="N779" s="52"/>
      <c r="O779" s="52"/>
    </row>
    <row r="780" ht="15.75" customHeight="1">
      <c r="F780" s="49"/>
      <c r="H780" s="50"/>
      <c r="I780" s="51"/>
      <c r="J780" s="51"/>
      <c r="K780" s="51"/>
      <c r="L780" s="51"/>
      <c r="M780" s="52"/>
      <c r="N780" s="52"/>
      <c r="O780" s="52"/>
    </row>
    <row r="781" ht="15.75" customHeight="1">
      <c r="F781" s="49"/>
      <c r="H781" s="50"/>
      <c r="I781" s="51"/>
      <c r="J781" s="51"/>
      <c r="K781" s="51"/>
      <c r="L781" s="51"/>
      <c r="M781" s="52"/>
      <c r="N781" s="52"/>
      <c r="O781" s="52"/>
    </row>
    <row r="782" ht="15.75" customHeight="1">
      <c r="F782" s="49"/>
      <c r="H782" s="50"/>
      <c r="I782" s="51"/>
      <c r="J782" s="51"/>
      <c r="K782" s="51"/>
      <c r="L782" s="51"/>
      <c r="M782" s="52"/>
      <c r="N782" s="52"/>
      <c r="O782" s="52"/>
    </row>
    <row r="783" ht="15.75" customHeight="1">
      <c r="F783" s="49"/>
      <c r="H783" s="50"/>
      <c r="I783" s="51"/>
      <c r="J783" s="51"/>
      <c r="K783" s="51"/>
      <c r="L783" s="51"/>
      <c r="M783" s="52"/>
      <c r="N783" s="52"/>
      <c r="O783" s="52"/>
    </row>
    <row r="784" ht="15.75" customHeight="1">
      <c r="F784" s="49"/>
      <c r="H784" s="50"/>
      <c r="I784" s="51"/>
      <c r="J784" s="51"/>
      <c r="K784" s="51"/>
      <c r="L784" s="51"/>
      <c r="M784" s="52"/>
      <c r="N784" s="52"/>
      <c r="O784" s="52"/>
    </row>
    <row r="785" ht="15.75" customHeight="1">
      <c r="F785" s="49"/>
      <c r="H785" s="50"/>
      <c r="I785" s="51"/>
      <c r="J785" s="51"/>
      <c r="K785" s="51"/>
      <c r="L785" s="51"/>
      <c r="M785" s="52"/>
      <c r="N785" s="52"/>
      <c r="O785" s="52"/>
    </row>
    <row r="786" ht="15.75" customHeight="1">
      <c r="F786" s="49"/>
      <c r="H786" s="50"/>
      <c r="I786" s="51"/>
      <c r="J786" s="51"/>
      <c r="K786" s="51"/>
      <c r="L786" s="51"/>
      <c r="M786" s="52"/>
      <c r="N786" s="52"/>
      <c r="O786" s="52"/>
    </row>
    <row r="787" ht="15.75" customHeight="1">
      <c r="F787" s="49"/>
      <c r="H787" s="50"/>
      <c r="I787" s="51"/>
      <c r="J787" s="51"/>
      <c r="K787" s="51"/>
      <c r="L787" s="51"/>
      <c r="M787" s="52"/>
      <c r="N787" s="52"/>
      <c r="O787" s="52"/>
    </row>
    <row r="788" ht="15.75" customHeight="1">
      <c r="F788" s="49"/>
      <c r="H788" s="50"/>
      <c r="I788" s="51"/>
      <c r="J788" s="51"/>
      <c r="K788" s="51"/>
      <c r="L788" s="51"/>
      <c r="M788" s="52"/>
      <c r="N788" s="52"/>
      <c r="O788" s="52"/>
    </row>
    <row r="789" ht="15.75" customHeight="1">
      <c r="F789" s="49"/>
      <c r="H789" s="50"/>
      <c r="I789" s="51"/>
      <c r="J789" s="51"/>
      <c r="K789" s="51"/>
      <c r="L789" s="51"/>
      <c r="M789" s="52"/>
      <c r="N789" s="52"/>
      <c r="O789" s="52"/>
    </row>
    <row r="790" ht="15.75" customHeight="1">
      <c r="F790" s="49"/>
      <c r="H790" s="50"/>
      <c r="I790" s="51"/>
      <c r="J790" s="51"/>
      <c r="K790" s="51"/>
      <c r="L790" s="51"/>
      <c r="M790" s="52"/>
      <c r="N790" s="52"/>
      <c r="O790" s="52"/>
    </row>
    <row r="791" ht="15.75" customHeight="1">
      <c r="F791" s="49"/>
      <c r="H791" s="50"/>
      <c r="I791" s="51"/>
      <c r="J791" s="51"/>
      <c r="K791" s="51"/>
      <c r="L791" s="51"/>
      <c r="M791" s="52"/>
      <c r="N791" s="52"/>
      <c r="O791" s="52"/>
    </row>
    <row r="792" ht="15.75" customHeight="1">
      <c r="F792" s="49"/>
      <c r="H792" s="50"/>
      <c r="I792" s="51"/>
      <c r="J792" s="51"/>
      <c r="K792" s="51"/>
      <c r="L792" s="51"/>
      <c r="M792" s="52"/>
      <c r="N792" s="52"/>
      <c r="O792" s="52"/>
    </row>
    <row r="793" ht="15.75" customHeight="1">
      <c r="F793" s="49"/>
      <c r="H793" s="50"/>
      <c r="I793" s="51"/>
      <c r="J793" s="51"/>
      <c r="K793" s="51"/>
      <c r="L793" s="51"/>
      <c r="M793" s="52"/>
      <c r="N793" s="52"/>
      <c r="O793" s="52"/>
    </row>
    <row r="794" ht="15.75" customHeight="1">
      <c r="F794" s="49"/>
      <c r="H794" s="50"/>
      <c r="I794" s="51"/>
      <c r="J794" s="51"/>
      <c r="K794" s="51"/>
      <c r="L794" s="51"/>
      <c r="M794" s="52"/>
      <c r="N794" s="52"/>
      <c r="O794" s="52"/>
    </row>
    <row r="795" ht="15.75" customHeight="1">
      <c r="F795" s="49"/>
      <c r="H795" s="50"/>
      <c r="I795" s="51"/>
      <c r="J795" s="51"/>
      <c r="K795" s="51"/>
      <c r="L795" s="51"/>
      <c r="M795" s="52"/>
      <c r="N795" s="52"/>
      <c r="O795" s="52"/>
    </row>
    <row r="796" ht="15.75" customHeight="1">
      <c r="F796" s="49"/>
      <c r="H796" s="50"/>
      <c r="I796" s="51"/>
      <c r="J796" s="51"/>
      <c r="K796" s="51"/>
      <c r="L796" s="51"/>
      <c r="M796" s="52"/>
      <c r="N796" s="52"/>
      <c r="O796" s="52"/>
    </row>
    <row r="797" ht="15.75" customHeight="1">
      <c r="F797" s="49"/>
      <c r="H797" s="50"/>
      <c r="I797" s="51"/>
      <c r="J797" s="51"/>
      <c r="K797" s="51"/>
      <c r="L797" s="51"/>
      <c r="M797" s="52"/>
      <c r="N797" s="52"/>
      <c r="O797" s="52"/>
    </row>
    <row r="798" ht="15.75" customHeight="1">
      <c r="F798" s="49"/>
      <c r="H798" s="50"/>
      <c r="I798" s="51"/>
      <c r="J798" s="51"/>
      <c r="K798" s="51"/>
      <c r="L798" s="51"/>
      <c r="M798" s="52"/>
      <c r="N798" s="52"/>
      <c r="O798" s="52"/>
    </row>
    <row r="799" ht="15.75" customHeight="1">
      <c r="F799" s="49"/>
      <c r="H799" s="50"/>
      <c r="I799" s="51"/>
      <c r="J799" s="51"/>
      <c r="K799" s="51"/>
      <c r="L799" s="51"/>
      <c r="M799" s="52"/>
      <c r="N799" s="52"/>
      <c r="O799" s="52"/>
    </row>
    <row r="800" ht="15.75" customHeight="1">
      <c r="F800" s="49"/>
      <c r="H800" s="50"/>
      <c r="I800" s="51"/>
      <c r="J800" s="51"/>
      <c r="K800" s="51"/>
      <c r="L800" s="51"/>
      <c r="M800" s="52"/>
      <c r="N800" s="52"/>
      <c r="O800" s="52"/>
    </row>
    <row r="801" ht="15.75" customHeight="1">
      <c r="F801" s="49"/>
      <c r="H801" s="50"/>
      <c r="I801" s="51"/>
      <c r="J801" s="51"/>
      <c r="K801" s="51"/>
      <c r="L801" s="51"/>
      <c r="M801" s="52"/>
      <c r="N801" s="52"/>
      <c r="O801" s="52"/>
    </row>
    <row r="802" ht="15.75" customHeight="1">
      <c r="F802" s="49"/>
      <c r="H802" s="50"/>
      <c r="I802" s="51"/>
      <c r="J802" s="51"/>
      <c r="K802" s="51"/>
      <c r="L802" s="51"/>
      <c r="M802" s="52"/>
      <c r="N802" s="52"/>
      <c r="O802" s="52"/>
    </row>
    <row r="803" ht="15.75" customHeight="1">
      <c r="F803" s="49"/>
      <c r="H803" s="50"/>
      <c r="I803" s="51"/>
      <c r="J803" s="51"/>
      <c r="K803" s="51"/>
      <c r="L803" s="51"/>
      <c r="M803" s="52"/>
      <c r="N803" s="52"/>
      <c r="O803" s="52"/>
    </row>
    <row r="804" ht="15.75" customHeight="1">
      <c r="F804" s="49"/>
      <c r="H804" s="50"/>
      <c r="I804" s="51"/>
      <c r="J804" s="51"/>
      <c r="K804" s="51"/>
      <c r="L804" s="51"/>
      <c r="M804" s="52"/>
      <c r="N804" s="52"/>
      <c r="O804" s="52"/>
    </row>
    <row r="805" ht="15.75" customHeight="1">
      <c r="F805" s="49"/>
      <c r="H805" s="50"/>
      <c r="I805" s="51"/>
      <c r="J805" s="51"/>
      <c r="K805" s="51"/>
      <c r="L805" s="51"/>
      <c r="M805" s="52"/>
      <c r="N805" s="52"/>
      <c r="O805" s="52"/>
    </row>
    <row r="806" ht="15.75" customHeight="1">
      <c r="F806" s="49"/>
      <c r="H806" s="50"/>
      <c r="I806" s="51"/>
      <c r="J806" s="51"/>
      <c r="K806" s="51"/>
      <c r="L806" s="51"/>
      <c r="M806" s="52"/>
      <c r="N806" s="52"/>
      <c r="O806" s="52"/>
    </row>
    <row r="807" ht="15.75" customHeight="1">
      <c r="F807" s="49"/>
      <c r="H807" s="50"/>
      <c r="I807" s="51"/>
      <c r="J807" s="51"/>
      <c r="K807" s="51"/>
      <c r="L807" s="51"/>
      <c r="M807" s="52"/>
      <c r="N807" s="52"/>
      <c r="O807" s="52"/>
    </row>
    <row r="808" ht="15.75" customHeight="1">
      <c r="F808" s="49"/>
      <c r="H808" s="50"/>
      <c r="I808" s="51"/>
      <c r="J808" s="51"/>
      <c r="K808" s="51"/>
      <c r="L808" s="51"/>
      <c r="M808" s="52"/>
      <c r="N808" s="52"/>
      <c r="O808" s="52"/>
    </row>
    <row r="809" ht="15.75" customHeight="1">
      <c r="F809" s="49"/>
      <c r="H809" s="50"/>
      <c r="I809" s="51"/>
      <c r="J809" s="51"/>
      <c r="K809" s="51"/>
      <c r="L809" s="51"/>
      <c r="M809" s="52"/>
      <c r="N809" s="52"/>
      <c r="O809" s="52"/>
    </row>
    <row r="810" ht="15.75" customHeight="1">
      <c r="F810" s="49"/>
      <c r="H810" s="50"/>
      <c r="I810" s="51"/>
      <c r="J810" s="51"/>
      <c r="K810" s="51"/>
      <c r="L810" s="51"/>
      <c r="M810" s="52"/>
      <c r="N810" s="52"/>
      <c r="O810" s="52"/>
    </row>
    <row r="811" ht="15.75" customHeight="1">
      <c r="F811" s="49"/>
      <c r="H811" s="50"/>
      <c r="I811" s="51"/>
      <c r="J811" s="51"/>
      <c r="K811" s="51"/>
      <c r="L811" s="51"/>
      <c r="M811" s="52"/>
      <c r="N811" s="52"/>
      <c r="O811" s="52"/>
    </row>
    <row r="812" ht="15.75" customHeight="1">
      <c r="F812" s="49"/>
      <c r="H812" s="50"/>
      <c r="I812" s="51"/>
      <c r="J812" s="51"/>
      <c r="K812" s="51"/>
      <c r="L812" s="51"/>
      <c r="M812" s="52"/>
      <c r="N812" s="52"/>
      <c r="O812" s="52"/>
    </row>
    <row r="813" ht="15.75" customHeight="1">
      <c r="F813" s="49"/>
      <c r="H813" s="50"/>
      <c r="I813" s="51"/>
      <c r="J813" s="51"/>
      <c r="K813" s="51"/>
      <c r="L813" s="51"/>
      <c r="M813" s="52"/>
      <c r="N813" s="52"/>
      <c r="O813" s="52"/>
    </row>
    <row r="814" ht="15.75" customHeight="1">
      <c r="F814" s="49"/>
      <c r="H814" s="50"/>
      <c r="I814" s="51"/>
      <c r="J814" s="51"/>
      <c r="K814" s="51"/>
      <c r="L814" s="51"/>
      <c r="M814" s="52"/>
      <c r="N814" s="52"/>
      <c r="O814" s="52"/>
    </row>
    <row r="815" ht="15.75" customHeight="1">
      <c r="F815" s="49"/>
      <c r="H815" s="50"/>
      <c r="I815" s="51"/>
      <c r="J815" s="51"/>
      <c r="K815" s="51"/>
      <c r="L815" s="51"/>
      <c r="M815" s="52"/>
      <c r="N815" s="52"/>
      <c r="O815" s="52"/>
    </row>
    <row r="816" ht="15.75" customHeight="1">
      <c r="F816" s="49"/>
      <c r="H816" s="50"/>
      <c r="I816" s="51"/>
      <c r="J816" s="51"/>
      <c r="K816" s="51"/>
      <c r="L816" s="51"/>
      <c r="M816" s="52"/>
      <c r="N816" s="52"/>
      <c r="O816" s="52"/>
    </row>
    <row r="817" ht="15.75" customHeight="1">
      <c r="F817" s="49"/>
      <c r="H817" s="50"/>
      <c r="I817" s="51"/>
      <c r="J817" s="51"/>
      <c r="K817" s="51"/>
      <c r="L817" s="51"/>
      <c r="M817" s="52"/>
      <c r="N817" s="52"/>
      <c r="O817" s="52"/>
    </row>
    <row r="818" ht="15.75" customHeight="1">
      <c r="F818" s="49"/>
      <c r="H818" s="50"/>
      <c r="I818" s="51"/>
      <c r="J818" s="51"/>
      <c r="K818" s="51"/>
      <c r="L818" s="51"/>
      <c r="M818" s="52"/>
      <c r="N818" s="52"/>
      <c r="O818" s="52"/>
    </row>
    <row r="819" ht="15.75" customHeight="1">
      <c r="F819" s="49"/>
      <c r="H819" s="50"/>
      <c r="I819" s="51"/>
      <c r="J819" s="51"/>
      <c r="K819" s="51"/>
      <c r="L819" s="51"/>
      <c r="M819" s="52"/>
      <c r="N819" s="52"/>
      <c r="O819" s="52"/>
    </row>
    <row r="820" ht="15.75" customHeight="1">
      <c r="F820" s="49"/>
      <c r="H820" s="50"/>
      <c r="I820" s="51"/>
      <c r="J820" s="51"/>
      <c r="K820" s="51"/>
      <c r="L820" s="51"/>
      <c r="M820" s="52"/>
      <c r="N820" s="52"/>
      <c r="O820" s="52"/>
    </row>
    <row r="821" ht="15.75" customHeight="1">
      <c r="F821" s="49"/>
      <c r="H821" s="50"/>
      <c r="I821" s="51"/>
      <c r="J821" s="51"/>
      <c r="K821" s="51"/>
      <c r="L821" s="51"/>
      <c r="M821" s="52"/>
      <c r="N821" s="52"/>
      <c r="O821" s="52"/>
    </row>
    <row r="822" ht="15.75" customHeight="1">
      <c r="F822" s="49"/>
      <c r="H822" s="50"/>
      <c r="I822" s="51"/>
      <c r="J822" s="51"/>
      <c r="K822" s="51"/>
      <c r="L822" s="51"/>
      <c r="M822" s="52"/>
      <c r="N822" s="52"/>
      <c r="O822" s="52"/>
    </row>
    <row r="823" ht="15.75" customHeight="1">
      <c r="F823" s="49"/>
      <c r="H823" s="50"/>
      <c r="I823" s="51"/>
      <c r="J823" s="51"/>
      <c r="K823" s="51"/>
      <c r="L823" s="51"/>
      <c r="M823" s="52"/>
      <c r="N823" s="52"/>
      <c r="O823" s="52"/>
    </row>
    <row r="824" ht="15.75" customHeight="1">
      <c r="F824" s="49"/>
      <c r="H824" s="50"/>
      <c r="I824" s="51"/>
      <c r="J824" s="51"/>
      <c r="K824" s="51"/>
      <c r="L824" s="51"/>
      <c r="M824" s="52"/>
      <c r="N824" s="52"/>
      <c r="O824" s="52"/>
    </row>
    <row r="825" ht="15.75" customHeight="1">
      <c r="F825" s="49"/>
      <c r="H825" s="50"/>
      <c r="I825" s="51"/>
      <c r="J825" s="51"/>
      <c r="K825" s="51"/>
      <c r="L825" s="51"/>
      <c r="M825" s="52"/>
      <c r="N825" s="52"/>
      <c r="O825" s="52"/>
    </row>
    <row r="826" ht="15.75" customHeight="1">
      <c r="F826" s="49"/>
      <c r="H826" s="50"/>
      <c r="I826" s="51"/>
      <c r="J826" s="51"/>
      <c r="K826" s="51"/>
      <c r="L826" s="51"/>
      <c r="M826" s="52"/>
      <c r="N826" s="52"/>
      <c r="O826" s="52"/>
    </row>
    <row r="827" ht="15.75" customHeight="1">
      <c r="F827" s="49"/>
      <c r="H827" s="50"/>
      <c r="I827" s="51"/>
      <c r="J827" s="51"/>
      <c r="K827" s="51"/>
      <c r="L827" s="51"/>
      <c r="M827" s="52"/>
      <c r="N827" s="52"/>
      <c r="O827" s="52"/>
    </row>
    <row r="828" ht="15.75" customHeight="1">
      <c r="F828" s="49"/>
      <c r="H828" s="50"/>
      <c r="I828" s="51"/>
      <c r="J828" s="51"/>
      <c r="K828" s="51"/>
      <c r="L828" s="51"/>
      <c r="M828" s="52"/>
      <c r="N828" s="52"/>
      <c r="O828" s="52"/>
    </row>
    <row r="829" ht="15.75" customHeight="1">
      <c r="F829" s="49"/>
      <c r="H829" s="50"/>
      <c r="I829" s="51"/>
      <c r="J829" s="51"/>
      <c r="K829" s="51"/>
      <c r="L829" s="51"/>
      <c r="M829" s="52"/>
      <c r="N829" s="52"/>
      <c r="O829" s="52"/>
    </row>
    <row r="830" ht="15.75" customHeight="1">
      <c r="F830" s="49"/>
      <c r="H830" s="50"/>
      <c r="I830" s="51"/>
      <c r="J830" s="51"/>
      <c r="K830" s="51"/>
      <c r="L830" s="51"/>
      <c r="M830" s="52"/>
      <c r="N830" s="52"/>
      <c r="O830" s="52"/>
    </row>
    <row r="831" ht="15.75" customHeight="1">
      <c r="F831" s="49"/>
      <c r="H831" s="50"/>
      <c r="I831" s="51"/>
      <c r="J831" s="51"/>
      <c r="K831" s="51"/>
      <c r="L831" s="51"/>
      <c r="M831" s="52"/>
      <c r="N831" s="52"/>
      <c r="O831" s="52"/>
    </row>
    <row r="832" ht="15.75" customHeight="1">
      <c r="F832" s="49"/>
      <c r="H832" s="50"/>
      <c r="I832" s="51"/>
      <c r="J832" s="51"/>
      <c r="K832" s="51"/>
      <c r="L832" s="51"/>
      <c r="M832" s="52"/>
      <c r="N832" s="52"/>
      <c r="O832" s="52"/>
    </row>
    <row r="833" ht="15.75" customHeight="1">
      <c r="F833" s="49"/>
      <c r="H833" s="50"/>
      <c r="I833" s="51"/>
      <c r="J833" s="51"/>
      <c r="K833" s="51"/>
      <c r="L833" s="51"/>
      <c r="M833" s="52"/>
      <c r="N833" s="52"/>
      <c r="O833" s="52"/>
    </row>
    <row r="834" ht="15.75" customHeight="1">
      <c r="F834" s="49"/>
      <c r="H834" s="50"/>
      <c r="I834" s="51"/>
      <c r="J834" s="51"/>
      <c r="K834" s="51"/>
      <c r="L834" s="51"/>
      <c r="M834" s="52"/>
      <c r="N834" s="52"/>
      <c r="O834" s="52"/>
    </row>
    <row r="835" ht="15.75" customHeight="1">
      <c r="F835" s="49"/>
      <c r="H835" s="50"/>
      <c r="I835" s="51"/>
      <c r="J835" s="51"/>
      <c r="K835" s="51"/>
      <c r="L835" s="51"/>
      <c r="M835" s="52"/>
      <c r="N835" s="52"/>
      <c r="O835" s="52"/>
    </row>
    <row r="836" ht="15.75" customHeight="1">
      <c r="F836" s="49"/>
      <c r="H836" s="50"/>
      <c r="I836" s="51"/>
      <c r="J836" s="51"/>
      <c r="K836" s="51"/>
      <c r="L836" s="51"/>
      <c r="M836" s="52"/>
      <c r="N836" s="52"/>
      <c r="O836" s="52"/>
    </row>
    <row r="837" ht="15.75" customHeight="1">
      <c r="F837" s="49"/>
      <c r="H837" s="50"/>
      <c r="I837" s="51"/>
      <c r="J837" s="51"/>
      <c r="K837" s="51"/>
      <c r="L837" s="51"/>
      <c r="M837" s="52"/>
      <c r="N837" s="52"/>
      <c r="O837" s="52"/>
    </row>
    <row r="838" ht="15.75" customHeight="1">
      <c r="F838" s="49"/>
      <c r="H838" s="50"/>
      <c r="I838" s="51"/>
      <c r="J838" s="51"/>
      <c r="K838" s="51"/>
      <c r="L838" s="51"/>
      <c r="M838" s="52"/>
      <c r="N838" s="52"/>
      <c r="O838" s="52"/>
    </row>
    <row r="839" ht="15.75" customHeight="1">
      <c r="F839" s="49"/>
      <c r="H839" s="50"/>
      <c r="I839" s="51"/>
      <c r="J839" s="51"/>
      <c r="K839" s="51"/>
      <c r="L839" s="51"/>
      <c r="M839" s="52"/>
      <c r="N839" s="52"/>
      <c r="O839" s="52"/>
    </row>
    <row r="840" ht="15.75" customHeight="1">
      <c r="F840" s="49"/>
      <c r="H840" s="50"/>
      <c r="I840" s="51"/>
      <c r="J840" s="51"/>
      <c r="K840" s="51"/>
      <c r="L840" s="51"/>
      <c r="M840" s="52"/>
      <c r="N840" s="52"/>
      <c r="O840" s="52"/>
    </row>
    <row r="841" ht="15.75" customHeight="1">
      <c r="F841" s="49"/>
      <c r="H841" s="50"/>
      <c r="I841" s="51"/>
      <c r="J841" s="51"/>
      <c r="K841" s="51"/>
      <c r="L841" s="51"/>
      <c r="M841" s="52"/>
      <c r="N841" s="52"/>
      <c r="O841" s="52"/>
    </row>
    <row r="842" ht="15.75" customHeight="1">
      <c r="F842" s="49"/>
      <c r="H842" s="50"/>
      <c r="I842" s="51"/>
      <c r="J842" s="51"/>
      <c r="K842" s="51"/>
      <c r="L842" s="51"/>
      <c r="M842" s="52"/>
      <c r="N842" s="52"/>
      <c r="O842" s="52"/>
    </row>
    <row r="843" ht="15.75" customHeight="1">
      <c r="F843" s="49"/>
      <c r="H843" s="50"/>
      <c r="I843" s="51"/>
      <c r="J843" s="51"/>
      <c r="K843" s="51"/>
      <c r="L843" s="51"/>
      <c r="M843" s="52"/>
      <c r="N843" s="52"/>
      <c r="O843" s="52"/>
    </row>
    <row r="844" ht="15.75" customHeight="1">
      <c r="F844" s="49"/>
      <c r="H844" s="50"/>
      <c r="I844" s="51"/>
      <c r="J844" s="51"/>
      <c r="K844" s="51"/>
      <c r="L844" s="51"/>
      <c r="M844" s="52"/>
      <c r="N844" s="52"/>
      <c r="O844" s="52"/>
    </row>
    <row r="845" ht="15.75" customHeight="1">
      <c r="F845" s="49"/>
      <c r="H845" s="50"/>
      <c r="I845" s="51"/>
      <c r="J845" s="51"/>
      <c r="K845" s="51"/>
      <c r="L845" s="51"/>
      <c r="M845" s="52"/>
      <c r="N845" s="52"/>
      <c r="O845" s="52"/>
    </row>
    <row r="846" ht="15.75" customHeight="1">
      <c r="F846" s="49"/>
      <c r="H846" s="50"/>
      <c r="I846" s="51"/>
      <c r="J846" s="51"/>
      <c r="K846" s="51"/>
      <c r="L846" s="51"/>
      <c r="M846" s="52"/>
      <c r="N846" s="52"/>
      <c r="O846" s="52"/>
    </row>
    <row r="847" ht="15.75" customHeight="1">
      <c r="F847" s="49"/>
      <c r="H847" s="50"/>
      <c r="I847" s="51"/>
      <c r="J847" s="51"/>
      <c r="K847" s="51"/>
      <c r="L847" s="51"/>
      <c r="M847" s="52"/>
      <c r="N847" s="52"/>
      <c r="O847" s="52"/>
    </row>
    <row r="848" ht="15.75" customHeight="1">
      <c r="F848" s="49"/>
      <c r="H848" s="50"/>
      <c r="I848" s="51"/>
      <c r="J848" s="51"/>
      <c r="K848" s="51"/>
      <c r="L848" s="51"/>
      <c r="M848" s="52"/>
      <c r="N848" s="52"/>
      <c r="O848" s="52"/>
    </row>
    <row r="849" ht="15.75" customHeight="1">
      <c r="F849" s="49"/>
      <c r="H849" s="50"/>
      <c r="I849" s="51"/>
      <c r="J849" s="51"/>
      <c r="K849" s="51"/>
      <c r="L849" s="51"/>
      <c r="M849" s="52"/>
      <c r="N849" s="52"/>
      <c r="O849" s="52"/>
    </row>
    <row r="850" ht="15.75" customHeight="1">
      <c r="F850" s="49"/>
      <c r="H850" s="50"/>
      <c r="I850" s="51"/>
      <c r="J850" s="51"/>
      <c r="K850" s="51"/>
      <c r="L850" s="51"/>
      <c r="M850" s="52"/>
      <c r="N850" s="52"/>
      <c r="O850" s="52"/>
    </row>
    <row r="851" ht="15.75" customHeight="1">
      <c r="F851" s="49"/>
      <c r="H851" s="50"/>
      <c r="I851" s="51"/>
      <c r="J851" s="51"/>
      <c r="K851" s="51"/>
      <c r="L851" s="51"/>
      <c r="M851" s="52"/>
      <c r="N851" s="52"/>
      <c r="O851" s="52"/>
    </row>
    <row r="852" ht="15.75" customHeight="1">
      <c r="F852" s="49"/>
      <c r="H852" s="50"/>
      <c r="I852" s="51"/>
      <c r="J852" s="51"/>
      <c r="K852" s="51"/>
      <c r="L852" s="51"/>
      <c r="M852" s="52"/>
      <c r="N852" s="52"/>
      <c r="O852" s="52"/>
    </row>
    <row r="853" ht="15.75" customHeight="1">
      <c r="F853" s="49"/>
      <c r="H853" s="50"/>
      <c r="I853" s="51"/>
      <c r="J853" s="51"/>
      <c r="K853" s="51"/>
      <c r="L853" s="51"/>
      <c r="M853" s="52"/>
      <c r="N853" s="52"/>
      <c r="O853" s="52"/>
    </row>
    <row r="854" ht="15.75" customHeight="1">
      <c r="F854" s="49"/>
      <c r="H854" s="50"/>
      <c r="I854" s="51"/>
      <c r="J854" s="51"/>
      <c r="K854" s="51"/>
      <c r="L854" s="51"/>
      <c r="M854" s="52"/>
      <c r="N854" s="52"/>
      <c r="O854" s="52"/>
    </row>
    <row r="855" ht="15.75" customHeight="1">
      <c r="F855" s="49"/>
      <c r="H855" s="50"/>
      <c r="I855" s="51"/>
      <c r="J855" s="51"/>
      <c r="K855" s="51"/>
      <c r="L855" s="51"/>
      <c r="M855" s="52"/>
      <c r="N855" s="52"/>
      <c r="O855" s="52"/>
    </row>
    <row r="856" ht="15.75" customHeight="1">
      <c r="F856" s="49"/>
      <c r="H856" s="50"/>
      <c r="I856" s="51"/>
      <c r="J856" s="51"/>
      <c r="K856" s="51"/>
      <c r="L856" s="51"/>
      <c r="M856" s="52"/>
      <c r="N856" s="52"/>
      <c r="O856" s="52"/>
    </row>
    <row r="857" ht="15.75" customHeight="1">
      <c r="F857" s="49"/>
      <c r="H857" s="50"/>
      <c r="I857" s="51"/>
      <c r="J857" s="51"/>
      <c r="K857" s="51"/>
      <c r="L857" s="51"/>
      <c r="M857" s="52"/>
      <c r="N857" s="52"/>
      <c r="O857" s="52"/>
    </row>
    <row r="858" ht="15.75" customHeight="1">
      <c r="F858" s="49"/>
      <c r="H858" s="50"/>
      <c r="I858" s="51"/>
      <c r="J858" s="51"/>
      <c r="K858" s="51"/>
      <c r="L858" s="51"/>
      <c r="M858" s="52"/>
      <c r="N858" s="52"/>
      <c r="O858" s="52"/>
    </row>
    <row r="859" ht="15.75" customHeight="1">
      <c r="F859" s="49"/>
      <c r="H859" s="50"/>
      <c r="I859" s="51"/>
      <c r="J859" s="51"/>
      <c r="K859" s="51"/>
      <c r="L859" s="51"/>
      <c r="M859" s="52"/>
      <c r="N859" s="52"/>
      <c r="O859" s="52"/>
    </row>
    <row r="860" ht="15.75" customHeight="1">
      <c r="F860" s="49"/>
      <c r="H860" s="50"/>
      <c r="I860" s="51"/>
      <c r="J860" s="51"/>
      <c r="K860" s="51"/>
      <c r="L860" s="51"/>
      <c r="M860" s="52"/>
      <c r="N860" s="52"/>
      <c r="O860" s="52"/>
    </row>
    <row r="861" ht="15.75" customHeight="1">
      <c r="F861" s="49"/>
      <c r="H861" s="50"/>
      <c r="I861" s="51"/>
      <c r="J861" s="51"/>
      <c r="K861" s="51"/>
      <c r="L861" s="51"/>
      <c r="M861" s="52"/>
      <c r="N861" s="52"/>
      <c r="O861" s="52"/>
    </row>
    <row r="862" ht="15.75" customHeight="1">
      <c r="F862" s="49"/>
      <c r="H862" s="50"/>
      <c r="I862" s="51"/>
      <c r="J862" s="51"/>
      <c r="K862" s="51"/>
      <c r="L862" s="51"/>
      <c r="M862" s="52"/>
      <c r="N862" s="52"/>
      <c r="O862" s="52"/>
    </row>
    <row r="863" ht="15.75" customHeight="1">
      <c r="F863" s="49"/>
      <c r="H863" s="50"/>
      <c r="I863" s="51"/>
      <c r="J863" s="51"/>
      <c r="K863" s="51"/>
      <c r="L863" s="51"/>
      <c r="M863" s="52"/>
      <c r="N863" s="52"/>
      <c r="O863" s="52"/>
    </row>
    <row r="864" ht="15.75" customHeight="1">
      <c r="F864" s="49"/>
      <c r="H864" s="50"/>
      <c r="I864" s="51"/>
      <c r="J864" s="51"/>
      <c r="K864" s="51"/>
      <c r="L864" s="51"/>
      <c r="M864" s="52"/>
      <c r="N864" s="52"/>
      <c r="O864" s="52"/>
    </row>
    <row r="865" ht="15.75" customHeight="1">
      <c r="F865" s="49"/>
      <c r="H865" s="50"/>
      <c r="I865" s="51"/>
      <c r="J865" s="51"/>
      <c r="K865" s="51"/>
      <c r="L865" s="51"/>
      <c r="M865" s="52"/>
      <c r="N865" s="52"/>
      <c r="O865" s="52"/>
    </row>
    <row r="866" ht="15.75" customHeight="1">
      <c r="F866" s="49"/>
      <c r="H866" s="50"/>
      <c r="I866" s="51"/>
      <c r="J866" s="51"/>
      <c r="K866" s="51"/>
      <c r="L866" s="51"/>
      <c r="M866" s="52"/>
      <c r="N866" s="52"/>
      <c r="O866" s="52"/>
    </row>
    <row r="867" ht="15.75" customHeight="1">
      <c r="F867" s="49"/>
      <c r="H867" s="50"/>
      <c r="I867" s="51"/>
      <c r="J867" s="51"/>
      <c r="K867" s="51"/>
      <c r="L867" s="51"/>
      <c r="M867" s="52"/>
      <c r="N867" s="52"/>
      <c r="O867" s="52"/>
    </row>
    <row r="868" ht="15.75" customHeight="1">
      <c r="F868" s="49"/>
      <c r="H868" s="50"/>
      <c r="I868" s="51"/>
      <c r="J868" s="51"/>
      <c r="K868" s="51"/>
      <c r="L868" s="51"/>
      <c r="M868" s="52"/>
      <c r="N868" s="52"/>
      <c r="O868" s="52"/>
    </row>
    <row r="869" ht="15.75" customHeight="1">
      <c r="F869" s="49"/>
      <c r="H869" s="50"/>
      <c r="I869" s="51"/>
      <c r="J869" s="51"/>
      <c r="K869" s="51"/>
      <c r="L869" s="51"/>
      <c r="M869" s="52"/>
      <c r="N869" s="52"/>
      <c r="O869" s="52"/>
    </row>
    <row r="870" ht="15.75" customHeight="1">
      <c r="F870" s="49"/>
      <c r="H870" s="50"/>
      <c r="I870" s="51"/>
      <c r="J870" s="51"/>
      <c r="K870" s="51"/>
      <c r="L870" s="51"/>
      <c r="M870" s="52"/>
      <c r="N870" s="52"/>
      <c r="O870" s="52"/>
    </row>
    <row r="871" ht="15.75" customHeight="1">
      <c r="F871" s="49"/>
      <c r="H871" s="50"/>
      <c r="I871" s="51"/>
      <c r="J871" s="51"/>
      <c r="K871" s="51"/>
      <c r="L871" s="51"/>
      <c r="M871" s="52"/>
      <c r="N871" s="52"/>
      <c r="O871" s="52"/>
    </row>
    <row r="872" ht="15.75" customHeight="1">
      <c r="F872" s="49"/>
      <c r="H872" s="50"/>
      <c r="I872" s="51"/>
      <c r="J872" s="51"/>
      <c r="K872" s="51"/>
      <c r="L872" s="51"/>
      <c r="M872" s="52"/>
      <c r="N872" s="52"/>
      <c r="O872" s="52"/>
    </row>
    <row r="873" ht="15.75" customHeight="1">
      <c r="F873" s="49"/>
      <c r="H873" s="50"/>
      <c r="I873" s="51"/>
      <c r="J873" s="51"/>
      <c r="K873" s="51"/>
      <c r="L873" s="51"/>
      <c r="M873" s="52"/>
      <c r="N873" s="52"/>
      <c r="O873" s="52"/>
    </row>
    <row r="874" ht="15.75" customHeight="1">
      <c r="F874" s="49"/>
      <c r="H874" s="50"/>
      <c r="I874" s="51"/>
      <c r="J874" s="51"/>
      <c r="K874" s="51"/>
      <c r="L874" s="51"/>
      <c r="M874" s="52"/>
      <c r="N874" s="52"/>
      <c r="O874" s="52"/>
    </row>
    <row r="875" ht="15.75" customHeight="1">
      <c r="F875" s="49"/>
      <c r="H875" s="50"/>
      <c r="I875" s="51"/>
      <c r="J875" s="51"/>
      <c r="K875" s="51"/>
      <c r="L875" s="51"/>
      <c r="M875" s="52"/>
      <c r="N875" s="52"/>
      <c r="O875" s="52"/>
    </row>
    <row r="876" ht="15.75" customHeight="1">
      <c r="F876" s="49"/>
      <c r="H876" s="50"/>
      <c r="I876" s="51"/>
      <c r="J876" s="51"/>
      <c r="K876" s="51"/>
      <c r="L876" s="51"/>
      <c r="M876" s="52"/>
      <c r="N876" s="52"/>
      <c r="O876" s="52"/>
    </row>
    <row r="877" ht="15.75" customHeight="1">
      <c r="F877" s="49"/>
      <c r="H877" s="50"/>
      <c r="I877" s="51"/>
      <c r="J877" s="51"/>
      <c r="K877" s="51"/>
      <c r="L877" s="51"/>
      <c r="M877" s="52"/>
      <c r="N877" s="52"/>
      <c r="O877" s="52"/>
    </row>
    <row r="878" ht="15.75" customHeight="1">
      <c r="F878" s="49"/>
      <c r="H878" s="50"/>
      <c r="I878" s="51"/>
      <c r="J878" s="51"/>
      <c r="K878" s="51"/>
      <c r="L878" s="51"/>
      <c r="M878" s="52"/>
      <c r="N878" s="52"/>
      <c r="O878" s="52"/>
    </row>
    <row r="879" ht="15.75" customHeight="1">
      <c r="F879" s="49"/>
      <c r="H879" s="50"/>
      <c r="I879" s="51"/>
      <c r="J879" s="51"/>
      <c r="K879" s="51"/>
      <c r="L879" s="51"/>
      <c r="M879" s="52"/>
      <c r="N879" s="52"/>
      <c r="O879" s="52"/>
    </row>
    <row r="880" ht="15.75" customHeight="1">
      <c r="F880" s="49"/>
      <c r="H880" s="50"/>
      <c r="I880" s="51"/>
      <c r="J880" s="51"/>
      <c r="K880" s="51"/>
      <c r="L880" s="51"/>
      <c r="M880" s="52"/>
      <c r="N880" s="52"/>
      <c r="O880" s="52"/>
    </row>
    <row r="881" ht="15.75" customHeight="1">
      <c r="F881" s="49"/>
      <c r="H881" s="50"/>
      <c r="I881" s="51"/>
      <c r="J881" s="51"/>
      <c r="K881" s="51"/>
      <c r="L881" s="51"/>
      <c r="M881" s="52"/>
      <c r="N881" s="52"/>
      <c r="O881" s="52"/>
    </row>
    <row r="882" ht="15.75" customHeight="1">
      <c r="F882" s="49"/>
      <c r="H882" s="50"/>
      <c r="I882" s="51"/>
      <c r="J882" s="51"/>
      <c r="K882" s="51"/>
      <c r="L882" s="51"/>
      <c r="M882" s="52"/>
      <c r="N882" s="52"/>
      <c r="O882" s="52"/>
    </row>
    <row r="883" ht="15.75" customHeight="1">
      <c r="F883" s="49"/>
      <c r="H883" s="50"/>
      <c r="I883" s="51"/>
      <c r="J883" s="51"/>
      <c r="K883" s="51"/>
      <c r="L883" s="51"/>
      <c r="M883" s="52"/>
      <c r="N883" s="52"/>
      <c r="O883" s="52"/>
    </row>
    <row r="884" ht="15.75" customHeight="1">
      <c r="F884" s="49"/>
      <c r="H884" s="50"/>
      <c r="I884" s="51"/>
      <c r="J884" s="51"/>
      <c r="K884" s="51"/>
      <c r="L884" s="51"/>
      <c r="M884" s="52"/>
      <c r="N884" s="52"/>
      <c r="O884" s="52"/>
    </row>
    <row r="885" ht="15.75" customHeight="1">
      <c r="F885" s="49"/>
      <c r="H885" s="50"/>
      <c r="I885" s="51"/>
      <c r="J885" s="51"/>
      <c r="K885" s="51"/>
      <c r="L885" s="51"/>
      <c r="M885" s="52"/>
      <c r="N885" s="52"/>
      <c r="O885" s="52"/>
    </row>
    <row r="886" ht="15.75" customHeight="1">
      <c r="F886" s="49"/>
      <c r="H886" s="50"/>
      <c r="I886" s="51"/>
      <c r="J886" s="51"/>
      <c r="K886" s="51"/>
      <c r="L886" s="51"/>
      <c r="M886" s="52"/>
      <c r="N886" s="52"/>
      <c r="O886" s="52"/>
    </row>
    <row r="887" ht="15.75" customHeight="1">
      <c r="F887" s="49"/>
      <c r="H887" s="50"/>
      <c r="I887" s="51"/>
      <c r="J887" s="51"/>
      <c r="K887" s="51"/>
      <c r="L887" s="51"/>
      <c r="M887" s="52"/>
      <c r="N887" s="52"/>
      <c r="O887" s="52"/>
    </row>
    <row r="888" ht="15.75" customHeight="1">
      <c r="F888" s="49"/>
      <c r="H888" s="50"/>
      <c r="I888" s="51"/>
      <c r="J888" s="51"/>
      <c r="K888" s="51"/>
      <c r="L888" s="51"/>
      <c r="M888" s="52"/>
      <c r="N888" s="52"/>
      <c r="O888" s="52"/>
    </row>
    <row r="889" ht="15.75" customHeight="1">
      <c r="F889" s="49"/>
      <c r="H889" s="50"/>
      <c r="I889" s="51"/>
      <c r="J889" s="51"/>
      <c r="K889" s="51"/>
      <c r="L889" s="51"/>
      <c r="M889" s="52"/>
      <c r="N889" s="52"/>
      <c r="O889" s="52"/>
    </row>
    <row r="890" ht="15.75" customHeight="1">
      <c r="F890" s="49"/>
      <c r="H890" s="50"/>
      <c r="I890" s="51"/>
      <c r="J890" s="51"/>
      <c r="K890" s="51"/>
      <c r="L890" s="51"/>
      <c r="M890" s="52"/>
      <c r="N890" s="52"/>
      <c r="O890" s="52"/>
    </row>
    <row r="891" ht="15.75" customHeight="1">
      <c r="F891" s="49"/>
      <c r="H891" s="50"/>
      <c r="I891" s="51"/>
      <c r="J891" s="51"/>
      <c r="K891" s="51"/>
      <c r="L891" s="51"/>
      <c r="M891" s="52"/>
      <c r="N891" s="52"/>
      <c r="O891" s="52"/>
    </row>
    <row r="892" ht="15.75" customHeight="1">
      <c r="F892" s="49"/>
      <c r="H892" s="50"/>
      <c r="I892" s="51"/>
      <c r="J892" s="51"/>
      <c r="K892" s="51"/>
      <c r="L892" s="51"/>
      <c r="M892" s="52"/>
      <c r="N892" s="52"/>
      <c r="O892" s="52"/>
    </row>
    <row r="893" ht="15.75" customHeight="1">
      <c r="F893" s="49"/>
      <c r="H893" s="50"/>
      <c r="I893" s="51"/>
      <c r="J893" s="51"/>
      <c r="K893" s="51"/>
      <c r="L893" s="51"/>
      <c r="M893" s="52"/>
      <c r="N893" s="52"/>
      <c r="O893" s="52"/>
    </row>
    <row r="894" ht="15.75" customHeight="1">
      <c r="F894" s="49"/>
      <c r="H894" s="50"/>
      <c r="I894" s="51"/>
      <c r="J894" s="51"/>
      <c r="K894" s="51"/>
      <c r="L894" s="51"/>
      <c r="M894" s="52"/>
      <c r="N894" s="52"/>
      <c r="O894" s="52"/>
    </row>
    <row r="895" ht="15.75" customHeight="1">
      <c r="F895" s="49"/>
      <c r="H895" s="50"/>
      <c r="I895" s="51"/>
      <c r="J895" s="51"/>
      <c r="K895" s="51"/>
      <c r="L895" s="51"/>
      <c r="M895" s="52"/>
      <c r="N895" s="52"/>
      <c r="O895" s="52"/>
    </row>
    <row r="896" ht="15.75" customHeight="1">
      <c r="F896" s="49"/>
      <c r="H896" s="50"/>
      <c r="I896" s="51"/>
      <c r="J896" s="51"/>
      <c r="K896" s="51"/>
      <c r="L896" s="51"/>
      <c r="M896" s="52"/>
      <c r="N896" s="52"/>
      <c r="O896" s="52"/>
    </row>
    <row r="897" ht="15.75" customHeight="1">
      <c r="F897" s="49"/>
      <c r="H897" s="50"/>
      <c r="I897" s="51"/>
      <c r="J897" s="51"/>
      <c r="K897" s="51"/>
      <c r="L897" s="51"/>
      <c r="M897" s="52"/>
      <c r="N897" s="52"/>
      <c r="O897" s="52"/>
    </row>
    <row r="898" ht="15.75" customHeight="1">
      <c r="F898" s="49"/>
      <c r="H898" s="50"/>
      <c r="I898" s="51"/>
      <c r="J898" s="51"/>
      <c r="K898" s="51"/>
      <c r="L898" s="51"/>
      <c r="M898" s="52"/>
      <c r="N898" s="52"/>
      <c r="O898" s="52"/>
    </row>
    <row r="899" ht="15.75" customHeight="1">
      <c r="F899" s="49"/>
      <c r="H899" s="50"/>
      <c r="I899" s="51"/>
      <c r="J899" s="51"/>
      <c r="K899" s="51"/>
      <c r="L899" s="51"/>
      <c r="M899" s="52"/>
      <c r="N899" s="52"/>
      <c r="O899" s="52"/>
    </row>
    <row r="900" ht="15.75" customHeight="1">
      <c r="F900" s="49"/>
      <c r="H900" s="50"/>
      <c r="I900" s="51"/>
      <c r="J900" s="51"/>
      <c r="K900" s="51"/>
      <c r="L900" s="51"/>
      <c r="M900" s="52"/>
      <c r="N900" s="52"/>
      <c r="O900" s="52"/>
    </row>
    <row r="901" ht="15.75" customHeight="1">
      <c r="F901" s="49"/>
      <c r="H901" s="50"/>
      <c r="I901" s="51"/>
      <c r="J901" s="51"/>
      <c r="K901" s="51"/>
      <c r="L901" s="51"/>
      <c r="M901" s="52"/>
      <c r="N901" s="52"/>
      <c r="O901" s="52"/>
    </row>
    <row r="902" ht="15.75" customHeight="1">
      <c r="F902" s="49"/>
      <c r="H902" s="50"/>
      <c r="I902" s="51"/>
      <c r="J902" s="51"/>
      <c r="K902" s="51"/>
      <c r="L902" s="51"/>
      <c r="M902" s="52"/>
      <c r="N902" s="52"/>
      <c r="O902" s="52"/>
    </row>
    <row r="903" ht="15.75" customHeight="1">
      <c r="F903" s="49"/>
      <c r="H903" s="50"/>
      <c r="I903" s="51"/>
      <c r="J903" s="51"/>
      <c r="K903" s="51"/>
      <c r="L903" s="51"/>
      <c r="M903" s="52"/>
      <c r="N903" s="52"/>
      <c r="O903" s="52"/>
    </row>
    <row r="904" ht="15.75" customHeight="1">
      <c r="F904" s="49"/>
      <c r="H904" s="50"/>
      <c r="I904" s="51"/>
      <c r="J904" s="51"/>
      <c r="K904" s="51"/>
      <c r="L904" s="51"/>
      <c r="M904" s="52"/>
      <c r="N904" s="52"/>
      <c r="O904" s="52"/>
    </row>
    <row r="905" ht="15.75" customHeight="1">
      <c r="F905" s="49"/>
      <c r="H905" s="50"/>
      <c r="I905" s="51"/>
      <c r="J905" s="51"/>
      <c r="K905" s="51"/>
      <c r="L905" s="51"/>
      <c r="M905" s="52"/>
      <c r="N905" s="52"/>
      <c r="O905" s="52"/>
    </row>
    <row r="906" ht="15.75" customHeight="1">
      <c r="F906" s="49"/>
      <c r="H906" s="50"/>
      <c r="I906" s="51"/>
      <c r="J906" s="51"/>
      <c r="K906" s="51"/>
      <c r="L906" s="51"/>
      <c r="M906" s="52"/>
      <c r="N906" s="52"/>
      <c r="O906" s="52"/>
    </row>
    <row r="907" ht="15.75" customHeight="1">
      <c r="F907" s="49"/>
      <c r="H907" s="50"/>
      <c r="I907" s="51"/>
      <c r="J907" s="51"/>
      <c r="K907" s="51"/>
      <c r="L907" s="51"/>
      <c r="M907" s="52"/>
      <c r="N907" s="52"/>
      <c r="O907" s="52"/>
    </row>
    <row r="908" ht="15.75" customHeight="1">
      <c r="F908" s="49"/>
      <c r="H908" s="50"/>
      <c r="I908" s="51"/>
      <c r="J908" s="51"/>
      <c r="K908" s="51"/>
      <c r="L908" s="51"/>
      <c r="M908" s="52"/>
      <c r="N908" s="52"/>
      <c r="O908" s="52"/>
    </row>
    <row r="909" ht="15.75" customHeight="1">
      <c r="F909" s="49"/>
      <c r="H909" s="50"/>
      <c r="I909" s="51"/>
      <c r="J909" s="51"/>
      <c r="K909" s="51"/>
      <c r="L909" s="51"/>
      <c r="M909" s="52"/>
      <c r="N909" s="52"/>
      <c r="O909" s="52"/>
    </row>
    <row r="910" ht="15.75" customHeight="1">
      <c r="F910" s="49"/>
      <c r="H910" s="50"/>
      <c r="I910" s="51"/>
      <c r="J910" s="51"/>
      <c r="K910" s="51"/>
      <c r="L910" s="51"/>
      <c r="M910" s="52"/>
      <c r="N910" s="52"/>
      <c r="O910" s="52"/>
    </row>
    <row r="911" ht="15.75" customHeight="1">
      <c r="F911" s="49"/>
      <c r="H911" s="50"/>
      <c r="I911" s="51"/>
      <c r="J911" s="51"/>
      <c r="K911" s="51"/>
      <c r="L911" s="51"/>
      <c r="M911" s="52"/>
      <c r="N911" s="52"/>
      <c r="O911" s="52"/>
    </row>
    <row r="912" ht="15.75" customHeight="1">
      <c r="F912" s="49"/>
      <c r="H912" s="50"/>
      <c r="I912" s="51"/>
      <c r="J912" s="51"/>
      <c r="K912" s="51"/>
      <c r="L912" s="51"/>
      <c r="M912" s="52"/>
      <c r="N912" s="52"/>
      <c r="O912" s="52"/>
    </row>
    <row r="913" ht="15.75" customHeight="1">
      <c r="F913" s="49"/>
      <c r="H913" s="50"/>
      <c r="I913" s="51"/>
      <c r="J913" s="51"/>
      <c r="K913" s="51"/>
      <c r="L913" s="51"/>
      <c r="M913" s="52"/>
      <c r="N913" s="52"/>
      <c r="O913" s="52"/>
    </row>
    <row r="914" ht="15.75" customHeight="1">
      <c r="F914" s="49"/>
      <c r="H914" s="50"/>
      <c r="I914" s="51"/>
      <c r="J914" s="51"/>
      <c r="K914" s="51"/>
      <c r="L914" s="51"/>
      <c r="M914" s="52"/>
      <c r="N914" s="52"/>
      <c r="O914" s="52"/>
    </row>
    <row r="915" ht="15.75" customHeight="1">
      <c r="F915" s="49"/>
      <c r="H915" s="50"/>
      <c r="I915" s="51"/>
      <c r="J915" s="51"/>
      <c r="K915" s="51"/>
      <c r="L915" s="51"/>
      <c r="M915" s="52"/>
      <c r="N915" s="52"/>
      <c r="O915" s="52"/>
    </row>
    <row r="916" ht="15.75" customHeight="1">
      <c r="F916" s="49"/>
      <c r="H916" s="50"/>
      <c r="I916" s="51"/>
      <c r="J916" s="51"/>
      <c r="K916" s="51"/>
      <c r="L916" s="51"/>
      <c r="M916" s="52"/>
      <c r="N916" s="52"/>
      <c r="O916" s="52"/>
    </row>
    <row r="917" ht="15.75" customHeight="1">
      <c r="F917" s="49"/>
      <c r="H917" s="50"/>
      <c r="I917" s="51"/>
      <c r="J917" s="51"/>
      <c r="K917" s="51"/>
      <c r="L917" s="51"/>
      <c r="M917" s="52"/>
      <c r="N917" s="52"/>
      <c r="O917" s="52"/>
    </row>
    <row r="918" ht="15.75" customHeight="1">
      <c r="F918" s="49"/>
      <c r="H918" s="50"/>
      <c r="I918" s="51"/>
      <c r="J918" s="51"/>
      <c r="K918" s="51"/>
      <c r="L918" s="51"/>
      <c r="M918" s="52"/>
      <c r="N918" s="52"/>
      <c r="O918" s="52"/>
    </row>
    <row r="919" ht="15.75" customHeight="1">
      <c r="F919" s="49"/>
      <c r="H919" s="50"/>
      <c r="I919" s="51"/>
      <c r="J919" s="51"/>
      <c r="K919" s="51"/>
      <c r="L919" s="51"/>
      <c r="M919" s="52"/>
      <c r="N919" s="52"/>
      <c r="O919" s="52"/>
    </row>
    <row r="920" ht="15.75" customHeight="1">
      <c r="F920" s="49"/>
      <c r="H920" s="50"/>
      <c r="I920" s="51"/>
      <c r="J920" s="51"/>
      <c r="K920" s="51"/>
      <c r="L920" s="51"/>
      <c r="M920" s="52"/>
      <c r="N920" s="52"/>
      <c r="O920" s="52"/>
    </row>
    <row r="921" ht="15.75" customHeight="1">
      <c r="F921" s="49"/>
      <c r="H921" s="50"/>
      <c r="I921" s="51"/>
      <c r="J921" s="51"/>
      <c r="K921" s="51"/>
      <c r="L921" s="51"/>
      <c r="M921" s="52"/>
      <c r="N921" s="52"/>
      <c r="O921" s="52"/>
    </row>
    <row r="922" ht="15.75" customHeight="1">
      <c r="F922" s="49"/>
      <c r="H922" s="50"/>
      <c r="I922" s="51"/>
      <c r="J922" s="51"/>
      <c r="K922" s="51"/>
      <c r="L922" s="51"/>
      <c r="M922" s="52"/>
      <c r="N922" s="52"/>
      <c r="O922" s="52"/>
    </row>
    <row r="923" ht="15.75" customHeight="1">
      <c r="F923" s="49"/>
      <c r="H923" s="50"/>
      <c r="I923" s="51"/>
      <c r="J923" s="51"/>
      <c r="K923" s="51"/>
      <c r="L923" s="51"/>
      <c r="M923" s="52"/>
      <c r="N923" s="52"/>
      <c r="O923" s="52"/>
    </row>
    <row r="924" ht="15.75" customHeight="1">
      <c r="F924" s="49"/>
      <c r="H924" s="50"/>
      <c r="I924" s="51"/>
      <c r="J924" s="51"/>
      <c r="K924" s="51"/>
      <c r="L924" s="51"/>
      <c r="M924" s="52"/>
      <c r="N924" s="52"/>
      <c r="O924" s="52"/>
    </row>
    <row r="925" ht="15.75" customHeight="1">
      <c r="F925" s="49"/>
      <c r="H925" s="50"/>
      <c r="I925" s="51"/>
      <c r="J925" s="51"/>
      <c r="K925" s="51"/>
      <c r="L925" s="51"/>
      <c r="M925" s="52"/>
      <c r="N925" s="52"/>
      <c r="O925" s="52"/>
    </row>
    <row r="926" ht="15.75" customHeight="1">
      <c r="F926" s="49"/>
      <c r="H926" s="50"/>
      <c r="I926" s="51"/>
      <c r="J926" s="51"/>
      <c r="K926" s="51"/>
      <c r="L926" s="51"/>
      <c r="M926" s="52"/>
      <c r="N926" s="52"/>
      <c r="O926" s="52"/>
    </row>
    <row r="927" ht="15.75" customHeight="1">
      <c r="F927" s="49"/>
      <c r="H927" s="50"/>
      <c r="I927" s="51"/>
      <c r="J927" s="51"/>
      <c r="K927" s="51"/>
      <c r="L927" s="51"/>
      <c r="M927" s="52"/>
      <c r="N927" s="52"/>
      <c r="O927" s="52"/>
    </row>
    <row r="928" ht="15.75" customHeight="1">
      <c r="F928" s="49"/>
      <c r="H928" s="50"/>
      <c r="I928" s="51"/>
      <c r="J928" s="51"/>
      <c r="K928" s="51"/>
      <c r="L928" s="51"/>
      <c r="M928" s="52"/>
      <c r="N928" s="52"/>
      <c r="O928" s="52"/>
    </row>
    <row r="929" ht="15.75" customHeight="1">
      <c r="F929" s="49"/>
      <c r="H929" s="50"/>
      <c r="I929" s="51"/>
      <c r="J929" s="51"/>
      <c r="K929" s="51"/>
      <c r="L929" s="51"/>
      <c r="M929" s="52"/>
      <c r="N929" s="52"/>
      <c r="O929" s="52"/>
    </row>
    <row r="930" ht="15.75" customHeight="1">
      <c r="F930" s="49"/>
      <c r="H930" s="50"/>
      <c r="I930" s="51"/>
      <c r="J930" s="51"/>
      <c r="K930" s="51"/>
      <c r="L930" s="51"/>
      <c r="M930" s="52"/>
      <c r="N930" s="52"/>
      <c r="O930" s="52"/>
    </row>
    <row r="931" ht="15.75" customHeight="1">
      <c r="F931" s="49"/>
      <c r="H931" s="50"/>
      <c r="I931" s="51"/>
      <c r="J931" s="51"/>
      <c r="K931" s="51"/>
      <c r="L931" s="51"/>
      <c r="M931" s="52"/>
      <c r="N931" s="52"/>
      <c r="O931" s="52"/>
    </row>
    <row r="932" ht="15.75" customHeight="1">
      <c r="F932" s="49"/>
      <c r="H932" s="50"/>
      <c r="I932" s="51"/>
      <c r="J932" s="51"/>
      <c r="K932" s="51"/>
      <c r="L932" s="51"/>
      <c r="M932" s="52"/>
      <c r="N932" s="52"/>
      <c r="O932" s="52"/>
    </row>
    <row r="933" ht="15.75" customHeight="1">
      <c r="F933" s="49"/>
      <c r="H933" s="50"/>
      <c r="I933" s="51"/>
      <c r="J933" s="51"/>
      <c r="K933" s="51"/>
      <c r="L933" s="51"/>
      <c r="M933" s="52"/>
      <c r="N933" s="52"/>
      <c r="O933" s="52"/>
    </row>
    <row r="934" ht="15.75" customHeight="1">
      <c r="F934" s="49"/>
      <c r="H934" s="50"/>
      <c r="I934" s="51"/>
      <c r="J934" s="51"/>
      <c r="K934" s="51"/>
      <c r="L934" s="51"/>
      <c r="M934" s="52"/>
      <c r="N934" s="52"/>
      <c r="O934" s="52"/>
    </row>
    <row r="935" ht="15.75" customHeight="1">
      <c r="F935" s="49"/>
      <c r="H935" s="50"/>
      <c r="I935" s="51"/>
      <c r="J935" s="51"/>
      <c r="K935" s="51"/>
      <c r="L935" s="51"/>
      <c r="M935" s="52"/>
      <c r="N935" s="52"/>
      <c r="O935" s="52"/>
    </row>
    <row r="936" ht="15.75" customHeight="1">
      <c r="F936" s="49"/>
      <c r="H936" s="50"/>
      <c r="I936" s="51"/>
      <c r="J936" s="51"/>
      <c r="K936" s="51"/>
      <c r="L936" s="51"/>
      <c r="M936" s="52"/>
      <c r="N936" s="52"/>
      <c r="O936" s="52"/>
    </row>
    <row r="937" ht="15.75" customHeight="1">
      <c r="F937" s="49"/>
      <c r="H937" s="50"/>
      <c r="I937" s="51"/>
      <c r="J937" s="51"/>
      <c r="K937" s="51"/>
      <c r="L937" s="51"/>
      <c r="M937" s="52"/>
      <c r="N937" s="52"/>
      <c r="O937" s="52"/>
    </row>
    <row r="938" ht="15.75" customHeight="1">
      <c r="F938" s="49"/>
      <c r="H938" s="50"/>
      <c r="I938" s="51"/>
      <c r="J938" s="51"/>
      <c r="K938" s="51"/>
      <c r="L938" s="51"/>
      <c r="M938" s="52"/>
      <c r="N938" s="52"/>
      <c r="O938" s="52"/>
    </row>
    <row r="939" ht="15.75" customHeight="1">
      <c r="F939" s="49"/>
      <c r="H939" s="50"/>
      <c r="I939" s="51"/>
      <c r="J939" s="51"/>
      <c r="K939" s="51"/>
      <c r="L939" s="51"/>
      <c r="M939" s="52"/>
      <c r="N939" s="52"/>
      <c r="O939" s="52"/>
    </row>
    <row r="940" ht="15.75" customHeight="1">
      <c r="F940" s="49"/>
      <c r="H940" s="50"/>
      <c r="I940" s="51"/>
      <c r="J940" s="51"/>
      <c r="K940" s="51"/>
      <c r="L940" s="51"/>
      <c r="M940" s="52"/>
      <c r="N940" s="52"/>
      <c r="O940" s="52"/>
    </row>
    <row r="941" ht="15.75" customHeight="1">
      <c r="F941" s="49"/>
      <c r="H941" s="50"/>
      <c r="I941" s="51"/>
      <c r="J941" s="51"/>
      <c r="K941" s="51"/>
      <c r="L941" s="51"/>
      <c r="M941" s="52"/>
      <c r="N941" s="52"/>
      <c r="O941" s="52"/>
    </row>
    <row r="942" ht="15.75" customHeight="1">
      <c r="F942" s="49"/>
      <c r="H942" s="50"/>
      <c r="I942" s="51"/>
      <c r="J942" s="51"/>
      <c r="K942" s="51"/>
      <c r="L942" s="51"/>
      <c r="M942" s="52"/>
      <c r="N942" s="52"/>
      <c r="O942" s="52"/>
    </row>
    <row r="943" ht="15.75" customHeight="1">
      <c r="F943" s="49"/>
      <c r="H943" s="50"/>
      <c r="I943" s="51"/>
      <c r="J943" s="51"/>
      <c r="K943" s="51"/>
      <c r="L943" s="51"/>
      <c r="M943" s="52"/>
      <c r="N943" s="52"/>
      <c r="O943" s="52"/>
    </row>
    <row r="944" ht="15.75" customHeight="1">
      <c r="F944" s="49"/>
      <c r="H944" s="50"/>
      <c r="I944" s="51"/>
      <c r="J944" s="51"/>
      <c r="K944" s="51"/>
      <c r="L944" s="51"/>
      <c r="M944" s="52"/>
      <c r="N944" s="52"/>
      <c r="O944" s="52"/>
    </row>
    <row r="945" ht="15.75" customHeight="1">
      <c r="F945" s="49"/>
      <c r="H945" s="50"/>
      <c r="I945" s="51"/>
      <c r="J945" s="51"/>
      <c r="K945" s="51"/>
      <c r="L945" s="51"/>
      <c r="M945" s="52"/>
      <c r="N945" s="52"/>
      <c r="O945" s="52"/>
    </row>
    <row r="946" ht="15.75" customHeight="1">
      <c r="F946" s="49"/>
      <c r="H946" s="50"/>
      <c r="I946" s="51"/>
      <c r="J946" s="51"/>
      <c r="K946" s="51"/>
      <c r="L946" s="51"/>
      <c r="M946" s="52"/>
      <c r="N946" s="52"/>
      <c r="O946" s="52"/>
    </row>
    <row r="947" ht="15.75" customHeight="1">
      <c r="F947" s="49"/>
      <c r="H947" s="50"/>
      <c r="I947" s="51"/>
      <c r="J947" s="51"/>
      <c r="K947" s="51"/>
      <c r="L947" s="51"/>
      <c r="M947" s="52"/>
      <c r="N947" s="52"/>
      <c r="O947" s="52"/>
    </row>
    <row r="948" ht="15.75" customHeight="1">
      <c r="F948" s="49"/>
      <c r="H948" s="50"/>
      <c r="I948" s="51"/>
      <c r="J948" s="51"/>
      <c r="K948" s="51"/>
      <c r="L948" s="51"/>
      <c r="M948" s="52"/>
      <c r="N948" s="52"/>
      <c r="O948" s="52"/>
    </row>
    <row r="949" ht="15.75" customHeight="1">
      <c r="F949" s="49"/>
      <c r="H949" s="50"/>
      <c r="I949" s="51"/>
      <c r="J949" s="51"/>
      <c r="K949" s="51"/>
      <c r="L949" s="51"/>
      <c r="M949" s="52"/>
      <c r="N949" s="52"/>
      <c r="O949" s="52"/>
    </row>
    <row r="950" ht="15.75" customHeight="1">
      <c r="F950" s="49"/>
      <c r="H950" s="50"/>
      <c r="I950" s="51"/>
      <c r="J950" s="51"/>
      <c r="K950" s="51"/>
      <c r="L950" s="51"/>
      <c r="M950" s="52"/>
      <c r="N950" s="52"/>
      <c r="O950" s="52"/>
    </row>
    <row r="951" ht="15.75" customHeight="1">
      <c r="F951" s="49"/>
      <c r="H951" s="50"/>
      <c r="I951" s="51"/>
      <c r="J951" s="51"/>
      <c r="K951" s="51"/>
      <c r="L951" s="51"/>
      <c r="M951" s="52"/>
      <c r="N951" s="52"/>
      <c r="O951" s="52"/>
    </row>
    <row r="952" ht="15.75" customHeight="1">
      <c r="F952" s="49"/>
      <c r="H952" s="50"/>
      <c r="I952" s="51"/>
      <c r="J952" s="51"/>
      <c r="K952" s="51"/>
      <c r="L952" s="51"/>
      <c r="M952" s="52"/>
      <c r="N952" s="52"/>
      <c r="O952" s="52"/>
    </row>
    <row r="953" ht="15.75" customHeight="1">
      <c r="F953" s="49"/>
      <c r="H953" s="50"/>
      <c r="I953" s="51"/>
      <c r="J953" s="51"/>
      <c r="K953" s="51"/>
      <c r="L953" s="51"/>
      <c r="M953" s="52"/>
      <c r="N953" s="52"/>
      <c r="O953" s="52"/>
    </row>
    <row r="954" ht="15.75" customHeight="1">
      <c r="F954" s="49"/>
      <c r="H954" s="50"/>
      <c r="I954" s="51"/>
      <c r="J954" s="51"/>
      <c r="K954" s="51"/>
      <c r="L954" s="51"/>
      <c r="M954" s="52"/>
      <c r="N954" s="52"/>
      <c r="O954" s="52"/>
    </row>
    <row r="955" ht="15.75" customHeight="1">
      <c r="F955" s="49"/>
      <c r="H955" s="50"/>
      <c r="I955" s="51"/>
      <c r="J955" s="51"/>
      <c r="K955" s="51"/>
      <c r="L955" s="51"/>
      <c r="M955" s="52"/>
      <c r="N955" s="52"/>
      <c r="O955" s="52"/>
    </row>
    <row r="956" ht="15.75" customHeight="1">
      <c r="F956" s="49"/>
      <c r="H956" s="50"/>
      <c r="I956" s="51"/>
      <c r="J956" s="51"/>
      <c r="K956" s="51"/>
      <c r="L956" s="51"/>
      <c r="M956" s="52"/>
      <c r="N956" s="52"/>
      <c r="O956" s="52"/>
    </row>
    <row r="957" ht="15.75" customHeight="1">
      <c r="F957" s="49"/>
      <c r="H957" s="50"/>
      <c r="I957" s="51"/>
      <c r="J957" s="51"/>
      <c r="K957" s="51"/>
      <c r="L957" s="51"/>
      <c r="M957" s="52"/>
      <c r="N957" s="52"/>
      <c r="O957" s="52"/>
    </row>
    <row r="958" ht="15.75" customHeight="1">
      <c r="F958" s="49"/>
      <c r="H958" s="50"/>
      <c r="I958" s="51"/>
      <c r="J958" s="51"/>
      <c r="K958" s="51"/>
      <c r="L958" s="51"/>
      <c r="M958" s="52"/>
      <c r="N958" s="52"/>
      <c r="O958" s="52"/>
    </row>
    <row r="959" ht="15.75" customHeight="1">
      <c r="F959" s="49"/>
      <c r="H959" s="50"/>
      <c r="I959" s="51"/>
      <c r="J959" s="51"/>
      <c r="K959" s="51"/>
      <c r="L959" s="51"/>
      <c r="M959" s="52"/>
      <c r="N959" s="52"/>
      <c r="O959" s="52"/>
    </row>
    <row r="960" ht="15.75" customHeight="1">
      <c r="F960" s="49"/>
      <c r="H960" s="50"/>
      <c r="I960" s="51"/>
      <c r="J960" s="51"/>
      <c r="K960" s="51"/>
      <c r="L960" s="51"/>
      <c r="M960" s="52"/>
      <c r="N960" s="52"/>
      <c r="O960" s="52"/>
    </row>
    <row r="961" ht="15.75" customHeight="1">
      <c r="F961" s="49"/>
      <c r="H961" s="50"/>
      <c r="I961" s="51"/>
      <c r="J961" s="51"/>
      <c r="K961" s="51"/>
      <c r="L961" s="51"/>
      <c r="M961" s="52"/>
      <c r="N961" s="52"/>
      <c r="O961" s="52"/>
    </row>
    <row r="962" ht="15.75" customHeight="1">
      <c r="F962" s="49"/>
      <c r="H962" s="50"/>
      <c r="I962" s="51"/>
      <c r="J962" s="51"/>
      <c r="K962" s="51"/>
      <c r="L962" s="51"/>
      <c r="M962" s="52"/>
      <c r="N962" s="52"/>
      <c r="O962" s="52"/>
    </row>
    <row r="963" ht="15.75" customHeight="1">
      <c r="F963" s="49"/>
      <c r="H963" s="50"/>
      <c r="I963" s="51"/>
      <c r="J963" s="51"/>
      <c r="K963" s="51"/>
      <c r="L963" s="51"/>
      <c r="M963" s="52"/>
      <c r="N963" s="52"/>
      <c r="O963" s="52"/>
    </row>
    <row r="964" ht="15.75" customHeight="1">
      <c r="F964" s="49"/>
      <c r="H964" s="50"/>
      <c r="I964" s="51"/>
      <c r="J964" s="51"/>
      <c r="K964" s="51"/>
      <c r="L964" s="51"/>
      <c r="M964" s="52"/>
      <c r="N964" s="52"/>
      <c r="O964" s="52"/>
    </row>
    <row r="965" ht="15.75" customHeight="1">
      <c r="F965" s="49"/>
      <c r="H965" s="50"/>
      <c r="I965" s="51"/>
      <c r="J965" s="51"/>
      <c r="K965" s="51"/>
      <c r="L965" s="51"/>
      <c r="M965" s="52"/>
      <c r="N965" s="52"/>
      <c r="O965" s="52"/>
    </row>
    <row r="966" ht="15.75" customHeight="1">
      <c r="F966" s="49"/>
      <c r="H966" s="50"/>
      <c r="I966" s="51"/>
      <c r="J966" s="51"/>
      <c r="K966" s="51"/>
      <c r="L966" s="51"/>
      <c r="M966" s="52"/>
      <c r="N966" s="52"/>
      <c r="O966" s="52"/>
    </row>
    <row r="967" ht="15.75" customHeight="1">
      <c r="F967" s="49"/>
      <c r="H967" s="50"/>
      <c r="I967" s="51"/>
      <c r="J967" s="51"/>
      <c r="K967" s="51"/>
      <c r="L967" s="51"/>
      <c r="M967" s="52"/>
      <c r="N967" s="52"/>
      <c r="O967" s="52"/>
    </row>
    <row r="968" ht="15.75" customHeight="1">
      <c r="F968" s="49"/>
      <c r="H968" s="50"/>
      <c r="I968" s="51"/>
      <c r="J968" s="51"/>
      <c r="K968" s="51"/>
      <c r="L968" s="51"/>
      <c r="M968" s="52"/>
      <c r="N968" s="52"/>
      <c r="O968" s="52"/>
    </row>
    <row r="969" ht="15.75" customHeight="1">
      <c r="F969" s="49"/>
      <c r="H969" s="50"/>
      <c r="I969" s="51"/>
      <c r="J969" s="51"/>
      <c r="K969" s="51"/>
      <c r="L969" s="51"/>
      <c r="M969" s="52"/>
      <c r="N969" s="52"/>
      <c r="O969" s="52"/>
    </row>
    <row r="970" ht="15.75" customHeight="1">
      <c r="F970" s="49"/>
      <c r="H970" s="50"/>
      <c r="I970" s="51"/>
      <c r="J970" s="51"/>
      <c r="K970" s="51"/>
      <c r="L970" s="51"/>
      <c r="M970" s="52"/>
      <c r="N970" s="52"/>
      <c r="O970" s="52"/>
    </row>
    <row r="971" ht="15.75" customHeight="1">
      <c r="F971" s="49"/>
      <c r="H971" s="50"/>
      <c r="I971" s="51"/>
      <c r="J971" s="51"/>
      <c r="K971" s="51"/>
      <c r="L971" s="51"/>
      <c r="M971" s="52"/>
      <c r="N971" s="52"/>
      <c r="O971" s="52"/>
    </row>
    <row r="972" ht="15.75" customHeight="1">
      <c r="F972" s="49"/>
      <c r="H972" s="50"/>
      <c r="I972" s="51"/>
      <c r="J972" s="51"/>
      <c r="K972" s="51"/>
      <c r="L972" s="51"/>
      <c r="M972" s="52"/>
      <c r="N972" s="52"/>
      <c r="O972" s="52"/>
    </row>
    <row r="973" ht="15.75" customHeight="1">
      <c r="F973" s="49"/>
      <c r="H973" s="50"/>
      <c r="I973" s="51"/>
      <c r="J973" s="51"/>
      <c r="K973" s="51"/>
      <c r="L973" s="51"/>
      <c r="M973" s="52"/>
      <c r="N973" s="52"/>
      <c r="O973" s="52"/>
    </row>
    <row r="974" ht="15.75" customHeight="1">
      <c r="F974" s="49"/>
      <c r="H974" s="50"/>
      <c r="I974" s="51"/>
      <c r="J974" s="51"/>
      <c r="K974" s="51"/>
      <c r="L974" s="51"/>
      <c r="M974" s="52"/>
      <c r="N974" s="52"/>
      <c r="O974" s="52"/>
    </row>
    <row r="975" ht="15.75" customHeight="1">
      <c r="F975" s="49"/>
      <c r="H975" s="50"/>
      <c r="I975" s="51"/>
      <c r="J975" s="51"/>
      <c r="K975" s="51"/>
      <c r="L975" s="51"/>
      <c r="M975" s="52"/>
      <c r="N975" s="52"/>
      <c r="O975" s="52"/>
    </row>
    <row r="976" ht="15.75" customHeight="1">
      <c r="F976" s="49"/>
      <c r="H976" s="50"/>
      <c r="I976" s="51"/>
      <c r="J976" s="51"/>
      <c r="K976" s="51"/>
      <c r="L976" s="51"/>
      <c r="M976" s="52"/>
      <c r="N976" s="52"/>
      <c r="O976" s="52"/>
    </row>
    <row r="977" ht="15.75" customHeight="1">
      <c r="F977" s="49"/>
      <c r="H977" s="50"/>
      <c r="I977" s="51"/>
      <c r="J977" s="51"/>
      <c r="K977" s="51"/>
      <c r="L977" s="51"/>
      <c r="M977" s="52"/>
      <c r="N977" s="52"/>
      <c r="O977" s="52"/>
    </row>
    <row r="978" ht="15.75" customHeight="1">
      <c r="F978" s="49"/>
      <c r="H978" s="50"/>
      <c r="I978" s="51"/>
      <c r="J978" s="51"/>
      <c r="K978" s="51"/>
      <c r="L978" s="51"/>
      <c r="M978" s="52"/>
      <c r="N978" s="52"/>
      <c r="O978" s="52"/>
    </row>
    <row r="979" ht="15.75" customHeight="1">
      <c r="F979" s="49"/>
      <c r="H979" s="50"/>
      <c r="I979" s="51"/>
      <c r="J979" s="51"/>
      <c r="K979" s="51"/>
      <c r="L979" s="51"/>
      <c r="M979" s="52"/>
      <c r="N979" s="52"/>
      <c r="O979" s="52"/>
    </row>
    <row r="980" ht="15.75" customHeight="1">
      <c r="F980" s="49"/>
      <c r="H980" s="50"/>
      <c r="I980" s="51"/>
      <c r="J980" s="51"/>
      <c r="K980" s="51"/>
      <c r="L980" s="51"/>
      <c r="M980" s="52"/>
      <c r="N980" s="52"/>
      <c r="O980" s="52"/>
    </row>
    <row r="981" ht="15.75" customHeight="1">
      <c r="F981" s="49"/>
      <c r="H981" s="50"/>
      <c r="I981" s="51"/>
      <c r="J981" s="51"/>
      <c r="K981" s="51"/>
      <c r="L981" s="51"/>
      <c r="M981" s="52"/>
      <c r="N981" s="52"/>
      <c r="O981" s="52"/>
    </row>
    <row r="982" ht="15.75" customHeight="1">
      <c r="F982" s="49"/>
      <c r="H982" s="50"/>
      <c r="I982" s="51"/>
      <c r="J982" s="51"/>
      <c r="K982" s="51"/>
      <c r="L982" s="51"/>
      <c r="M982" s="52"/>
      <c r="N982" s="52"/>
      <c r="O982" s="52"/>
    </row>
    <row r="983" ht="15.75" customHeight="1">
      <c r="F983" s="49"/>
      <c r="H983" s="50"/>
      <c r="I983" s="51"/>
      <c r="J983" s="51"/>
      <c r="K983" s="51"/>
      <c r="L983" s="51"/>
      <c r="M983" s="52"/>
      <c r="N983" s="52"/>
      <c r="O983" s="52"/>
    </row>
    <row r="984" ht="15.75" customHeight="1">
      <c r="F984" s="49"/>
      <c r="H984" s="50"/>
      <c r="I984" s="51"/>
      <c r="J984" s="51"/>
      <c r="K984" s="51"/>
      <c r="L984" s="51"/>
      <c r="M984" s="52"/>
      <c r="N984" s="52"/>
      <c r="O984" s="52"/>
    </row>
    <row r="985" ht="15.75" customHeight="1">
      <c r="F985" s="49"/>
      <c r="H985" s="50"/>
      <c r="I985" s="51"/>
      <c r="J985" s="51"/>
      <c r="K985" s="51"/>
      <c r="L985" s="51"/>
      <c r="M985" s="52"/>
      <c r="N985" s="52"/>
      <c r="O985" s="52"/>
    </row>
    <row r="986" ht="15.75" customHeight="1">
      <c r="F986" s="49"/>
      <c r="H986" s="50"/>
      <c r="I986" s="51"/>
      <c r="J986" s="51"/>
      <c r="K986" s="51"/>
      <c r="L986" s="51"/>
      <c r="M986" s="52"/>
      <c r="N986" s="52"/>
      <c r="O986" s="52"/>
    </row>
    <row r="987" ht="15.75" customHeight="1">
      <c r="F987" s="49"/>
      <c r="H987" s="50"/>
      <c r="I987" s="51"/>
      <c r="J987" s="51"/>
      <c r="K987" s="51"/>
      <c r="L987" s="51"/>
      <c r="M987" s="52"/>
      <c r="N987" s="52"/>
      <c r="O987" s="52"/>
    </row>
    <row r="988" ht="15.75" customHeight="1">
      <c r="F988" s="49"/>
      <c r="H988" s="50"/>
      <c r="I988" s="51"/>
      <c r="J988" s="51"/>
      <c r="K988" s="51"/>
      <c r="L988" s="51"/>
      <c r="M988" s="52"/>
      <c r="N988" s="52"/>
      <c r="O988" s="52"/>
    </row>
    <row r="989" ht="15.75" customHeight="1">
      <c r="F989" s="49"/>
      <c r="H989" s="50"/>
      <c r="I989" s="51"/>
      <c r="J989" s="51"/>
      <c r="K989" s="51"/>
      <c r="L989" s="51"/>
      <c r="M989" s="52"/>
      <c r="N989" s="52"/>
      <c r="O989" s="52"/>
    </row>
    <row r="990" ht="15.75" customHeight="1">
      <c r="F990" s="49"/>
      <c r="H990" s="50"/>
      <c r="I990" s="51"/>
      <c r="J990" s="51"/>
      <c r="K990" s="51"/>
      <c r="L990" s="51"/>
      <c r="M990" s="52"/>
      <c r="N990" s="52"/>
      <c r="O990" s="52"/>
    </row>
    <row r="991" ht="15.75" customHeight="1">
      <c r="F991" s="49"/>
      <c r="H991" s="50"/>
      <c r="I991" s="51"/>
      <c r="J991" s="51"/>
      <c r="K991" s="51"/>
      <c r="L991" s="51"/>
      <c r="M991" s="52"/>
      <c r="N991" s="52"/>
      <c r="O991" s="52"/>
    </row>
    <row r="992" ht="15.75" customHeight="1">
      <c r="F992" s="49"/>
      <c r="H992" s="50"/>
      <c r="I992" s="51"/>
      <c r="J992" s="51"/>
      <c r="K992" s="51"/>
      <c r="L992" s="51"/>
      <c r="M992" s="52"/>
      <c r="N992" s="52"/>
      <c r="O992" s="52"/>
    </row>
    <row r="993" ht="15.75" customHeight="1">
      <c r="F993" s="49"/>
      <c r="H993" s="50"/>
      <c r="I993" s="51"/>
      <c r="J993" s="51"/>
      <c r="K993" s="51"/>
      <c r="L993" s="51"/>
      <c r="M993" s="52"/>
      <c r="N993" s="52"/>
      <c r="O993" s="52"/>
    </row>
    <row r="994" ht="15.75" customHeight="1">
      <c r="F994" s="49"/>
      <c r="H994" s="50"/>
      <c r="I994" s="51"/>
      <c r="J994" s="51"/>
      <c r="K994" s="51"/>
      <c r="L994" s="51"/>
      <c r="M994" s="52"/>
      <c r="N994" s="52"/>
      <c r="O994" s="52"/>
    </row>
    <row r="995" ht="15.75" customHeight="1">
      <c r="F995" s="49"/>
      <c r="H995" s="50"/>
      <c r="I995" s="51"/>
      <c r="J995" s="51"/>
      <c r="K995" s="51"/>
      <c r="L995" s="51"/>
      <c r="M995" s="52"/>
      <c r="N995" s="52"/>
      <c r="O995" s="52"/>
    </row>
    <row r="996" ht="15.75" customHeight="1">
      <c r="F996" s="49"/>
      <c r="H996" s="50"/>
      <c r="I996" s="51"/>
      <c r="J996" s="51"/>
      <c r="K996" s="51"/>
      <c r="L996" s="51"/>
      <c r="M996" s="52"/>
      <c r="N996" s="52"/>
      <c r="O996" s="52"/>
    </row>
    <row r="997" ht="15.75" customHeight="1">
      <c r="F997" s="49"/>
      <c r="H997" s="50"/>
      <c r="I997" s="51"/>
      <c r="J997" s="51"/>
      <c r="K997" s="51"/>
      <c r="L997" s="51"/>
      <c r="M997" s="52"/>
      <c r="N997" s="52"/>
      <c r="O997" s="52"/>
    </row>
    <row r="998" ht="15.75" customHeight="1">
      <c r="F998" s="49"/>
      <c r="H998" s="50"/>
      <c r="I998" s="51"/>
      <c r="J998" s="51"/>
      <c r="K998" s="51"/>
      <c r="L998" s="51"/>
      <c r="M998" s="52"/>
      <c r="N998" s="52"/>
      <c r="O998" s="52"/>
    </row>
    <row r="999" ht="15.75" customHeight="1">
      <c r="F999" s="49"/>
      <c r="H999" s="50"/>
      <c r="I999" s="51"/>
      <c r="J999" s="51"/>
      <c r="K999" s="51"/>
      <c r="L999" s="51"/>
      <c r="M999" s="52"/>
      <c r="N999" s="52"/>
      <c r="O999" s="52"/>
    </row>
    <row r="1000" ht="15.75" customHeight="1">
      <c r="F1000" s="49"/>
      <c r="H1000" s="50"/>
      <c r="I1000" s="51"/>
      <c r="J1000" s="51"/>
      <c r="K1000" s="51"/>
      <c r="L1000" s="51"/>
      <c r="M1000" s="52"/>
      <c r="N1000" s="52"/>
      <c r="O1000" s="52"/>
    </row>
    <row r="1001" ht="15.75" customHeight="1">
      <c r="F1001" s="49"/>
      <c r="H1001" s="50"/>
      <c r="I1001" s="51"/>
      <c r="J1001" s="51"/>
      <c r="K1001" s="51"/>
      <c r="L1001" s="51"/>
      <c r="M1001" s="52"/>
      <c r="N1001" s="52"/>
      <c r="O1001" s="52"/>
    </row>
    <row r="1002" ht="15.75" customHeight="1">
      <c r="F1002" s="49"/>
      <c r="H1002" s="50"/>
      <c r="I1002" s="51"/>
      <c r="J1002" s="51"/>
      <c r="K1002" s="51"/>
      <c r="L1002" s="51"/>
      <c r="M1002" s="52"/>
      <c r="N1002" s="52"/>
      <c r="O1002" s="52"/>
    </row>
    <row r="1003" ht="15.75" customHeight="1">
      <c r="F1003" s="49"/>
      <c r="H1003" s="50"/>
      <c r="I1003" s="51"/>
      <c r="J1003" s="51"/>
      <c r="K1003" s="51"/>
      <c r="L1003" s="51"/>
      <c r="M1003" s="52"/>
      <c r="N1003" s="52"/>
      <c r="O1003" s="52"/>
    </row>
    <row r="1004" ht="15.75" customHeight="1">
      <c r="F1004" s="49"/>
      <c r="H1004" s="50"/>
      <c r="I1004" s="51"/>
      <c r="J1004" s="51"/>
      <c r="K1004" s="51"/>
      <c r="L1004" s="51"/>
      <c r="M1004" s="52"/>
      <c r="N1004" s="52"/>
      <c r="O1004" s="52"/>
    </row>
    <row r="1005" ht="15.75" customHeight="1">
      <c r="F1005" s="49"/>
      <c r="H1005" s="50"/>
      <c r="I1005" s="51"/>
      <c r="J1005" s="51"/>
      <c r="K1005" s="51"/>
      <c r="L1005" s="51"/>
      <c r="M1005" s="52"/>
      <c r="N1005" s="52"/>
      <c r="O1005" s="52"/>
    </row>
  </sheetData>
  <autoFilter ref="$A$1:$P$395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6.57"/>
    <col customWidth="1" min="3" max="3" width="5.71"/>
    <col customWidth="1" min="4" max="4" width="3.29"/>
    <col customWidth="1" min="5" max="5" width="39.86"/>
    <col customWidth="1" min="6" max="6" width="19.86"/>
    <col customWidth="1" min="7" max="7" width="4.57"/>
    <col customWidth="1" min="8" max="8" width="10.57"/>
    <col customWidth="1" min="9" max="11" width="4.86"/>
    <col customWidth="1" min="12" max="23" width="8.71"/>
  </cols>
  <sheetData>
    <row r="1">
      <c r="A1" s="1" t="s">
        <v>0</v>
      </c>
      <c r="B1" s="2" t="s">
        <v>1</v>
      </c>
      <c r="C1" s="1" t="s">
        <v>3</v>
      </c>
      <c r="D1" s="3" t="s">
        <v>4</v>
      </c>
      <c r="E1" s="4" t="s">
        <v>5</v>
      </c>
      <c r="F1" s="1" t="s">
        <v>6</v>
      </c>
      <c r="G1" s="5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8" t="s">
        <v>15</v>
      </c>
    </row>
    <row r="2">
      <c r="A2" s="9" t="s">
        <v>762</v>
      </c>
      <c r="B2" s="38" t="str">
        <f t="shared" ref="B2:B318" si="1">LEFT(A2,FIND(".",A2))</f>
        <v>Євр.</v>
      </c>
      <c r="C2" s="39" t="str">
        <f t="shared" ref="C2:C278" si="2">MID(A2,FIND(".",A2)+2,FIND(" ",RIGHT(A2,LEN(A2)-FIND(".",A2)-1))-1)</f>
        <v>303</v>
      </c>
      <c r="D2" s="9"/>
      <c r="E2" s="21" t="s">
        <v>763</v>
      </c>
      <c r="F2" s="14"/>
      <c r="G2" s="22"/>
      <c r="H2" s="16" t="s">
        <v>20</v>
      </c>
      <c r="I2" s="53">
        <v>1.0</v>
      </c>
      <c r="J2" s="54"/>
      <c r="K2" s="55">
        <v>6.0</v>
      </c>
      <c r="L2" s="20" t="b">
        <f t="shared" ref="L2:L318" si="3">AND(OR(H2="",I2="",K2=""),G2="")</f>
        <v>0</v>
      </c>
    </row>
    <row r="3">
      <c r="A3" s="9" t="s">
        <v>825</v>
      </c>
      <c r="B3" s="9" t="str">
        <f t="shared" si="1"/>
        <v>Євр.</v>
      </c>
      <c r="C3" s="11" t="str">
        <f t="shared" si="2"/>
        <v>329</v>
      </c>
      <c r="D3" s="12" t="s">
        <v>22</v>
      </c>
      <c r="E3" s="13" t="s">
        <v>826</v>
      </c>
      <c r="F3" s="14"/>
      <c r="G3" s="22"/>
      <c r="H3" s="16" t="s">
        <v>20</v>
      </c>
      <c r="I3" s="53">
        <v>1.0</v>
      </c>
      <c r="J3" s="54"/>
      <c r="K3" s="55">
        <v>7.0</v>
      </c>
      <c r="L3" s="20" t="b">
        <f t="shared" si="3"/>
        <v>0</v>
      </c>
    </row>
    <row r="4">
      <c r="A4" s="9" t="s">
        <v>774</v>
      </c>
      <c r="B4" s="9" t="str">
        <f t="shared" si="1"/>
        <v>Євр.</v>
      </c>
      <c r="C4" s="11" t="str">
        <f t="shared" si="2"/>
        <v>309</v>
      </c>
      <c r="D4" s="9"/>
      <c r="E4" s="13" t="s">
        <v>775</v>
      </c>
      <c r="F4" s="14"/>
      <c r="G4" s="22"/>
      <c r="H4" s="16" t="s">
        <v>20</v>
      </c>
      <c r="I4" s="53">
        <v>2.0</v>
      </c>
      <c r="J4" s="54"/>
      <c r="K4" s="55">
        <v>6.0</v>
      </c>
      <c r="L4" s="20" t="b">
        <f t="shared" si="3"/>
        <v>0</v>
      </c>
    </row>
    <row r="5">
      <c r="A5" s="9" t="s">
        <v>764</v>
      </c>
      <c r="B5" s="9" t="str">
        <f t="shared" si="1"/>
        <v>Євр.</v>
      </c>
      <c r="C5" s="11" t="str">
        <f t="shared" si="2"/>
        <v>304</v>
      </c>
      <c r="D5" s="9"/>
      <c r="E5" s="21" t="s">
        <v>765</v>
      </c>
      <c r="F5" s="14"/>
      <c r="G5" s="22"/>
      <c r="H5" s="16" t="s">
        <v>20</v>
      </c>
      <c r="I5" s="53">
        <v>2.0</v>
      </c>
      <c r="J5" s="54"/>
      <c r="K5" s="55">
        <v>7.0</v>
      </c>
      <c r="L5" s="20" t="b">
        <f t="shared" si="3"/>
        <v>0</v>
      </c>
    </row>
    <row r="6">
      <c r="A6" s="9" t="s">
        <v>815</v>
      </c>
      <c r="B6" s="9" t="str">
        <f t="shared" si="1"/>
        <v>Євр.</v>
      </c>
      <c r="C6" s="11" t="str">
        <f t="shared" si="2"/>
        <v>325</v>
      </c>
      <c r="D6" s="9"/>
      <c r="E6" s="13" t="s">
        <v>816</v>
      </c>
      <c r="F6" s="14"/>
      <c r="G6" s="22"/>
      <c r="H6" s="16" t="s">
        <v>20</v>
      </c>
      <c r="I6" s="53">
        <v>3.0</v>
      </c>
      <c r="J6" s="54"/>
      <c r="K6" s="55">
        <v>6.0</v>
      </c>
      <c r="L6" s="20" t="b">
        <f t="shared" si="3"/>
        <v>0</v>
      </c>
    </row>
    <row r="7">
      <c r="A7" s="9" t="s">
        <v>778</v>
      </c>
      <c r="B7" s="9" t="str">
        <f t="shared" si="1"/>
        <v>Євр.</v>
      </c>
      <c r="C7" s="11" t="str">
        <f t="shared" si="2"/>
        <v>311</v>
      </c>
      <c r="D7" s="26" t="s">
        <v>18</v>
      </c>
      <c r="E7" s="13" t="s">
        <v>843</v>
      </c>
      <c r="F7" s="14"/>
      <c r="G7" s="22"/>
      <c r="H7" s="16" t="s">
        <v>20</v>
      </c>
      <c r="I7" s="53">
        <v>3.0</v>
      </c>
      <c r="J7" s="54"/>
      <c r="K7" s="55">
        <v>7.0</v>
      </c>
      <c r="L7" s="20" t="b">
        <f t="shared" si="3"/>
        <v>0</v>
      </c>
    </row>
    <row r="8">
      <c r="A8" s="9" t="s">
        <v>787</v>
      </c>
      <c r="B8" s="9" t="str">
        <f t="shared" si="1"/>
        <v>Євр.</v>
      </c>
      <c r="C8" s="11" t="str">
        <f t="shared" si="2"/>
        <v>313</v>
      </c>
      <c r="D8" s="9"/>
      <c r="E8" s="21" t="s">
        <v>788</v>
      </c>
      <c r="F8" s="14"/>
      <c r="G8" s="22"/>
      <c r="H8" s="16" t="s">
        <v>20</v>
      </c>
      <c r="I8" s="53">
        <v>4.0</v>
      </c>
      <c r="J8" s="54"/>
      <c r="K8" s="55">
        <v>6.0</v>
      </c>
      <c r="L8" s="20" t="b">
        <f t="shared" si="3"/>
        <v>0</v>
      </c>
    </row>
    <row r="9">
      <c r="A9" s="9" t="s">
        <v>789</v>
      </c>
      <c r="B9" s="9" t="str">
        <f t="shared" si="1"/>
        <v>Євр.</v>
      </c>
      <c r="C9" s="11" t="str">
        <f t="shared" si="2"/>
        <v>314</v>
      </c>
      <c r="D9" s="9"/>
      <c r="E9" s="21" t="s">
        <v>790</v>
      </c>
      <c r="F9" s="14"/>
      <c r="G9" s="22"/>
      <c r="H9" s="16" t="s">
        <v>20</v>
      </c>
      <c r="I9" s="53">
        <v>4.0</v>
      </c>
      <c r="J9" s="54"/>
      <c r="K9" s="55">
        <v>7.0</v>
      </c>
      <c r="L9" s="20" t="b">
        <f t="shared" si="3"/>
        <v>0</v>
      </c>
    </row>
    <row r="10">
      <c r="A10" s="9" t="s">
        <v>809</v>
      </c>
      <c r="B10" s="9" t="str">
        <f t="shared" si="1"/>
        <v>Євр.</v>
      </c>
      <c r="C10" s="11" t="str">
        <f t="shared" si="2"/>
        <v>322</v>
      </c>
      <c r="D10" s="9"/>
      <c r="E10" s="13" t="s">
        <v>810</v>
      </c>
      <c r="F10" s="14"/>
      <c r="G10" s="22"/>
      <c r="H10" s="16" t="s">
        <v>20</v>
      </c>
      <c r="I10" s="53">
        <v>5.0</v>
      </c>
      <c r="J10" s="54"/>
      <c r="K10" s="55">
        <v>6.0</v>
      </c>
      <c r="L10" s="20" t="b">
        <f t="shared" si="3"/>
        <v>0</v>
      </c>
    </row>
    <row r="11">
      <c r="A11" s="9" t="s">
        <v>807</v>
      </c>
      <c r="B11" s="9" t="str">
        <f t="shared" si="1"/>
        <v>Євр.</v>
      </c>
      <c r="C11" s="11" t="str">
        <f t="shared" si="2"/>
        <v>321</v>
      </c>
      <c r="D11" s="12" t="s">
        <v>22</v>
      </c>
      <c r="E11" s="13" t="s">
        <v>808</v>
      </c>
      <c r="F11" s="14"/>
      <c r="G11" s="15" t="s">
        <v>70</v>
      </c>
      <c r="H11" s="16" t="s">
        <v>20</v>
      </c>
      <c r="I11" s="53">
        <v>5.0</v>
      </c>
      <c r="J11" s="54"/>
      <c r="K11" s="55">
        <v>7.0</v>
      </c>
      <c r="L11" s="20" t="b">
        <f t="shared" si="3"/>
        <v>0</v>
      </c>
    </row>
    <row r="12">
      <c r="A12" s="12" t="s">
        <v>837</v>
      </c>
      <c r="B12" s="9" t="str">
        <f t="shared" si="1"/>
        <v>Євр.</v>
      </c>
      <c r="C12" s="11" t="str">
        <f t="shared" si="2"/>
        <v>333</v>
      </c>
      <c r="D12" s="12" t="s">
        <v>22</v>
      </c>
      <c r="E12" s="13" t="s">
        <v>838</v>
      </c>
      <c r="F12" s="14"/>
      <c r="G12" s="22"/>
      <c r="H12" s="16" t="s">
        <v>20</v>
      </c>
      <c r="I12" s="53">
        <v>6.0</v>
      </c>
      <c r="J12" s="54"/>
      <c r="K12" s="55">
        <v>6.0</v>
      </c>
      <c r="L12" s="20" t="b">
        <f t="shared" si="3"/>
        <v>0</v>
      </c>
    </row>
    <row r="13">
      <c r="A13" s="9" t="s">
        <v>628</v>
      </c>
      <c r="B13" s="9" t="str">
        <f t="shared" si="1"/>
        <v>Флп.</v>
      </c>
      <c r="C13" s="11" t="str">
        <f t="shared" si="2"/>
        <v>247</v>
      </c>
      <c r="D13" s="9"/>
      <c r="E13" s="21" t="s">
        <v>629</v>
      </c>
      <c r="F13" s="14"/>
      <c r="G13" s="22"/>
      <c r="H13" s="16" t="s">
        <v>20</v>
      </c>
      <c r="I13" s="53">
        <v>6.0</v>
      </c>
      <c r="J13" s="54"/>
      <c r="K13" s="55">
        <v>7.0</v>
      </c>
      <c r="L13" s="20" t="b">
        <f t="shared" si="3"/>
        <v>0</v>
      </c>
    </row>
    <row r="14">
      <c r="A14" s="9" t="s">
        <v>404</v>
      </c>
      <c r="B14" s="9" t="str">
        <f t="shared" si="1"/>
        <v>1 Кор.</v>
      </c>
      <c r="C14" s="11" t="str">
        <f t="shared" si="2"/>
        <v>149</v>
      </c>
      <c r="D14" s="9"/>
      <c r="E14" s="21" t="s">
        <v>844</v>
      </c>
      <c r="F14" s="14"/>
      <c r="G14" s="22"/>
      <c r="H14" s="16" t="s">
        <v>20</v>
      </c>
      <c r="I14" s="53">
        <v>7.0</v>
      </c>
      <c r="J14" s="54"/>
      <c r="K14" s="55">
        <v>4.0</v>
      </c>
      <c r="L14" s="20" t="b">
        <f t="shared" si="3"/>
        <v>0</v>
      </c>
    </row>
    <row r="15">
      <c r="A15" s="9" t="s">
        <v>340</v>
      </c>
      <c r="B15" s="9" t="str">
        <f t="shared" si="1"/>
        <v>1 Кор.</v>
      </c>
      <c r="C15" s="11" t="str">
        <f t="shared" si="2"/>
        <v>125</v>
      </c>
      <c r="D15" s="12" t="s">
        <v>18</v>
      </c>
      <c r="E15" s="27" t="s">
        <v>845</v>
      </c>
      <c r="F15" s="14"/>
      <c r="G15" s="22"/>
      <c r="H15" s="16" t="s">
        <v>20</v>
      </c>
      <c r="I15" s="53">
        <v>7.0</v>
      </c>
      <c r="J15" s="54"/>
      <c r="K15" s="55">
        <v>5.0</v>
      </c>
      <c r="L15" s="20" t="b">
        <f t="shared" si="3"/>
        <v>0</v>
      </c>
    </row>
    <row r="16">
      <c r="A16" s="9" t="s">
        <v>264</v>
      </c>
      <c r="B16" s="9" t="str">
        <f t="shared" si="1"/>
        <v>Рим.</v>
      </c>
      <c r="C16" s="11" t="str">
        <f t="shared" si="2"/>
        <v>91</v>
      </c>
      <c r="D16" s="9"/>
      <c r="E16" s="27" t="s">
        <v>265</v>
      </c>
      <c r="F16" s="14"/>
      <c r="G16" s="22"/>
      <c r="H16" s="16" t="s">
        <v>20</v>
      </c>
      <c r="I16" s="53">
        <v>7.0</v>
      </c>
      <c r="J16" s="54"/>
      <c r="K16" s="55">
        <v>6.0</v>
      </c>
      <c r="L16" s="20" t="b">
        <f t="shared" si="3"/>
        <v>0</v>
      </c>
    </row>
    <row r="17">
      <c r="A17" s="9" t="s">
        <v>16</v>
      </c>
      <c r="B17" s="9" t="str">
        <f t="shared" si="1"/>
        <v>Ді.</v>
      </c>
      <c r="C17" s="11" t="str">
        <f t="shared" si="2"/>
        <v>1</v>
      </c>
      <c r="D17" s="12" t="s">
        <v>18</v>
      </c>
      <c r="E17" s="13" t="s">
        <v>19</v>
      </c>
      <c r="F17" s="14"/>
      <c r="G17" s="15"/>
      <c r="H17" s="16" t="s">
        <v>24</v>
      </c>
      <c r="I17" s="55">
        <v>1.0</v>
      </c>
      <c r="J17" s="54"/>
      <c r="K17" s="55">
        <v>0.0</v>
      </c>
      <c r="L17" s="20" t="b">
        <f t="shared" si="3"/>
        <v>0</v>
      </c>
    </row>
    <row r="18">
      <c r="A18" s="9" t="s">
        <v>25</v>
      </c>
      <c r="B18" s="9" t="str">
        <f t="shared" si="1"/>
        <v>Ді.</v>
      </c>
      <c r="C18" s="11" t="str">
        <f t="shared" si="2"/>
        <v>2</v>
      </c>
      <c r="D18" s="9"/>
      <c r="E18" s="21" t="s">
        <v>846</v>
      </c>
      <c r="F18" s="14"/>
      <c r="G18" s="15"/>
      <c r="H18" s="16" t="s">
        <v>24</v>
      </c>
      <c r="I18" s="55">
        <v>1.0</v>
      </c>
      <c r="J18" s="54"/>
      <c r="K18" s="55">
        <v>1.0</v>
      </c>
      <c r="L18" s="20" t="b">
        <f t="shared" si="3"/>
        <v>0</v>
      </c>
    </row>
    <row r="19">
      <c r="A19" s="9" t="s">
        <v>30</v>
      </c>
      <c r="B19" s="9" t="str">
        <f t="shared" si="1"/>
        <v>Ді.</v>
      </c>
      <c r="C19" s="11" t="str">
        <f t="shared" si="2"/>
        <v>4</v>
      </c>
      <c r="D19" s="9"/>
      <c r="E19" s="21" t="s">
        <v>31</v>
      </c>
      <c r="F19" s="14"/>
      <c r="G19" s="15"/>
      <c r="H19" s="16" t="s">
        <v>24</v>
      </c>
      <c r="I19" s="55">
        <v>1.0</v>
      </c>
      <c r="J19" s="54"/>
      <c r="K19" s="55">
        <v>2.0</v>
      </c>
      <c r="L19" s="20" t="b">
        <f t="shared" si="3"/>
        <v>0</v>
      </c>
    </row>
    <row r="20">
      <c r="A20" s="9" t="s">
        <v>32</v>
      </c>
      <c r="B20" s="9" t="str">
        <f t="shared" si="1"/>
        <v>Ді.</v>
      </c>
      <c r="C20" s="11" t="str">
        <f t="shared" si="2"/>
        <v>5</v>
      </c>
      <c r="D20" s="9"/>
      <c r="E20" s="21" t="s">
        <v>33</v>
      </c>
      <c r="F20" s="14"/>
      <c r="G20" s="15"/>
      <c r="H20" s="16" t="s">
        <v>24</v>
      </c>
      <c r="I20" s="55">
        <v>1.0</v>
      </c>
      <c r="J20" s="54"/>
      <c r="K20" s="55">
        <v>3.0</v>
      </c>
      <c r="L20" s="20" t="b">
        <f t="shared" si="3"/>
        <v>0</v>
      </c>
    </row>
    <row r="21">
      <c r="A21" s="9" t="s">
        <v>34</v>
      </c>
      <c r="B21" s="9" t="str">
        <f t="shared" si="1"/>
        <v>Ді.</v>
      </c>
      <c r="C21" s="11" t="str">
        <f t="shared" si="2"/>
        <v>6</v>
      </c>
      <c r="D21" s="9"/>
      <c r="E21" s="21" t="s">
        <v>35</v>
      </c>
      <c r="F21" s="14"/>
      <c r="G21" s="15"/>
      <c r="H21" s="16" t="s">
        <v>24</v>
      </c>
      <c r="I21" s="55">
        <v>1.0</v>
      </c>
      <c r="J21" s="54"/>
      <c r="K21" s="55">
        <v>4.0</v>
      </c>
      <c r="L21" s="20" t="b">
        <f t="shared" si="3"/>
        <v>0</v>
      </c>
    </row>
    <row r="22">
      <c r="A22" s="9" t="s">
        <v>36</v>
      </c>
      <c r="B22" s="9" t="str">
        <f t="shared" si="1"/>
        <v>Ді.</v>
      </c>
      <c r="C22" s="11" t="str">
        <f t="shared" si="2"/>
        <v>7</v>
      </c>
      <c r="D22" s="9"/>
      <c r="E22" s="21" t="s">
        <v>37</v>
      </c>
      <c r="F22" s="14"/>
      <c r="G22" s="15"/>
      <c r="H22" s="16" t="s">
        <v>24</v>
      </c>
      <c r="I22" s="55">
        <v>1.0</v>
      </c>
      <c r="J22" s="54"/>
      <c r="K22" s="55">
        <v>5.0</v>
      </c>
      <c r="L22" s="20" t="b">
        <f t="shared" si="3"/>
        <v>0</v>
      </c>
    </row>
    <row r="23">
      <c r="A23" s="9" t="s">
        <v>38</v>
      </c>
      <c r="B23" s="9" t="str">
        <f t="shared" si="1"/>
        <v>Ді.</v>
      </c>
      <c r="C23" s="11" t="str">
        <f t="shared" si="2"/>
        <v>8</v>
      </c>
      <c r="D23" s="9"/>
      <c r="E23" s="21" t="s">
        <v>39</v>
      </c>
      <c r="F23" s="14"/>
      <c r="G23" s="15"/>
      <c r="H23" s="16" t="s">
        <v>24</v>
      </c>
      <c r="I23" s="55">
        <v>1.0</v>
      </c>
      <c r="J23" s="54"/>
      <c r="K23" s="55">
        <v>6.0</v>
      </c>
      <c r="L23" s="20" t="b">
        <f t="shared" si="3"/>
        <v>0</v>
      </c>
    </row>
    <row r="24">
      <c r="A24" s="9" t="s">
        <v>50</v>
      </c>
      <c r="B24" s="9" t="str">
        <f t="shared" si="1"/>
        <v>Ді.</v>
      </c>
      <c r="C24" s="11" t="str">
        <f t="shared" si="2"/>
        <v>14</v>
      </c>
      <c r="D24" s="9"/>
      <c r="E24" s="21" t="s">
        <v>51</v>
      </c>
      <c r="F24" s="14"/>
      <c r="G24" s="22"/>
      <c r="H24" s="16" t="s">
        <v>24</v>
      </c>
      <c r="I24" s="55">
        <v>2.0</v>
      </c>
      <c r="J24" s="54"/>
      <c r="K24" s="55">
        <v>0.0</v>
      </c>
      <c r="L24" s="20" t="b">
        <f t="shared" si="3"/>
        <v>0</v>
      </c>
    </row>
    <row r="25">
      <c r="A25" s="9" t="s">
        <v>40</v>
      </c>
      <c r="B25" s="9" t="str">
        <f t="shared" si="1"/>
        <v>Ді.</v>
      </c>
      <c r="C25" s="11" t="str">
        <f t="shared" si="2"/>
        <v>9</v>
      </c>
      <c r="D25" s="9"/>
      <c r="E25" s="21" t="s">
        <v>41</v>
      </c>
      <c r="F25" s="14"/>
      <c r="G25" s="22"/>
      <c r="H25" s="16" t="s">
        <v>24</v>
      </c>
      <c r="I25" s="55">
        <v>2.0</v>
      </c>
      <c r="J25" s="54"/>
      <c r="K25" s="55">
        <v>1.0</v>
      </c>
      <c r="L25" s="20" t="b">
        <f t="shared" si="3"/>
        <v>0</v>
      </c>
    </row>
    <row r="26">
      <c r="A26" s="9" t="s">
        <v>42</v>
      </c>
      <c r="B26" s="9" t="str">
        <f t="shared" si="1"/>
        <v>Ді.</v>
      </c>
      <c r="C26" s="11" t="str">
        <f t="shared" si="2"/>
        <v>10</v>
      </c>
      <c r="D26" s="9"/>
      <c r="E26" s="21" t="s">
        <v>43</v>
      </c>
      <c r="F26" s="14"/>
      <c r="G26" s="22"/>
      <c r="H26" s="16" t="s">
        <v>24</v>
      </c>
      <c r="I26" s="55">
        <v>2.0</v>
      </c>
      <c r="J26" s="54"/>
      <c r="K26" s="55">
        <v>2.0</v>
      </c>
      <c r="L26" s="20" t="b">
        <f t="shared" si="3"/>
        <v>0</v>
      </c>
    </row>
    <row r="27">
      <c r="A27" s="9" t="s">
        <v>44</v>
      </c>
      <c r="B27" s="9" t="str">
        <f t="shared" si="1"/>
        <v>Ді.</v>
      </c>
      <c r="C27" s="11" t="str">
        <f t="shared" si="2"/>
        <v>11</v>
      </c>
      <c r="D27" s="9"/>
      <c r="E27" s="21" t="s">
        <v>45</v>
      </c>
      <c r="F27" s="14"/>
      <c r="G27" s="22"/>
      <c r="H27" s="16" t="s">
        <v>24</v>
      </c>
      <c r="I27" s="55">
        <v>2.0</v>
      </c>
      <c r="J27" s="54"/>
      <c r="K27" s="55">
        <v>3.0</v>
      </c>
      <c r="L27" s="20" t="b">
        <f t="shared" si="3"/>
        <v>0</v>
      </c>
    </row>
    <row r="28">
      <c r="A28" s="9" t="s">
        <v>46</v>
      </c>
      <c r="B28" s="9" t="str">
        <f t="shared" si="1"/>
        <v>Ді.</v>
      </c>
      <c r="C28" s="11" t="str">
        <f t="shared" si="2"/>
        <v>12</v>
      </c>
      <c r="D28" s="9"/>
      <c r="E28" s="21" t="s">
        <v>47</v>
      </c>
      <c r="F28" s="14"/>
      <c r="G28" s="22"/>
      <c r="H28" s="16" t="s">
        <v>24</v>
      </c>
      <c r="I28" s="55">
        <v>2.0</v>
      </c>
      <c r="J28" s="54"/>
      <c r="K28" s="55">
        <v>4.0</v>
      </c>
      <c r="L28" s="20" t="b">
        <f t="shared" si="3"/>
        <v>0</v>
      </c>
    </row>
    <row r="29">
      <c r="A29" s="9" t="s">
        <v>48</v>
      </c>
      <c r="B29" s="9" t="str">
        <f t="shared" si="1"/>
        <v>Ді.</v>
      </c>
      <c r="C29" s="11" t="str">
        <f t="shared" si="2"/>
        <v>13</v>
      </c>
      <c r="D29" s="9"/>
      <c r="E29" s="21" t="s">
        <v>49</v>
      </c>
      <c r="F29" s="14"/>
      <c r="G29" s="22"/>
      <c r="H29" s="16" t="s">
        <v>24</v>
      </c>
      <c r="I29" s="55">
        <v>2.0</v>
      </c>
      <c r="J29" s="54"/>
      <c r="K29" s="55">
        <v>5.0</v>
      </c>
      <c r="L29" s="20" t="b">
        <f t="shared" si="3"/>
        <v>0</v>
      </c>
    </row>
    <row r="30">
      <c r="A30" s="9" t="s">
        <v>52</v>
      </c>
      <c r="B30" s="9" t="str">
        <f t="shared" si="1"/>
        <v>Ді.</v>
      </c>
      <c r="C30" s="11" t="str">
        <f t="shared" si="2"/>
        <v>15</v>
      </c>
      <c r="D30" s="9"/>
      <c r="E30" s="21" t="s">
        <v>53</v>
      </c>
      <c r="F30" s="14"/>
      <c r="G30" s="22"/>
      <c r="H30" s="16" t="s">
        <v>24</v>
      </c>
      <c r="I30" s="53">
        <v>2.0</v>
      </c>
      <c r="J30" s="54"/>
      <c r="K30" s="55">
        <v>6.0</v>
      </c>
      <c r="L30" s="20" t="b">
        <f t="shared" si="3"/>
        <v>0</v>
      </c>
    </row>
    <row r="31">
      <c r="A31" s="9" t="s">
        <v>55</v>
      </c>
      <c r="B31" s="9" t="str">
        <f t="shared" si="1"/>
        <v>Ді.</v>
      </c>
      <c r="C31" s="11" t="str">
        <f t="shared" si="2"/>
        <v>16</v>
      </c>
      <c r="D31" s="9"/>
      <c r="E31" s="21" t="s">
        <v>56</v>
      </c>
      <c r="F31" s="14"/>
      <c r="G31" s="22"/>
      <c r="H31" s="16" t="s">
        <v>24</v>
      </c>
      <c r="I31" s="53">
        <v>3.0</v>
      </c>
      <c r="J31" s="54"/>
      <c r="K31" s="55">
        <v>0.0</v>
      </c>
      <c r="L31" s="20" t="b">
        <f t="shared" si="3"/>
        <v>0</v>
      </c>
    </row>
    <row r="32">
      <c r="A32" s="9" t="s">
        <v>58</v>
      </c>
      <c r="B32" s="9" t="str">
        <f t="shared" si="1"/>
        <v>Ді.</v>
      </c>
      <c r="C32" s="11" t="str">
        <f t="shared" si="2"/>
        <v>17</v>
      </c>
      <c r="D32" s="9"/>
      <c r="E32" s="21" t="s">
        <v>59</v>
      </c>
      <c r="F32" s="14"/>
      <c r="G32" s="22"/>
      <c r="H32" s="16" t="s">
        <v>24</v>
      </c>
      <c r="I32" s="53">
        <v>3.0</v>
      </c>
      <c r="J32" s="54"/>
      <c r="K32" s="55">
        <v>1.0</v>
      </c>
      <c r="L32" s="20" t="b">
        <f t="shared" si="3"/>
        <v>0</v>
      </c>
    </row>
    <row r="33">
      <c r="A33" s="9" t="s">
        <v>60</v>
      </c>
      <c r="B33" s="9" t="str">
        <f t="shared" si="1"/>
        <v>Ді.</v>
      </c>
      <c r="C33" s="11" t="str">
        <f t="shared" si="2"/>
        <v>18</v>
      </c>
      <c r="D33" s="9"/>
      <c r="E33" s="21" t="s">
        <v>61</v>
      </c>
      <c r="F33" s="14"/>
      <c r="G33" s="22"/>
      <c r="H33" s="16" t="s">
        <v>24</v>
      </c>
      <c r="I33" s="53">
        <v>3.0</v>
      </c>
      <c r="J33" s="54"/>
      <c r="K33" s="55">
        <v>2.0</v>
      </c>
      <c r="L33" s="20" t="b">
        <f t="shared" si="3"/>
        <v>0</v>
      </c>
    </row>
    <row r="34">
      <c r="A34" s="9" t="s">
        <v>62</v>
      </c>
      <c r="B34" s="9" t="str">
        <f t="shared" si="1"/>
        <v>Ді.</v>
      </c>
      <c r="C34" s="11" t="str">
        <f t="shared" si="2"/>
        <v>19</v>
      </c>
      <c r="D34" s="9"/>
      <c r="E34" s="21" t="s">
        <v>63</v>
      </c>
      <c r="F34" s="14"/>
      <c r="G34" s="22"/>
      <c r="H34" s="16" t="s">
        <v>24</v>
      </c>
      <c r="I34" s="53">
        <v>3.0</v>
      </c>
      <c r="J34" s="54"/>
      <c r="K34" s="55">
        <v>3.0</v>
      </c>
      <c r="L34" s="20" t="b">
        <f t="shared" si="3"/>
        <v>0</v>
      </c>
    </row>
    <row r="35">
      <c r="A35" s="9" t="s">
        <v>64</v>
      </c>
      <c r="B35" s="9" t="str">
        <f t="shared" si="1"/>
        <v>Ді.</v>
      </c>
      <c r="C35" s="11" t="str">
        <f t="shared" si="2"/>
        <v>20</v>
      </c>
      <c r="D35" s="9"/>
      <c r="E35" s="21" t="s">
        <v>65</v>
      </c>
      <c r="F35" s="14"/>
      <c r="G35" s="22"/>
      <c r="H35" s="16" t="s">
        <v>24</v>
      </c>
      <c r="I35" s="53">
        <v>3.0</v>
      </c>
      <c r="J35" s="54"/>
      <c r="K35" s="55">
        <v>4.0</v>
      </c>
      <c r="L35" s="20" t="b">
        <f t="shared" si="3"/>
        <v>0</v>
      </c>
    </row>
    <row r="36">
      <c r="A36" s="9" t="s">
        <v>66</v>
      </c>
      <c r="B36" s="9" t="str">
        <f t="shared" si="1"/>
        <v>Ді.</v>
      </c>
      <c r="C36" s="11" t="str">
        <f t="shared" si="2"/>
        <v>21</v>
      </c>
      <c r="D36" s="12" t="s">
        <v>18</v>
      </c>
      <c r="E36" s="21" t="s">
        <v>67</v>
      </c>
      <c r="F36" s="14"/>
      <c r="G36" s="22"/>
      <c r="H36" s="16" t="s">
        <v>24</v>
      </c>
      <c r="I36" s="53">
        <v>3.0</v>
      </c>
      <c r="J36" s="54"/>
      <c r="K36" s="55">
        <v>5.0</v>
      </c>
      <c r="L36" s="20" t="b">
        <f t="shared" si="3"/>
        <v>0</v>
      </c>
    </row>
    <row r="37">
      <c r="A37" s="9" t="s">
        <v>72</v>
      </c>
      <c r="B37" s="9" t="str">
        <f t="shared" si="1"/>
        <v>Ді.</v>
      </c>
      <c r="C37" s="11" t="str">
        <f t="shared" si="2"/>
        <v>22</v>
      </c>
      <c r="D37" s="9"/>
      <c r="E37" s="21" t="s">
        <v>73</v>
      </c>
      <c r="F37" s="14"/>
      <c r="G37" s="22"/>
      <c r="H37" s="16" t="s">
        <v>24</v>
      </c>
      <c r="I37" s="53">
        <v>3.0</v>
      </c>
      <c r="J37" s="54"/>
      <c r="K37" s="55">
        <v>6.0</v>
      </c>
      <c r="L37" s="20" t="b">
        <f t="shared" si="3"/>
        <v>0</v>
      </c>
    </row>
    <row r="38">
      <c r="A38" s="9" t="s">
        <v>74</v>
      </c>
      <c r="B38" s="9" t="str">
        <f t="shared" si="1"/>
        <v>Ді.</v>
      </c>
      <c r="C38" s="11" t="str">
        <f t="shared" si="2"/>
        <v>23</v>
      </c>
      <c r="D38" s="9"/>
      <c r="E38" s="21" t="s">
        <v>75</v>
      </c>
      <c r="F38" s="14"/>
      <c r="G38" s="22"/>
      <c r="H38" s="16" t="s">
        <v>24</v>
      </c>
      <c r="I38" s="53">
        <v>4.0</v>
      </c>
      <c r="J38" s="54"/>
      <c r="K38" s="55">
        <v>0.0</v>
      </c>
      <c r="L38" s="20" t="b">
        <f t="shared" si="3"/>
        <v>0</v>
      </c>
    </row>
    <row r="39">
      <c r="A39" s="9" t="s">
        <v>76</v>
      </c>
      <c r="B39" s="9" t="str">
        <f t="shared" si="1"/>
        <v>Ді.</v>
      </c>
      <c r="C39" s="11" t="str">
        <f t="shared" si="2"/>
        <v>24</v>
      </c>
      <c r="D39" s="9"/>
      <c r="E39" s="21" t="s">
        <v>77</v>
      </c>
      <c r="F39" s="14"/>
      <c r="G39" s="22"/>
      <c r="H39" s="16" t="s">
        <v>24</v>
      </c>
      <c r="I39" s="53">
        <v>4.0</v>
      </c>
      <c r="J39" s="54"/>
      <c r="K39" s="55">
        <v>1.0</v>
      </c>
      <c r="L39" s="20" t="b">
        <f t="shared" si="3"/>
        <v>0</v>
      </c>
    </row>
    <row r="40">
      <c r="A40" s="9" t="s">
        <v>79</v>
      </c>
      <c r="B40" s="9" t="str">
        <f t="shared" si="1"/>
        <v>Ді.</v>
      </c>
      <c r="C40" s="11" t="str">
        <f t="shared" si="2"/>
        <v>25</v>
      </c>
      <c r="D40" s="9"/>
      <c r="E40" s="21" t="s">
        <v>80</v>
      </c>
      <c r="F40" s="14"/>
      <c r="G40" s="22"/>
      <c r="H40" s="16" t="s">
        <v>24</v>
      </c>
      <c r="I40" s="53">
        <v>4.0</v>
      </c>
      <c r="J40" s="54"/>
      <c r="K40" s="55">
        <v>2.0</v>
      </c>
      <c r="L40" s="20" t="b">
        <f t="shared" si="3"/>
        <v>0</v>
      </c>
    </row>
    <row r="41">
      <c r="A41" s="9" t="s">
        <v>98</v>
      </c>
      <c r="B41" s="9" t="str">
        <f t="shared" si="1"/>
        <v>Ді.</v>
      </c>
      <c r="C41" s="11" t="str">
        <f t="shared" si="2"/>
        <v>34</v>
      </c>
      <c r="D41" s="9"/>
      <c r="E41" s="21" t="s">
        <v>99</v>
      </c>
      <c r="F41" s="14"/>
      <c r="G41" s="22"/>
      <c r="H41" s="16" t="s">
        <v>24</v>
      </c>
      <c r="I41" s="53">
        <v>4.0</v>
      </c>
      <c r="J41" s="54"/>
      <c r="K41" s="55">
        <v>3.0</v>
      </c>
      <c r="L41" s="20" t="b">
        <f t="shared" si="3"/>
        <v>0</v>
      </c>
    </row>
    <row r="42">
      <c r="A42" s="9" t="s">
        <v>81</v>
      </c>
      <c r="B42" s="9" t="str">
        <f t="shared" si="1"/>
        <v>Ді.</v>
      </c>
      <c r="C42" s="11" t="str">
        <f t="shared" si="2"/>
        <v>26</v>
      </c>
      <c r="D42" s="9"/>
      <c r="E42" s="21" t="s">
        <v>82</v>
      </c>
      <c r="F42" s="14"/>
      <c r="G42" s="22"/>
      <c r="H42" s="16" t="s">
        <v>24</v>
      </c>
      <c r="I42" s="53">
        <v>4.0</v>
      </c>
      <c r="J42" s="54"/>
      <c r="K42" s="55">
        <v>4.0</v>
      </c>
      <c r="L42" s="20" t="b">
        <f t="shared" si="3"/>
        <v>0</v>
      </c>
    </row>
    <row r="43">
      <c r="A43" s="9" t="s">
        <v>83</v>
      </c>
      <c r="B43" s="9" t="str">
        <f t="shared" si="1"/>
        <v>Ді.</v>
      </c>
      <c r="C43" s="11" t="str">
        <f t="shared" si="2"/>
        <v>27</v>
      </c>
      <c r="D43" s="9"/>
      <c r="E43" s="21" t="s">
        <v>84</v>
      </c>
      <c r="F43" s="14"/>
      <c r="G43" s="22"/>
      <c r="H43" s="16" t="s">
        <v>24</v>
      </c>
      <c r="I43" s="53">
        <v>4.0</v>
      </c>
      <c r="J43" s="54"/>
      <c r="K43" s="55">
        <v>5.0</v>
      </c>
      <c r="L43" s="20" t="b">
        <f t="shared" si="3"/>
        <v>0</v>
      </c>
    </row>
    <row r="44">
      <c r="A44" s="9" t="s">
        <v>87</v>
      </c>
      <c r="B44" s="9" t="str">
        <f t="shared" si="1"/>
        <v>Ді.</v>
      </c>
      <c r="C44" s="11" t="str">
        <f t="shared" si="2"/>
        <v>29</v>
      </c>
      <c r="D44" s="9"/>
      <c r="E44" s="21" t="s">
        <v>847</v>
      </c>
      <c r="F44" s="14"/>
      <c r="G44" s="15"/>
      <c r="H44" s="16" t="s">
        <v>24</v>
      </c>
      <c r="I44" s="53">
        <v>4.0</v>
      </c>
      <c r="J44" s="54"/>
      <c r="K44" s="55">
        <v>6.0</v>
      </c>
      <c r="L44" s="20" t="b">
        <f t="shared" si="3"/>
        <v>0</v>
      </c>
    </row>
    <row r="45">
      <c r="A45" s="9" t="s">
        <v>85</v>
      </c>
      <c r="B45" s="9" t="str">
        <f t="shared" si="1"/>
        <v>Ді.</v>
      </c>
      <c r="C45" s="11" t="str">
        <f t="shared" si="2"/>
        <v>28</v>
      </c>
      <c r="D45" s="9"/>
      <c r="E45" s="21" t="s">
        <v>848</v>
      </c>
      <c r="F45" s="14"/>
      <c r="G45" s="22"/>
      <c r="H45" s="16" t="s">
        <v>24</v>
      </c>
      <c r="I45" s="53">
        <v>5.0</v>
      </c>
      <c r="J45" s="54"/>
      <c r="K45" s="55">
        <v>0.0</v>
      </c>
      <c r="L45" s="20" t="b">
        <f t="shared" si="3"/>
        <v>0</v>
      </c>
    </row>
    <row r="46">
      <c r="A46" s="9" t="s">
        <v>89</v>
      </c>
      <c r="B46" s="9" t="str">
        <f t="shared" si="1"/>
        <v>Ді.</v>
      </c>
      <c r="C46" s="11" t="str">
        <f t="shared" si="2"/>
        <v>30</v>
      </c>
      <c r="D46" s="9"/>
      <c r="E46" s="21" t="s">
        <v>90</v>
      </c>
      <c r="F46" s="14"/>
      <c r="G46" s="22"/>
      <c r="H46" s="16" t="s">
        <v>24</v>
      </c>
      <c r="I46" s="53">
        <v>5.0</v>
      </c>
      <c r="J46" s="54"/>
      <c r="K46" s="55">
        <v>1.0</v>
      </c>
      <c r="L46" s="20" t="b">
        <f t="shared" si="3"/>
        <v>0</v>
      </c>
    </row>
    <row r="47">
      <c r="A47" s="9" t="s">
        <v>92</v>
      </c>
      <c r="B47" s="9" t="str">
        <f t="shared" si="1"/>
        <v>Ді.</v>
      </c>
      <c r="C47" s="11" t="str">
        <f t="shared" si="2"/>
        <v>31</v>
      </c>
      <c r="D47" s="9"/>
      <c r="E47" s="21" t="s">
        <v>93</v>
      </c>
      <c r="F47" s="14"/>
      <c r="G47" s="22"/>
      <c r="H47" s="16" t="s">
        <v>24</v>
      </c>
      <c r="I47" s="53">
        <v>5.0</v>
      </c>
      <c r="J47" s="54"/>
      <c r="K47" s="55">
        <v>2.0</v>
      </c>
      <c r="L47" s="20" t="b">
        <f t="shared" si="3"/>
        <v>0</v>
      </c>
    </row>
    <row r="48">
      <c r="A48" s="9" t="s">
        <v>94</v>
      </c>
      <c r="B48" s="9" t="str">
        <f t="shared" si="1"/>
        <v>Ді.</v>
      </c>
      <c r="C48" s="11" t="str">
        <f t="shared" si="2"/>
        <v>32</v>
      </c>
      <c r="D48" s="9"/>
      <c r="E48" s="21" t="s">
        <v>95</v>
      </c>
      <c r="F48" s="14"/>
      <c r="G48" s="22"/>
      <c r="H48" s="16" t="s">
        <v>24</v>
      </c>
      <c r="I48" s="53">
        <v>5.0</v>
      </c>
      <c r="J48" s="54"/>
      <c r="K48" s="55">
        <v>3.0</v>
      </c>
      <c r="L48" s="20" t="b">
        <f t="shared" si="3"/>
        <v>0</v>
      </c>
    </row>
    <row r="49">
      <c r="A49" s="9" t="s">
        <v>100</v>
      </c>
      <c r="B49" s="9" t="str">
        <f t="shared" si="1"/>
        <v>Ді.</v>
      </c>
      <c r="C49" s="11" t="str">
        <f t="shared" si="2"/>
        <v>35</v>
      </c>
      <c r="D49" s="9"/>
      <c r="E49" s="21" t="s">
        <v>101</v>
      </c>
      <c r="F49" s="14"/>
      <c r="G49" s="22"/>
      <c r="H49" s="16" t="s">
        <v>24</v>
      </c>
      <c r="I49" s="53">
        <v>5.0</v>
      </c>
      <c r="J49" s="54"/>
      <c r="K49" s="55">
        <v>4.0</v>
      </c>
      <c r="L49" s="20" t="b">
        <f t="shared" si="3"/>
        <v>0</v>
      </c>
    </row>
    <row r="50">
      <c r="A50" s="9" t="s">
        <v>102</v>
      </c>
      <c r="B50" s="9" t="str">
        <f t="shared" si="1"/>
        <v>Ді.</v>
      </c>
      <c r="C50" s="11" t="str">
        <f t="shared" si="2"/>
        <v>36</v>
      </c>
      <c r="D50" s="9"/>
      <c r="E50" s="21" t="s">
        <v>103</v>
      </c>
      <c r="F50" s="14"/>
      <c r="G50" s="22"/>
      <c r="H50" s="16" t="s">
        <v>24</v>
      </c>
      <c r="I50" s="53">
        <v>5.0</v>
      </c>
      <c r="J50" s="54"/>
      <c r="K50" s="55">
        <v>5.0</v>
      </c>
      <c r="L50" s="20" t="b">
        <f t="shared" si="3"/>
        <v>0</v>
      </c>
    </row>
    <row r="51">
      <c r="A51" s="9" t="s">
        <v>104</v>
      </c>
      <c r="B51" s="9" t="str">
        <f t="shared" si="1"/>
        <v>Ді.</v>
      </c>
      <c r="C51" s="11" t="str">
        <f t="shared" si="2"/>
        <v>37</v>
      </c>
      <c r="D51" s="9"/>
      <c r="E51" s="21" t="s">
        <v>105</v>
      </c>
      <c r="F51" s="14"/>
      <c r="G51" s="22"/>
      <c r="H51" s="16" t="s">
        <v>24</v>
      </c>
      <c r="I51" s="53">
        <v>5.0</v>
      </c>
      <c r="J51" s="54"/>
      <c r="K51" s="55">
        <v>6.0</v>
      </c>
      <c r="L51" s="20" t="b">
        <f t="shared" si="3"/>
        <v>0</v>
      </c>
    </row>
    <row r="52">
      <c r="A52" s="9" t="s">
        <v>106</v>
      </c>
      <c r="B52" s="9" t="str">
        <f t="shared" si="1"/>
        <v>Ді.</v>
      </c>
      <c r="C52" s="11" t="str">
        <f t="shared" si="2"/>
        <v>38</v>
      </c>
      <c r="D52" s="9"/>
      <c r="E52" s="21" t="s">
        <v>107</v>
      </c>
      <c r="F52" s="14"/>
      <c r="G52" s="22"/>
      <c r="H52" s="16" t="s">
        <v>24</v>
      </c>
      <c r="I52" s="53">
        <v>6.0</v>
      </c>
      <c r="J52" s="54"/>
      <c r="K52" s="55">
        <v>0.0</v>
      </c>
      <c r="L52" s="20" t="b">
        <f t="shared" si="3"/>
        <v>0</v>
      </c>
    </row>
    <row r="53">
      <c r="A53" s="9" t="s">
        <v>108</v>
      </c>
      <c r="B53" s="9" t="str">
        <f t="shared" si="1"/>
        <v>Ді.</v>
      </c>
      <c r="C53" s="11" t="str">
        <f t="shared" si="2"/>
        <v>39</v>
      </c>
      <c r="D53" s="9"/>
      <c r="E53" s="21" t="s">
        <v>109</v>
      </c>
      <c r="F53" s="14"/>
      <c r="G53" s="22"/>
      <c r="H53" s="16" t="s">
        <v>24</v>
      </c>
      <c r="I53" s="53">
        <v>6.0</v>
      </c>
      <c r="J53" s="54"/>
      <c r="K53" s="55">
        <v>1.0</v>
      </c>
      <c r="L53" s="20" t="b">
        <f t="shared" si="3"/>
        <v>0</v>
      </c>
    </row>
    <row r="54">
      <c r="A54" s="9" t="s">
        <v>111</v>
      </c>
      <c r="B54" s="9" t="str">
        <f t="shared" si="1"/>
        <v>Ді.</v>
      </c>
      <c r="C54" s="11" t="str">
        <f t="shared" si="2"/>
        <v>40</v>
      </c>
      <c r="D54" s="12" t="s">
        <v>18</v>
      </c>
      <c r="E54" s="21" t="s">
        <v>112</v>
      </c>
      <c r="F54" s="14"/>
      <c r="G54" s="22"/>
      <c r="H54" s="16" t="s">
        <v>24</v>
      </c>
      <c r="I54" s="53">
        <v>6.0</v>
      </c>
      <c r="J54" s="54"/>
      <c r="K54" s="55">
        <v>2.0</v>
      </c>
      <c r="L54" s="20" t="b">
        <f t="shared" si="3"/>
        <v>0</v>
      </c>
    </row>
    <row r="55">
      <c r="A55" s="9" t="s">
        <v>118</v>
      </c>
      <c r="B55" s="9" t="str">
        <f t="shared" si="1"/>
        <v>Ді.</v>
      </c>
      <c r="C55" s="11" t="str">
        <f t="shared" si="2"/>
        <v>41</v>
      </c>
      <c r="D55" s="9"/>
      <c r="E55" s="21" t="s">
        <v>119</v>
      </c>
      <c r="F55" s="14"/>
      <c r="G55" s="22"/>
      <c r="H55" s="16" t="s">
        <v>24</v>
      </c>
      <c r="I55" s="53">
        <v>6.0</v>
      </c>
      <c r="J55" s="54"/>
      <c r="K55" s="55">
        <v>3.0</v>
      </c>
      <c r="L55" s="20" t="b">
        <f t="shared" si="3"/>
        <v>0</v>
      </c>
    </row>
    <row r="56">
      <c r="A56" s="9" t="s">
        <v>21</v>
      </c>
      <c r="B56" s="9" t="str">
        <f t="shared" si="1"/>
        <v>Ді.</v>
      </c>
      <c r="C56" s="11" t="str">
        <f t="shared" si="2"/>
        <v>1</v>
      </c>
      <c r="D56" s="12" t="s">
        <v>22</v>
      </c>
      <c r="E56" s="13" t="s">
        <v>23</v>
      </c>
      <c r="F56" s="14"/>
      <c r="G56" s="15"/>
      <c r="H56" s="16" t="s">
        <v>24</v>
      </c>
      <c r="I56" s="55">
        <v>6.0</v>
      </c>
      <c r="J56" s="54"/>
      <c r="K56" s="55">
        <v>4.0</v>
      </c>
      <c r="L56" s="20" t="b">
        <f t="shared" si="3"/>
        <v>0</v>
      </c>
    </row>
    <row r="57">
      <c r="A57" s="9" t="s">
        <v>120</v>
      </c>
      <c r="B57" s="9" t="str">
        <f t="shared" si="1"/>
        <v>Ді.</v>
      </c>
      <c r="C57" s="11" t="str">
        <f t="shared" si="2"/>
        <v>42</v>
      </c>
      <c r="D57" s="9"/>
      <c r="E57" s="21" t="s">
        <v>121</v>
      </c>
      <c r="F57" s="14"/>
      <c r="G57" s="15" t="s">
        <v>122</v>
      </c>
      <c r="H57" s="16" t="s">
        <v>24</v>
      </c>
      <c r="I57" s="53">
        <v>6.0</v>
      </c>
      <c r="J57" s="54"/>
      <c r="K57" s="55">
        <v>5.0</v>
      </c>
      <c r="L57" s="20" t="b">
        <f t="shared" si="3"/>
        <v>0</v>
      </c>
    </row>
    <row r="58">
      <c r="A58" s="9" t="s">
        <v>123</v>
      </c>
      <c r="B58" s="9" t="str">
        <f t="shared" si="1"/>
        <v>Ді.</v>
      </c>
      <c r="C58" s="11" t="str">
        <f t="shared" si="2"/>
        <v>43</v>
      </c>
      <c r="D58" s="9"/>
      <c r="E58" s="21" t="s">
        <v>124</v>
      </c>
      <c r="F58" s="14"/>
      <c r="G58" s="22"/>
      <c r="H58" s="16" t="s">
        <v>24</v>
      </c>
      <c r="I58" s="53">
        <v>6.0</v>
      </c>
      <c r="J58" s="54"/>
      <c r="K58" s="55">
        <v>6.0</v>
      </c>
      <c r="L58" s="20" t="b">
        <f t="shared" si="3"/>
        <v>0</v>
      </c>
    </row>
    <row r="59">
      <c r="A59" s="9" t="s">
        <v>125</v>
      </c>
      <c r="B59" s="9" t="str">
        <f t="shared" si="1"/>
        <v>Ді.</v>
      </c>
      <c r="C59" s="11" t="str">
        <f t="shared" si="2"/>
        <v>44</v>
      </c>
      <c r="D59" s="9"/>
      <c r="E59" s="21" t="s">
        <v>126</v>
      </c>
      <c r="F59" s="14"/>
      <c r="G59" s="22"/>
      <c r="H59" s="16" t="s">
        <v>24</v>
      </c>
      <c r="I59" s="53">
        <v>7.0</v>
      </c>
      <c r="J59" s="54"/>
      <c r="K59" s="55">
        <v>0.0</v>
      </c>
      <c r="L59" s="20" t="b">
        <f t="shared" si="3"/>
        <v>0</v>
      </c>
    </row>
    <row r="60">
      <c r="A60" s="9" t="s">
        <v>127</v>
      </c>
      <c r="B60" s="9" t="str">
        <f t="shared" si="1"/>
        <v>Ді.</v>
      </c>
      <c r="C60" s="11" t="str">
        <f t="shared" si="2"/>
        <v>45</v>
      </c>
      <c r="D60" s="9"/>
      <c r="E60" s="21" t="s">
        <v>128</v>
      </c>
      <c r="F60" s="14"/>
      <c r="G60" s="22"/>
      <c r="H60" s="16" t="s">
        <v>24</v>
      </c>
      <c r="I60" s="53">
        <v>7.0</v>
      </c>
      <c r="J60" s="54"/>
      <c r="K60" s="55">
        <v>1.0</v>
      </c>
      <c r="L60" s="20" t="b">
        <f t="shared" si="3"/>
        <v>0</v>
      </c>
    </row>
    <row r="61">
      <c r="A61" s="9" t="s">
        <v>130</v>
      </c>
      <c r="B61" s="9" t="str">
        <f t="shared" si="1"/>
        <v>Ді.</v>
      </c>
      <c r="C61" s="11" t="str">
        <f t="shared" si="2"/>
        <v>46</v>
      </c>
      <c r="D61" s="9"/>
      <c r="E61" s="25" t="s">
        <v>131</v>
      </c>
      <c r="F61" s="14"/>
      <c r="G61" s="22"/>
      <c r="H61" s="16" t="s">
        <v>24</v>
      </c>
      <c r="I61" s="53">
        <v>7.0</v>
      </c>
      <c r="J61" s="54"/>
      <c r="K61" s="55">
        <v>2.0</v>
      </c>
      <c r="L61" s="20" t="b">
        <f t="shared" si="3"/>
        <v>0</v>
      </c>
    </row>
    <row r="62">
      <c r="A62" s="9" t="s">
        <v>132</v>
      </c>
      <c r="B62" s="9" t="str">
        <f t="shared" si="1"/>
        <v>Ді.</v>
      </c>
      <c r="C62" s="11" t="str">
        <f t="shared" si="2"/>
        <v>47</v>
      </c>
      <c r="D62" s="9"/>
      <c r="E62" s="25" t="s">
        <v>133</v>
      </c>
      <c r="F62" s="14"/>
      <c r="G62" s="22"/>
      <c r="H62" s="16" t="s">
        <v>24</v>
      </c>
      <c r="I62" s="53">
        <v>7.0</v>
      </c>
      <c r="J62" s="54"/>
      <c r="K62" s="55">
        <v>3.0</v>
      </c>
      <c r="L62" s="20" t="b">
        <f t="shared" si="3"/>
        <v>0</v>
      </c>
    </row>
    <row r="63">
      <c r="A63" s="9" t="s">
        <v>134</v>
      </c>
      <c r="B63" s="9" t="str">
        <f t="shared" si="1"/>
        <v>Ді.</v>
      </c>
      <c r="C63" s="11" t="str">
        <f t="shared" si="2"/>
        <v>48</v>
      </c>
      <c r="D63" s="9"/>
      <c r="E63" s="25" t="s">
        <v>135</v>
      </c>
      <c r="F63" s="14"/>
      <c r="G63" s="22"/>
      <c r="H63" s="16" t="s">
        <v>24</v>
      </c>
      <c r="I63" s="53">
        <v>7.0</v>
      </c>
      <c r="J63" s="54"/>
      <c r="K63" s="55">
        <v>4.0</v>
      </c>
      <c r="L63" s="20" t="b">
        <f t="shared" si="3"/>
        <v>0</v>
      </c>
    </row>
    <row r="64">
      <c r="A64" s="9" t="s">
        <v>139</v>
      </c>
      <c r="B64" s="9" t="str">
        <f t="shared" si="1"/>
        <v>Ді.</v>
      </c>
      <c r="C64" s="11" t="str">
        <f t="shared" si="2"/>
        <v>50</v>
      </c>
      <c r="D64" s="12" t="s">
        <v>18</v>
      </c>
      <c r="E64" s="21" t="s">
        <v>140</v>
      </c>
      <c r="F64" s="14"/>
      <c r="G64" s="22"/>
      <c r="H64" s="16" t="s">
        <v>24</v>
      </c>
      <c r="I64" s="53">
        <v>7.0</v>
      </c>
      <c r="J64" s="54"/>
      <c r="K64" s="55">
        <v>5.0</v>
      </c>
      <c r="L64" s="20" t="b">
        <f t="shared" si="3"/>
        <v>0</v>
      </c>
    </row>
    <row r="65">
      <c r="A65" s="24" t="s">
        <v>144</v>
      </c>
      <c r="B65" s="9" t="str">
        <f t="shared" si="1"/>
        <v>Ді.</v>
      </c>
      <c r="C65" s="11" t="str">
        <f t="shared" si="2"/>
        <v>51</v>
      </c>
      <c r="D65" s="12" t="s">
        <v>18</v>
      </c>
      <c r="E65" s="21" t="s">
        <v>145</v>
      </c>
      <c r="F65" s="14"/>
      <c r="G65" s="22"/>
      <c r="H65" s="16" t="s">
        <v>24</v>
      </c>
      <c r="I65" s="53">
        <v>7.0</v>
      </c>
      <c r="J65" s="54"/>
      <c r="K65" s="55">
        <v>6.0</v>
      </c>
      <c r="L65" s="20" t="b">
        <f t="shared" si="3"/>
        <v>0</v>
      </c>
    </row>
    <row r="66">
      <c r="A66" s="9" t="s">
        <v>27</v>
      </c>
      <c r="B66" s="9" t="str">
        <f t="shared" si="1"/>
        <v>Ді.</v>
      </c>
      <c r="C66" s="11" t="str">
        <f t="shared" si="2"/>
        <v>3</v>
      </c>
      <c r="D66" s="9"/>
      <c r="E66" s="21" t="s">
        <v>28</v>
      </c>
      <c r="F66" s="14"/>
      <c r="G66" s="15"/>
      <c r="H66" s="16" t="s">
        <v>29</v>
      </c>
      <c r="I66" s="55">
        <v>1.0</v>
      </c>
      <c r="J66" s="54"/>
      <c r="K66" s="55">
        <v>0.0</v>
      </c>
      <c r="L66" s="20" t="b">
        <f t="shared" si="3"/>
        <v>0</v>
      </c>
    </row>
    <row r="67">
      <c r="A67" s="9" t="s">
        <v>592</v>
      </c>
      <c r="B67" s="9" t="str">
        <f t="shared" si="1"/>
        <v>Еф.</v>
      </c>
      <c r="C67" s="11" t="str">
        <f t="shared" si="2"/>
        <v>229</v>
      </c>
      <c r="D67" s="9"/>
      <c r="E67" s="25" t="s">
        <v>849</v>
      </c>
      <c r="F67" s="14"/>
      <c r="G67" s="22"/>
      <c r="H67" s="16" t="s">
        <v>29</v>
      </c>
      <c r="I67" s="53">
        <v>1.0</v>
      </c>
      <c r="J67" s="54"/>
      <c r="K67" s="55">
        <v>1.0</v>
      </c>
      <c r="L67" s="20" t="b">
        <f t="shared" si="3"/>
        <v>0</v>
      </c>
    </row>
    <row r="68">
      <c r="A68" s="24" t="s">
        <v>234</v>
      </c>
      <c r="B68" s="9" t="str">
        <f t="shared" si="1"/>
        <v>Рим.</v>
      </c>
      <c r="C68" s="11" t="str">
        <f t="shared" si="2"/>
        <v>79</v>
      </c>
      <c r="D68" s="12" t="s">
        <v>18</v>
      </c>
      <c r="E68" s="13" t="s">
        <v>235</v>
      </c>
      <c r="F68" s="14"/>
      <c r="G68" s="22"/>
      <c r="H68" s="16" t="s">
        <v>29</v>
      </c>
      <c r="I68" s="53">
        <v>1.0</v>
      </c>
      <c r="J68" s="54"/>
      <c r="K68" s="55">
        <v>2.0</v>
      </c>
      <c r="L68" s="20" t="b">
        <f t="shared" si="3"/>
        <v>0</v>
      </c>
    </row>
    <row r="69">
      <c r="A69" s="9" t="s">
        <v>238</v>
      </c>
      <c r="B69" s="9" t="str">
        <f t="shared" si="1"/>
        <v>Рим.</v>
      </c>
      <c r="C69" s="11" t="str">
        <f t="shared" si="2"/>
        <v>80</v>
      </c>
      <c r="D69" s="9"/>
      <c r="E69" s="13" t="s">
        <v>239</v>
      </c>
      <c r="F69" s="14"/>
      <c r="G69" s="22"/>
      <c r="H69" s="16" t="s">
        <v>29</v>
      </c>
      <c r="I69" s="53">
        <v>1.0</v>
      </c>
      <c r="J69" s="54"/>
      <c r="K69" s="55">
        <v>3.0</v>
      </c>
      <c r="L69" s="20" t="b">
        <f t="shared" si="3"/>
        <v>0</v>
      </c>
    </row>
    <row r="70">
      <c r="A70" s="9" t="s">
        <v>240</v>
      </c>
      <c r="B70" s="9" t="str">
        <f t="shared" si="1"/>
        <v>Рим.</v>
      </c>
      <c r="C70" s="11" t="str">
        <f t="shared" si="2"/>
        <v>81</v>
      </c>
      <c r="D70" s="12" t="s">
        <v>18</v>
      </c>
      <c r="E70" s="13" t="s">
        <v>241</v>
      </c>
      <c r="F70" s="14"/>
      <c r="G70" s="22"/>
      <c r="H70" s="16" t="s">
        <v>29</v>
      </c>
      <c r="I70" s="53">
        <v>1.0</v>
      </c>
      <c r="J70" s="54"/>
      <c r="K70" s="55">
        <v>4.0</v>
      </c>
      <c r="L70" s="20" t="b">
        <f t="shared" si="3"/>
        <v>0</v>
      </c>
    </row>
    <row r="71">
      <c r="A71" s="9" t="s">
        <v>244</v>
      </c>
      <c r="B71" s="9" t="str">
        <f t="shared" si="1"/>
        <v>Рим.</v>
      </c>
      <c r="C71" s="11" t="str">
        <f t="shared" si="2"/>
        <v>82</v>
      </c>
      <c r="D71" s="9"/>
      <c r="E71" s="13" t="s">
        <v>245</v>
      </c>
      <c r="F71" s="14"/>
      <c r="G71" s="22"/>
      <c r="H71" s="16" t="s">
        <v>29</v>
      </c>
      <c r="I71" s="53">
        <v>1.0</v>
      </c>
      <c r="J71" s="54"/>
      <c r="K71" s="55">
        <v>5.0</v>
      </c>
      <c r="L71" s="20" t="b">
        <f t="shared" si="3"/>
        <v>0</v>
      </c>
    </row>
    <row r="72">
      <c r="A72" s="9" t="s">
        <v>236</v>
      </c>
      <c r="B72" s="9" t="str">
        <f t="shared" si="1"/>
        <v>Рим.</v>
      </c>
      <c r="C72" s="11" t="str">
        <f t="shared" si="2"/>
        <v>79</v>
      </c>
      <c r="D72" s="12" t="s">
        <v>22</v>
      </c>
      <c r="E72" s="13" t="s">
        <v>237</v>
      </c>
      <c r="F72" s="14"/>
      <c r="G72" s="22"/>
      <c r="H72" s="16" t="s">
        <v>29</v>
      </c>
      <c r="I72" s="53">
        <v>1.0</v>
      </c>
      <c r="J72" s="54"/>
      <c r="K72" s="55">
        <v>6.0</v>
      </c>
      <c r="L72" s="20" t="b">
        <f t="shared" si="3"/>
        <v>0</v>
      </c>
    </row>
    <row r="73">
      <c r="A73" s="9" t="s">
        <v>827</v>
      </c>
      <c r="B73" s="9" t="str">
        <f t="shared" si="1"/>
        <v>Євр.</v>
      </c>
      <c r="C73" s="11" t="str">
        <f t="shared" si="2"/>
        <v>330</v>
      </c>
      <c r="D73" s="9"/>
      <c r="E73" s="13" t="s">
        <v>828</v>
      </c>
      <c r="F73" s="14"/>
      <c r="G73" s="22"/>
      <c r="H73" s="16" t="s">
        <v>29</v>
      </c>
      <c r="I73" s="53">
        <v>1.0</v>
      </c>
      <c r="J73" s="54"/>
      <c r="K73" s="55">
        <v>7.0</v>
      </c>
      <c r="L73" s="20" t="b">
        <f t="shared" si="3"/>
        <v>0</v>
      </c>
    </row>
    <row r="74">
      <c r="A74" s="9" t="s">
        <v>246</v>
      </c>
      <c r="B74" s="9" t="str">
        <f t="shared" si="1"/>
        <v>Рим.</v>
      </c>
      <c r="C74" s="11" t="str">
        <f t="shared" si="2"/>
        <v>83</v>
      </c>
      <c r="D74" s="9"/>
      <c r="E74" s="21" t="s">
        <v>247</v>
      </c>
      <c r="F74" s="14"/>
      <c r="G74" s="22"/>
      <c r="H74" s="16" t="s">
        <v>29</v>
      </c>
      <c r="I74" s="53">
        <v>2.0</v>
      </c>
      <c r="J74" s="54"/>
      <c r="K74" s="55">
        <v>1.0</v>
      </c>
      <c r="L74" s="20" t="b">
        <f t="shared" si="3"/>
        <v>0</v>
      </c>
    </row>
    <row r="75">
      <c r="A75" s="9" t="s">
        <v>252</v>
      </c>
      <c r="B75" s="9" t="str">
        <f t="shared" si="1"/>
        <v>Рим.</v>
      </c>
      <c r="C75" s="11" t="str">
        <f t="shared" si="2"/>
        <v>86</v>
      </c>
      <c r="D75" s="9"/>
      <c r="E75" s="21" t="s">
        <v>253</v>
      </c>
      <c r="F75" s="14"/>
      <c r="G75" s="22"/>
      <c r="H75" s="16" t="s">
        <v>29</v>
      </c>
      <c r="I75" s="53">
        <v>2.0</v>
      </c>
      <c r="J75" s="54"/>
      <c r="K75" s="55">
        <v>2.0</v>
      </c>
      <c r="L75" s="20" t="b">
        <f t="shared" si="3"/>
        <v>0</v>
      </c>
    </row>
    <row r="76">
      <c r="A76" s="9" t="s">
        <v>254</v>
      </c>
      <c r="B76" s="9" t="str">
        <f t="shared" si="1"/>
        <v>Рим.</v>
      </c>
      <c r="C76" s="11" t="str">
        <f t="shared" si="2"/>
        <v>87</v>
      </c>
      <c r="D76" s="9"/>
      <c r="E76" s="21" t="s">
        <v>255</v>
      </c>
      <c r="F76" s="14"/>
      <c r="G76" s="22"/>
      <c r="H76" s="16" t="s">
        <v>29</v>
      </c>
      <c r="I76" s="53">
        <v>2.0</v>
      </c>
      <c r="J76" s="54"/>
      <c r="K76" s="55">
        <v>3.0</v>
      </c>
      <c r="L76" s="20" t="b">
        <f t="shared" si="3"/>
        <v>0</v>
      </c>
    </row>
    <row r="77">
      <c r="A77" s="9" t="s">
        <v>260</v>
      </c>
      <c r="B77" s="9" t="str">
        <f t="shared" si="1"/>
        <v>Рим.</v>
      </c>
      <c r="C77" s="11" t="str">
        <f t="shared" si="2"/>
        <v>89</v>
      </c>
      <c r="D77" s="9"/>
      <c r="E77" s="21" t="s">
        <v>261</v>
      </c>
      <c r="F77" s="14"/>
      <c r="G77" s="22"/>
      <c r="H77" s="16" t="s">
        <v>29</v>
      </c>
      <c r="I77" s="53">
        <v>2.0</v>
      </c>
      <c r="J77" s="54"/>
      <c r="K77" s="55">
        <v>4.0</v>
      </c>
      <c r="L77" s="20" t="b">
        <f t="shared" si="3"/>
        <v>0</v>
      </c>
    </row>
    <row r="78">
      <c r="A78" s="9" t="s">
        <v>262</v>
      </c>
      <c r="B78" s="9" t="str">
        <f t="shared" si="1"/>
        <v>Рим.</v>
      </c>
      <c r="C78" s="11" t="str">
        <f t="shared" si="2"/>
        <v>90</v>
      </c>
      <c r="D78" s="9"/>
      <c r="E78" s="21" t="s">
        <v>263</v>
      </c>
      <c r="F78" s="14"/>
      <c r="G78" s="22"/>
      <c r="H78" s="16" t="s">
        <v>29</v>
      </c>
      <c r="I78" s="53">
        <v>2.0</v>
      </c>
      <c r="J78" s="54"/>
      <c r="K78" s="55">
        <v>5.0</v>
      </c>
      <c r="L78" s="20" t="b">
        <f t="shared" si="3"/>
        <v>0</v>
      </c>
    </row>
    <row r="79">
      <c r="A79" s="9" t="s">
        <v>248</v>
      </c>
      <c r="B79" s="9" t="str">
        <f t="shared" si="1"/>
        <v>Рим.</v>
      </c>
      <c r="C79" s="11" t="str">
        <f t="shared" si="2"/>
        <v>84</v>
      </c>
      <c r="D79" s="9"/>
      <c r="E79" s="21" t="s">
        <v>249</v>
      </c>
      <c r="F79" s="14"/>
      <c r="G79" s="22"/>
      <c r="H79" s="16" t="s">
        <v>29</v>
      </c>
      <c r="I79" s="53">
        <v>2.0</v>
      </c>
      <c r="J79" s="54"/>
      <c r="K79" s="55">
        <v>6.0</v>
      </c>
      <c r="L79" s="20" t="b">
        <f t="shared" si="3"/>
        <v>0</v>
      </c>
    </row>
    <row r="80">
      <c r="A80" s="56" t="s">
        <v>285</v>
      </c>
      <c r="B80" s="56" t="str">
        <f t="shared" si="1"/>
        <v>Рим.</v>
      </c>
      <c r="C80" s="57" t="str">
        <f t="shared" si="2"/>
        <v>99</v>
      </c>
      <c r="D80" s="56"/>
      <c r="E80" s="58" t="s">
        <v>286</v>
      </c>
      <c r="F80" s="59"/>
      <c r="G80" s="15" t="s">
        <v>70</v>
      </c>
      <c r="H80" s="16" t="s">
        <v>29</v>
      </c>
      <c r="I80" s="53">
        <v>2.0</v>
      </c>
      <c r="J80" s="54"/>
      <c r="K80" s="55">
        <v>7.0</v>
      </c>
      <c r="L80" s="20" t="b">
        <f t="shared" si="3"/>
        <v>0</v>
      </c>
    </row>
    <row r="81">
      <c r="A81" s="56" t="s">
        <v>242</v>
      </c>
      <c r="B81" s="56" t="str">
        <f t="shared" si="1"/>
        <v>Рим.</v>
      </c>
      <c r="C81" s="57" t="str">
        <f t="shared" si="2"/>
        <v>81</v>
      </c>
      <c r="D81" s="60" t="s">
        <v>22</v>
      </c>
      <c r="E81" s="61" t="s">
        <v>243</v>
      </c>
      <c r="F81" s="59"/>
      <c r="G81" s="22"/>
      <c r="H81" s="16" t="s">
        <v>29</v>
      </c>
      <c r="I81" s="53">
        <v>2.0</v>
      </c>
      <c r="J81" s="54"/>
      <c r="K81" s="55">
        <v>7.0</v>
      </c>
      <c r="L81" s="20" t="b">
        <f t="shared" si="3"/>
        <v>0</v>
      </c>
    </row>
    <row r="82">
      <c r="A82" s="9" t="s">
        <v>270</v>
      </c>
      <c r="B82" s="9" t="str">
        <f t="shared" si="1"/>
        <v>Рим.</v>
      </c>
      <c r="C82" s="11" t="str">
        <f t="shared" si="2"/>
        <v>94</v>
      </c>
      <c r="D82" s="9"/>
      <c r="E82" s="21" t="s">
        <v>271</v>
      </c>
      <c r="F82" s="14"/>
      <c r="G82" s="22"/>
      <c r="H82" s="16" t="s">
        <v>29</v>
      </c>
      <c r="I82" s="53">
        <v>3.0</v>
      </c>
      <c r="J82" s="54"/>
      <c r="K82" s="55">
        <v>1.0</v>
      </c>
      <c r="L82" s="20" t="b">
        <f t="shared" si="3"/>
        <v>0</v>
      </c>
    </row>
    <row r="83">
      <c r="A83" s="9" t="s">
        <v>272</v>
      </c>
      <c r="B83" s="9" t="str">
        <f t="shared" si="1"/>
        <v>Рим.</v>
      </c>
      <c r="C83" s="11" t="str">
        <f t="shared" si="2"/>
        <v>95</v>
      </c>
      <c r="D83" s="9"/>
      <c r="E83" s="21" t="s">
        <v>273</v>
      </c>
      <c r="F83" s="14"/>
      <c r="G83" s="22"/>
      <c r="H83" s="16" t="s">
        <v>29</v>
      </c>
      <c r="I83" s="53">
        <v>3.0</v>
      </c>
      <c r="J83" s="54"/>
      <c r="K83" s="55">
        <v>2.0</v>
      </c>
      <c r="L83" s="20" t="b">
        <f t="shared" si="3"/>
        <v>0</v>
      </c>
    </row>
    <row r="84">
      <c r="A84" s="9" t="s">
        <v>274</v>
      </c>
      <c r="B84" s="9" t="str">
        <f t="shared" si="1"/>
        <v>Рим.</v>
      </c>
      <c r="C84" s="11" t="str">
        <f t="shared" si="2"/>
        <v>96</v>
      </c>
      <c r="D84" s="26" t="s">
        <v>18</v>
      </c>
      <c r="E84" s="13" t="s">
        <v>275</v>
      </c>
      <c r="F84" s="14"/>
      <c r="G84" s="22"/>
      <c r="H84" s="16" t="s">
        <v>29</v>
      </c>
      <c r="I84" s="53">
        <v>3.0</v>
      </c>
      <c r="J84" s="54"/>
      <c r="K84" s="55">
        <v>3.0</v>
      </c>
      <c r="L84" s="20" t="b">
        <f t="shared" si="3"/>
        <v>0</v>
      </c>
    </row>
    <row r="85">
      <c r="A85" s="9" t="s">
        <v>283</v>
      </c>
      <c r="B85" s="9" t="str">
        <f t="shared" si="1"/>
        <v>Рим.</v>
      </c>
      <c r="C85" s="11" t="str">
        <f t="shared" si="2"/>
        <v>98</v>
      </c>
      <c r="D85" s="9"/>
      <c r="E85" s="13" t="s">
        <v>284</v>
      </c>
      <c r="F85" s="14"/>
      <c r="G85" s="22"/>
      <c r="H85" s="16" t="s">
        <v>29</v>
      </c>
      <c r="I85" s="53">
        <v>3.0</v>
      </c>
      <c r="J85" s="54"/>
      <c r="K85" s="55">
        <v>4.0</v>
      </c>
      <c r="L85" s="20" t="b">
        <f t="shared" si="3"/>
        <v>0</v>
      </c>
    </row>
    <row r="86">
      <c r="A86" s="9" t="s">
        <v>289</v>
      </c>
      <c r="B86" s="9" t="str">
        <f t="shared" si="1"/>
        <v>Рим.</v>
      </c>
      <c r="C86" s="11" t="str">
        <f t="shared" si="2"/>
        <v>101</v>
      </c>
      <c r="D86" s="9"/>
      <c r="E86" s="21" t="s">
        <v>290</v>
      </c>
      <c r="F86" s="14"/>
      <c r="G86" s="22"/>
      <c r="H86" s="16" t="s">
        <v>29</v>
      </c>
      <c r="I86" s="53">
        <v>3.0</v>
      </c>
      <c r="J86" s="54"/>
      <c r="K86" s="55">
        <v>5.0</v>
      </c>
      <c r="L86" s="20" t="b">
        <f t="shared" si="3"/>
        <v>0</v>
      </c>
    </row>
    <row r="87">
      <c r="A87" s="9" t="s">
        <v>250</v>
      </c>
      <c r="B87" s="9" t="str">
        <f t="shared" si="1"/>
        <v>Рим.</v>
      </c>
      <c r="C87" s="11" t="str">
        <f t="shared" si="2"/>
        <v>85</v>
      </c>
      <c r="D87" s="9"/>
      <c r="E87" s="21" t="s">
        <v>850</v>
      </c>
      <c r="F87" s="14"/>
      <c r="G87" s="22"/>
      <c r="H87" s="16" t="s">
        <v>29</v>
      </c>
      <c r="I87" s="53">
        <v>3.0</v>
      </c>
      <c r="J87" s="54"/>
      <c r="K87" s="55">
        <v>6.0</v>
      </c>
      <c r="L87" s="20" t="b">
        <f t="shared" si="3"/>
        <v>0</v>
      </c>
    </row>
    <row r="88">
      <c r="A88" s="9" t="s">
        <v>614</v>
      </c>
      <c r="B88" s="9" t="str">
        <f t="shared" si="1"/>
        <v>Флп.</v>
      </c>
      <c r="C88" s="11" t="str">
        <f t="shared" si="2"/>
        <v>240</v>
      </c>
      <c r="D88" s="26"/>
      <c r="E88" s="21" t="s">
        <v>851</v>
      </c>
      <c r="F88" s="14"/>
      <c r="G88" s="22"/>
      <c r="H88" s="16" t="s">
        <v>29</v>
      </c>
      <c r="I88" s="53">
        <v>3.0</v>
      </c>
      <c r="J88" s="54"/>
      <c r="K88" s="55">
        <v>6.0</v>
      </c>
      <c r="L88" s="20" t="b">
        <f t="shared" si="3"/>
        <v>0</v>
      </c>
    </row>
    <row r="89">
      <c r="A89" s="9" t="s">
        <v>256</v>
      </c>
      <c r="B89" s="9" t="str">
        <f t="shared" si="1"/>
        <v>Рим.</v>
      </c>
      <c r="C89" s="11" t="str">
        <f t="shared" si="2"/>
        <v>88</v>
      </c>
      <c r="D89" s="26" t="s">
        <v>18</v>
      </c>
      <c r="E89" s="21" t="s">
        <v>257</v>
      </c>
      <c r="F89" s="14"/>
      <c r="G89" s="22"/>
      <c r="H89" s="16" t="s">
        <v>29</v>
      </c>
      <c r="I89" s="53">
        <v>3.0</v>
      </c>
      <c r="J89" s="54"/>
      <c r="K89" s="55">
        <v>7.0</v>
      </c>
      <c r="L89" s="20" t="b">
        <f t="shared" si="3"/>
        <v>0</v>
      </c>
    </row>
    <row r="90">
      <c r="A90" s="9" t="s">
        <v>291</v>
      </c>
      <c r="B90" s="9" t="str">
        <f t="shared" si="1"/>
        <v>Рим.</v>
      </c>
      <c r="C90" s="11" t="str">
        <f t="shared" si="2"/>
        <v>102</v>
      </c>
      <c r="D90" s="9"/>
      <c r="E90" s="25" t="s">
        <v>292</v>
      </c>
      <c r="F90" s="14"/>
      <c r="G90" s="22"/>
      <c r="H90" s="16" t="s">
        <v>29</v>
      </c>
      <c r="I90" s="53">
        <v>4.0</v>
      </c>
      <c r="J90" s="54"/>
      <c r="K90" s="55">
        <v>1.0</v>
      </c>
      <c r="L90" s="20" t="b">
        <f t="shared" si="3"/>
        <v>0</v>
      </c>
    </row>
    <row r="91">
      <c r="A91" s="9" t="s">
        <v>295</v>
      </c>
      <c r="B91" s="9" t="str">
        <f t="shared" si="1"/>
        <v>Рим.</v>
      </c>
      <c r="C91" s="11" t="str">
        <f t="shared" si="2"/>
        <v>104</v>
      </c>
      <c r="D91" s="9"/>
      <c r="E91" s="25" t="s">
        <v>296</v>
      </c>
      <c r="F91" s="14"/>
      <c r="G91" s="22"/>
      <c r="H91" s="16" t="s">
        <v>29</v>
      </c>
      <c r="I91" s="53">
        <v>4.0</v>
      </c>
      <c r="J91" s="54"/>
      <c r="K91" s="55">
        <v>2.0</v>
      </c>
      <c r="L91" s="20" t="b">
        <f t="shared" si="3"/>
        <v>0</v>
      </c>
    </row>
    <row r="92">
      <c r="A92" s="9" t="s">
        <v>297</v>
      </c>
      <c r="B92" s="9" t="str">
        <f t="shared" si="1"/>
        <v>Рим.</v>
      </c>
      <c r="C92" s="11" t="str">
        <f t="shared" si="2"/>
        <v>105</v>
      </c>
      <c r="D92" s="9"/>
      <c r="E92" s="25" t="s">
        <v>298</v>
      </c>
      <c r="F92" s="14"/>
      <c r="G92" s="22"/>
      <c r="H92" s="16" t="s">
        <v>29</v>
      </c>
      <c r="I92" s="53">
        <v>4.0</v>
      </c>
      <c r="J92" s="54"/>
      <c r="K92" s="55">
        <v>3.0</v>
      </c>
      <c r="L92" s="20" t="b">
        <f t="shared" si="3"/>
        <v>0</v>
      </c>
    </row>
    <row r="93">
      <c r="A93" s="9" t="s">
        <v>299</v>
      </c>
      <c r="B93" s="9" t="str">
        <f t="shared" si="1"/>
        <v>Рим.</v>
      </c>
      <c r="C93" s="11" t="str">
        <f t="shared" si="2"/>
        <v>106</v>
      </c>
      <c r="D93" s="9"/>
      <c r="E93" s="25" t="s">
        <v>300</v>
      </c>
      <c r="F93" s="14"/>
      <c r="G93" s="22"/>
      <c r="H93" s="16" t="s">
        <v>29</v>
      </c>
      <c r="I93" s="53">
        <v>4.0</v>
      </c>
      <c r="J93" s="54"/>
      <c r="K93" s="55">
        <v>4.0</v>
      </c>
      <c r="L93" s="20" t="b">
        <f t="shared" si="3"/>
        <v>0</v>
      </c>
    </row>
    <row r="94">
      <c r="A94" s="9" t="s">
        <v>301</v>
      </c>
      <c r="B94" s="9" t="str">
        <f t="shared" si="1"/>
        <v>Рим.</v>
      </c>
      <c r="C94" s="11" t="str">
        <f t="shared" si="2"/>
        <v>107</v>
      </c>
      <c r="D94" s="9"/>
      <c r="E94" s="25" t="s">
        <v>302</v>
      </c>
      <c r="F94" s="14"/>
      <c r="G94" s="22"/>
      <c r="H94" s="16" t="s">
        <v>29</v>
      </c>
      <c r="I94" s="53">
        <v>4.0</v>
      </c>
      <c r="J94" s="54"/>
      <c r="K94" s="55">
        <v>5.0</v>
      </c>
      <c r="L94" s="20" t="b">
        <f t="shared" si="3"/>
        <v>0</v>
      </c>
    </row>
    <row r="95">
      <c r="A95" s="9" t="s">
        <v>266</v>
      </c>
      <c r="B95" s="9" t="str">
        <f t="shared" si="1"/>
        <v>Рим.</v>
      </c>
      <c r="C95" s="11" t="str">
        <f t="shared" si="2"/>
        <v>92</v>
      </c>
      <c r="D95" s="9"/>
      <c r="E95" s="21" t="s">
        <v>267</v>
      </c>
      <c r="F95" s="14"/>
      <c r="G95" s="22"/>
      <c r="H95" s="16" t="s">
        <v>29</v>
      </c>
      <c r="I95" s="53">
        <v>4.0</v>
      </c>
      <c r="J95" s="54"/>
      <c r="K95" s="55">
        <v>6.0</v>
      </c>
      <c r="L95" s="20" t="b">
        <f t="shared" si="3"/>
        <v>0</v>
      </c>
    </row>
    <row r="96">
      <c r="A96" s="9" t="s">
        <v>268</v>
      </c>
      <c r="B96" s="9" t="str">
        <f t="shared" si="1"/>
        <v>Рим.</v>
      </c>
      <c r="C96" s="11" t="str">
        <f t="shared" si="2"/>
        <v>93</v>
      </c>
      <c r="D96" s="9"/>
      <c r="E96" s="21" t="s">
        <v>269</v>
      </c>
      <c r="F96" s="14"/>
      <c r="G96" s="22"/>
      <c r="H96" s="16" t="s">
        <v>29</v>
      </c>
      <c r="I96" s="53">
        <v>4.0</v>
      </c>
      <c r="J96" s="54"/>
      <c r="K96" s="55">
        <v>7.0</v>
      </c>
      <c r="L96" s="20" t="b">
        <f t="shared" si="3"/>
        <v>0</v>
      </c>
    </row>
    <row r="97">
      <c r="A97" s="9" t="s">
        <v>305</v>
      </c>
      <c r="B97" s="9" t="str">
        <f t="shared" si="1"/>
        <v>Рим.</v>
      </c>
      <c r="C97" s="11" t="str">
        <f t="shared" si="2"/>
        <v>109</v>
      </c>
      <c r="D97" s="9"/>
      <c r="E97" s="25" t="s">
        <v>306</v>
      </c>
      <c r="F97" s="14"/>
      <c r="G97" s="22"/>
      <c r="H97" s="16" t="s">
        <v>29</v>
      </c>
      <c r="I97" s="53">
        <v>5.0</v>
      </c>
      <c r="J97" s="54"/>
      <c r="K97" s="55">
        <v>1.0</v>
      </c>
      <c r="L97" s="20" t="b">
        <f t="shared" si="3"/>
        <v>0</v>
      </c>
    </row>
    <row r="98">
      <c r="A98" s="9" t="s">
        <v>316</v>
      </c>
      <c r="B98" s="9" t="str">
        <f t="shared" si="1"/>
        <v>Рим.</v>
      </c>
      <c r="C98" s="11" t="str">
        <f t="shared" si="2"/>
        <v>114</v>
      </c>
      <c r="D98" s="9"/>
      <c r="E98" s="21" t="s">
        <v>317</v>
      </c>
      <c r="F98" s="14"/>
      <c r="G98" s="22"/>
      <c r="H98" s="16" t="s">
        <v>29</v>
      </c>
      <c r="I98" s="53">
        <v>5.0</v>
      </c>
      <c r="J98" s="54"/>
      <c r="K98" s="55">
        <v>2.0</v>
      </c>
      <c r="L98" s="20" t="b">
        <f t="shared" si="3"/>
        <v>0</v>
      </c>
    </row>
    <row r="99">
      <c r="A99" s="9" t="s">
        <v>322</v>
      </c>
      <c r="B99" s="9" t="str">
        <f t="shared" si="1"/>
        <v>Рим.</v>
      </c>
      <c r="C99" s="11" t="str">
        <f t="shared" si="2"/>
        <v>117</v>
      </c>
      <c r="D99" s="9"/>
      <c r="E99" s="25" t="s">
        <v>323</v>
      </c>
      <c r="F99" s="14"/>
      <c r="G99" s="22"/>
      <c r="H99" s="16" t="s">
        <v>29</v>
      </c>
      <c r="I99" s="53">
        <v>5.0</v>
      </c>
      <c r="J99" s="54"/>
      <c r="K99" s="55">
        <v>3.0</v>
      </c>
      <c r="L99" s="20" t="b">
        <f t="shared" si="3"/>
        <v>0</v>
      </c>
    </row>
    <row r="100">
      <c r="A100" s="9" t="s">
        <v>324</v>
      </c>
      <c r="B100" s="9" t="str">
        <f t="shared" si="1"/>
        <v>Рим.</v>
      </c>
      <c r="C100" s="11" t="str">
        <f t="shared" si="2"/>
        <v>118</v>
      </c>
      <c r="D100" s="9"/>
      <c r="E100" s="25" t="s">
        <v>325</v>
      </c>
      <c r="F100" s="14"/>
      <c r="G100" s="22"/>
      <c r="H100" s="16" t="s">
        <v>29</v>
      </c>
      <c r="I100" s="53">
        <v>5.0</v>
      </c>
      <c r="J100" s="54"/>
      <c r="K100" s="55">
        <v>4.0</v>
      </c>
      <c r="L100" s="20" t="b">
        <f t="shared" si="3"/>
        <v>0</v>
      </c>
    </row>
    <row r="101">
      <c r="A101" s="9" t="s">
        <v>329</v>
      </c>
      <c r="B101" s="9" t="str">
        <f t="shared" si="1"/>
        <v>Рим.</v>
      </c>
      <c r="C101" s="11" t="str">
        <f t="shared" si="2"/>
        <v>120</v>
      </c>
      <c r="D101" s="9"/>
      <c r="E101" s="25" t="s">
        <v>330</v>
      </c>
      <c r="F101" s="14"/>
      <c r="G101" s="22"/>
      <c r="H101" s="16" t="s">
        <v>29</v>
      </c>
      <c r="I101" s="53">
        <v>5.0</v>
      </c>
      <c r="J101" s="54"/>
      <c r="K101" s="55">
        <v>5.0</v>
      </c>
      <c r="L101" s="20" t="b">
        <f t="shared" si="3"/>
        <v>0</v>
      </c>
    </row>
    <row r="102">
      <c r="A102" s="9" t="s">
        <v>281</v>
      </c>
      <c r="B102" s="9" t="str">
        <f t="shared" si="1"/>
        <v>Рим.</v>
      </c>
      <c r="C102" s="11" t="str">
        <f t="shared" si="2"/>
        <v>97</v>
      </c>
      <c r="D102" s="9"/>
      <c r="E102" s="13" t="s">
        <v>282</v>
      </c>
      <c r="F102" s="14"/>
      <c r="G102" s="22"/>
      <c r="H102" s="16" t="s">
        <v>29</v>
      </c>
      <c r="I102" s="53">
        <v>5.0</v>
      </c>
      <c r="J102" s="54"/>
      <c r="K102" s="55">
        <v>6.0</v>
      </c>
      <c r="L102" s="20" t="b">
        <f t="shared" si="3"/>
        <v>0</v>
      </c>
    </row>
    <row r="103">
      <c r="A103" s="9" t="s">
        <v>293</v>
      </c>
      <c r="B103" s="9" t="str">
        <f t="shared" si="1"/>
        <v>Рим.</v>
      </c>
      <c r="C103" s="11" t="str">
        <f t="shared" si="2"/>
        <v>103</v>
      </c>
      <c r="D103" s="9"/>
      <c r="E103" s="27" t="s">
        <v>294</v>
      </c>
      <c r="F103" s="14"/>
      <c r="G103" s="22"/>
      <c r="H103" s="16" t="s">
        <v>29</v>
      </c>
      <c r="I103" s="53">
        <v>5.0</v>
      </c>
      <c r="J103" s="54"/>
      <c r="K103" s="55">
        <v>7.0</v>
      </c>
      <c r="L103" s="20" t="b">
        <f t="shared" si="3"/>
        <v>0</v>
      </c>
    </row>
    <row r="104">
      <c r="A104" s="9" t="s">
        <v>331</v>
      </c>
      <c r="B104" s="9" t="str">
        <f t="shared" si="1"/>
        <v>Рим.</v>
      </c>
      <c r="C104" s="11" t="str">
        <f t="shared" si="2"/>
        <v>121</v>
      </c>
      <c r="D104" s="9"/>
      <c r="E104" s="25" t="s">
        <v>332</v>
      </c>
      <c r="F104" s="14"/>
      <c r="G104" s="22"/>
      <c r="H104" s="16" t="s">
        <v>29</v>
      </c>
      <c r="I104" s="53">
        <v>6.0</v>
      </c>
      <c r="J104" s="54"/>
      <c r="K104" s="55">
        <v>1.0</v>
      </c>
      <c r="L104" s="20" t="b">
        <f t="shared" si="3"/>
        <v>0</v>
      </c>
    </row>
    <row r="105">
      <c r="A105" s="9" t="s">
        <v>333</v>
      </c>
      <c r="B105" s="9" t="str">
        <f t="shared" si="1"/>
        <v>1 Кор.</v>
      </c>
      <c r="C105" s="11" t="str">
        <f t="shared" si="2"/>
        <v>122</v>
      </c>
      <c r="D105" s="9"/>
      <c r="E105" s="25" t="s">
        <v>334</v>
      </c>
      <c r="F105" s="14"/>
      <c r="G105" s="22"/>
      <c r="H105" s="16" t="s">
        <v>29</v>
      </c>
      <c r="I105" s="53">
        <v>6.0</v>
      </c>
      <c r="J105" s="54"/>
      <c r="K105" s="55">
        <v>2.0</v>
      </c>
      <c r="L105" s="20" t="b">
        <f t="shared" si="3"/>
        <v>0</v>
      </c>
    </row>
    <row r="106">
      <c r="A106" s="9" t="s">
        <v>350</v>
      </c>
      <c r="B106" s="9" t="str">
        <f t="shared" si="1"/>
        <v>1 Кор.</v>
      </c>
      <c r="C106" s="11" t="str">
        <f t="shared" si="2"/>
        <v>127</v>
      </c>
      <c r="D106" s="9"/>
      <c r="E106" s="25" t="s">
        <v>351</v>
      </c>
      <c r="F106" s="14"/>
      <c r="G106" s="22"/>
      <c r="H106" s="16" t="s">
        <v>29</v>
      </c>
      <c r="I106" s="53">
        <v>6.0</v>
      </c>
      <c r="J106" s="54"/>
      <c r="K106" s="55">
        <v>3.0</v>
      </c>
      <c r="L106" s="20" t="b">
        <f t="shared" si="3"/>
        <v>0</v>
      </c>
    </row>
    <row r="107">
      <c r="A107" s="9" t="s">
        <v>354</v>
      </c>
      <c r="B107" s="9" t="str">
        <f t="shared" si="1"/>
        <v>1 Кор.</v>
      </c>
      <c r="C107" s="11" t="str">
        <f t="shared" si="2"/>
        <v>129</v>
      </c>
      <c r="D107" s="9"/>
      <c r="E107" s="25" t="s">
        <v>355</v>
      </c>
      <c r="F107" s="14"/>
      <c r="G107" s="22"/>
      <c r="H107" s="16" t="s">
        <v>29</v>
      </c>
      <c r="I107" s="53">
        <v>6.0</v>
      </c>
      <c r="J107" s="54"/>
      <c r="K107" s="55">
        <v>4.0</v>
      </c>
      <c r="L107" s="20" t="b">
        <f t="shared" si="3"/>
        <v>0</v>
      </c>
    </row>
    <row r="108">
      <c r="A108" s="9" t="s">
        <v>356</v>
      </c>
      <c r="B108" s="9" t="str">
        <f t="shared" si="1"/>
        <v>1 Кор.</v>
      </c>
      <c r="C108" s="11" t="str">
        <f t="shared" si="2"/>
        <v>130</v>
      </c>
      <c r="D108" s="12" t="s">
        <v>18</v>
      </c>
      <c r="E108" s="25" t="s">
        <v>357</v>
      </c>
      <c r="F108" s="14"/>
      <c r="G108" s="22"/>
      <c r="H108" s="16" t="s">
        <v>29</v>
      </c>
      <c r="I108" s="53">
        <v>6.0</v>
      </c>
      <c r="J108" s="54"/>
      <c r="K108" s="55">
        <v>5.0</v>
      </c>
      <c r="L108" s="20" t="b">
        <f t="shared" si="3"/>
        <v>0</v>
      </c>
    </row>
    <row r="109">
      <c r="A109" s="9" t="s">
        <v>287</v>
      </c>
      <c r="B109" s="9" t="str">
        <f t="shared" si="1"/>
        <v>Рим.</v>
      </c>
      <c r="C109" s="11" t="str">
        <f t="shared" si="2"/>
        <v>100</v>
      </c>
      <c r="D109" s="9"/>
      <c r="E109" s="21" t="s">
        <v>288</v>
      </c>
      <c r="F109" s="14"/>
      <c r="G109" s="22"/>
      <c r="H109" s="16" t="s">
        <v>29</v>
      </c>
      <c r="I109" s="53">
        <v>6.0</v>
      </c>
      <c r="J109" s="54"/>
      <c r="K109" s="55">
        <v>6.0</v>
      </c>
      <c r="L109" s="20" t="b">
        <f t="shared" si="3"/>
        <v>0</v>
      </c>
    </row>
    <row r="110">
      <c r="A110" s="9" t="s">
        <v>307</v>
      </c>
      <c r="B110" s="9" t="str">
        <f t="shared" si="1"/>
        <v>Рим.</v>
      </c>
      <c r="C110" s="11" t="str">
        <f t="shared" si="2"/>
        <v>110</v>
      </c>
      <c r="D110" s="9"/>
      <c r="E110" s="21" t="s">
        <v>308</v>
      </c>
      <c r="F110" s="14"/>
      <c r="G110" s="22"/>
      <c r="H110" s="16" t="s">
        <v>29</v>
      </c>
      <c r="I110" s="53">
        <v>6.0</v>
      </c>
      <c r="J110" s="54"/>
      <c r="K110" s="55">
        <v>7.0</v>
      </c>
      <c r="L110" s="20" t="b">
        <f t="shared" si="3"/>
        <v>0</v>
      </c>
    </row>
    <row r="111">
      <c r="A111" s="9" t="s">
        <v>368</v>
      </c>
      <c r="B111" s="9" t="str">
        <f t="shared" si="1"/>
        <v>1 Кор.</v>
      </c>
      <c r="C111" s="11" t="str">
        <f t="shared" si="2"/>
        <v>134</v>
      </c>
      <c r="D111" s="9"/>
      <c r="E111" s="13" t="s">
        <v>369</v>
      </c>
      <c r="F111" s="14"/>
      <c r="G111" s="22"/>
      <c r="H111" s="16" t="s">
        <v>29</v>
      </c>
      <c r="I111" s="53">
        <v>7.0</v>
      </c>
      <c r="J111" s="54"/>
      <c r="K111" s="55">
        <v>1.0</v>
      </c>
      <c r="L111" s="20" t="b">
        <f t="shared" si="3"/>
        <v>0</v>
      </c>
    </row>
    <row r="112">
      <c r="A112" s="9" t="s">
        <v>372</v>
      </c>
      <c r="B112" s="9" t="str">
        <f t="shared" si="1"/>
        <v>1 Кор.</v>
      </c>
      <c r="C112" s="11" t="str">
        <f t="shared" si="2"/>
        <v>136</v>
      </c>
      <c r="D112" s="9"/>
      <c r="E112" s="21" t="s">
        <v>373</v>
      </c>
      <c r="F112" s="14"/>
      <c r="G112" s="22"/>
      <c r="H112" s="16" t="s">
        <v>29</v>
      </c>
      <c r="I112" s="53">
        <v>7.0</v>
      </c>
      <c r="J112" s="54"/>
      <c r="K112" s="55">
        <v>2.0</v>
      </c>
      <c r="L112" s="20" t="b">
        <f t="shared" si="3"/>
        <v>0</v>
      </c>
    </row>
    <row r="113">
      <c r="A113" s="9" t="s">
        <v>374</v>
      </c>
      <c r="B113" s="9" t="str">
        <f t="shared" si="1"/>
        <v>1 Кор.</v>
      </c>
      <c r="C113" s="11" t="str">
        <f t="shared" si="2"/>
        <v>137</v>
      </c>
      <c r="D113" s="9"/>
      <c r="E113" s="21" t="s">
        <v>375</v>
      </c>
      <c r="F113" s="14"/>
      <c r="G113" s="22"/>
      <c r="H113" s="16" t="s">
        <v>29</v>
      </c>
      <c r="I113" s="53">
        <v>7.0</v>
      </c>
      <c r="J113" s="54"/>
      <c r="K113" s="55">
        <v>3.0</v>
      </c>
      <c r="L113" s="20" t="b">
        <f t="shared" si="3"/>
        <v>0</v>
      </c>
    </row>
    <row r="114">
      <c r="A114" s="9" t="s">
        <v>376</v>
      </c>
      <c r="B114" s="9" t="str">
        <f t="shared" si="1"/>
        <v>1 Кор.</v>
      </c>
      <c r="C114" s="11" t="str">
        <f t="shared" si="2"/>
        <v>138</v>
      </c>
      <c r="D114" s="9"/>
      <c r="E114" s="21" t="s">
        <v>377</v>
      </c>
      <c r="F114" s="14"/>
      <c r="G114" s="22"/>
      <c r="H114" s="16" t="s">
        <v>29</v>
      </c>
      <c r="I114" s="53">
        <v>7.0</v>
      </c>
      <c r="J114" s="54"/>
      <c r="K114" s="55">
        <v>4.0</v>
      </c>
      <c r="L114" s="20" t="b">
        <f t="shared" si="3"/>
        <v>0</v>
      </c>
    </row>
    <row r="115">
      <c r="A115" s="9" t="s">
        <v>378</v>
      </c>
      <c r="B115" s="9" t="str">
        <f t="shared" si="1"/>
        <v>1 Кор.</v>
      </c>
      <c r="C115" s="11" t="str">
        <f t="shared" si="2"/>
        <v>139</v>
      </c>
      <c r="D115" s="9"/>
      <c r="E115" s="25" t="s">
        <v>379</v>
      </c>
      <c r="F115" s="14"/>
      <c r="G115" s="22"/>
      <c r="H115" s="16" t="s">
        <v>29</v>
      </c>
      <c r="I115" s="53">
        <v>7.0</v>
      </c>
      <c r="J115" s="54"/>
      <c r="K115" s="55">
        <v>5.0</v>
      </c>
      <c r="L115" s="20" t="b">
        <f t="shared" si="3"/>
        <v>0</v>
      </c>
    </row>
    <row r="116">
      <c r="A116" s="9" t="s">
        <v>303</v>
      </c>
      <c r="B116" s="9" t="str">
        <f t="shared" si="1"/>
        <v>Рим.</v>
      </c>
      <c r="C116" s="11" t="str">
        <f t="shared" si="2"/>
        <v>108</v>
      </c>
      <c r="D116" s="9"/>
      <c r="E116" s="21" t="s">
        <v>304</v>
      </c>
      <c r="F116" s="14"/>
      <c r="G116" s="22"/>
      <c r="H116" s="16" t="s">
        <v>29</v>
      </c>
      <c r="I116" s="53">
        <v>7.0</v>
      </c>
      <c r="J116" s="54"/>
      <c r="K116" s="55">
        <v>6.0</v>
      </c>
      <c r="L116" s="20" t="b">
        <f t="shared" si="3"/>
        <v>0</v>
      </c>
    </row>
    <row r="117">
      <c r="A117" s="9" t="s">
        <v>320</v>
      </c>
      <c r="B117" s="9" t="str">
        <f t="shared" si="1"/>
        <v>Рим.</v>
      </c>
      <c r="C117" s="11" t="str">
        <f t="shared" si="2"/>
        <v>116</v>
      </c>
      <c r="D117" s="9"/>
      <c r="E117" s="21" t="s">
        <v>321</v>
      </c>
      <c r="F117" s="14"/>
      <c r="G117" s="22"/>
      <c r="H117" s="16" t="s">
        <v>29</v>
      </c>
      <c r="I117" s="53">
        <v>7.0</v>
      </c>
      <c r="J117" s="54"/>
      <c r="K117" s="55">
        <v>7.0</v>
      </c>
      <c r="L117" s="20" t="b">
        <f t="shared" si="3"/>
        <v>0</v>
      </c>
    </row>
    <row r="118">
      <c r="A118" s="9" t="s">
        <v>384</v>
      </c>
      <c r="B118" s="9" t="str">
        <f t="shared" si="1"/>
        <v>1 Кор.</v>
      </c>
      <c r="C118" s="11" t="str">
        <f t="shared" si="2"/>
        <v>142</v>
      </c>
      <c r="D118" s="9"/>
      <c r="E118" s="25" t="s">
        <v>385</v>
      </c>
      <c r="F118" s="14"/>
      <c r="G118" s="22"/>
      <c r="H118" s="16" t="s">
        <v>29</v>
      </c>
      <c r="I118" s="53">
        <v>8.0</v>
      </c>
      <c r="J118" s="54"/>
      <c r="K118" s="55">
        <v>1.0</v>
      </c>
      <c r="L118" s="20" t="b">
        <f t="shared" si="3"/>
        <v>0</v>
      </c>
    </row>
    <row r="119">
      <c r="A119" s="9" t="s">
        <v>393</v>
      </c>
      <c r="B119" s="9" t="str">
        <f t="shared" si="1"/>
        <v>1 Кор.</v>
      </c>
      <c r="C119" s="11" t="str">
        <f t="shared" si="2"/>
        <v>144</v>
      </c>
      <c r="D119" s="9"/>
      <c r="E119" s="25" t="s">
        <v>394</v>
      </c>
      <c r="F119" s="14"/>
      <c r="G119" s="22"/>
      <c r="H119" s="16" t="s">
        <v>29</v>
      </c>
      <c r="I119" s="53">
        <v>8.0</v>
      </c>
      <c r="J119" s="54"/>
      <c r="K119" s="55">
        <v>2.0</v>
      </c>
      <c r="L119" s="20" t="b">
        <f t="shared" si="3"/>
        <v>0</v>
      </c>
    </row>
    <row r="120">
      <c r="A120" s="9" t="s">
        <v>395</v>
      </c>
      <c r="B120" s="9" t="str">
        <f t="shared" si="1"/>
        <v>1 Кор.</v>
      </c>
      <c r="C120" s="11" t="str">
        <f t="shared" si="2"/>
        <v>145</v>
      </c>
      <c r="D120" s="9"/>
      <c r="E120" s="25" t="s">
        <v>396</v>
      </c>
      <c r="F120" s="14"/>
      <c r="G120" s="22"/>
      <c r="H120" s="16" t="s">
        <v>29</v>
      </c>
      <c r="I120" s="53">
        <v>8.0</v>
      </c>
      <c r="J120" s="54"/>
      <c r="K120" s="55">
        <v>3.0</v>
      </c>
      <c r="L120" s="20" t="b">
        <f t="shared" si="3"/>
        <v>0</v>
      </c>
    </row>
    <row r="121">
      <c r="A121" s="9" t="s">
        <v>400</v>
      </c>
      <c r="B121" s="9" t="str">
        <f t="shared" si="1"/>
        <v>1 Кор.</v>
      </c>
      <c r="C121" s="11" t="str">
        <f t="shared" si="2"/>
        <v>147</v>
      </c>
      <c r="D121" s="9"/>
      <c r="E121" s="25" t="s">
        <v>401</v>
      </c>
      <c r="F121" s="14"/>
      <c r="G121" s="22"/>
      <c r="H121" s="16" t="s">
        <v>29</v>
      </c>
      <c r="I121" s="53">
        <v>8.0</v>
      </c>
      <c r="J121" s="54"/>
      <c r="K121" s="55">
        <v>4.0</v>
      </c>
      <c r="L121" s="20" t="b">
        <f t="shared" si="3"/>
        <v>0</v>
      </c>
    </row>
    <row r="122">
      <c r="A122" s="9" t="s">
        <v>402</v>
      </c>
      <c r="B122" s="9" t="str">
        <f t="shared" si="1"/>
        <v>1 Кор.</v>
      </c>
      <c r="C122" s="11" t="str">
        <f t="shared" si="2"/>
        <v>148</v>
      </c>
      <c r="D122" s="9"/>
      <c r="E122" s="25" t="s">
        <v>403</v>
      </c>
      <c r="F122" s="14"/>
      <c r="G122" s="22"/>
      <c r="H122" s="16" t="s">
        <v>29</v>
      </c>
      <c r="I122" s="53">
        <v>8.0</v>
      </c>
      <c r="J122" s="54"/>
      <c r="K122" s="55">
        <v>5.0</v>
      </c>
      <c r="L122" s="20" t="b">
        <f t="shared" si="3"/>
        <v>0</v>
      </c>
    </row>
    <row r="123">
      <c r="A123" s="9" t="s">
        <v>309</v>
      </c>
      <c r="B123" s="9" t="str">
        <f t="shared" si="1"/>
        <v>Рим.</v>
      </c>
      <c r="C123" s="11" t="str">
        <f t="shared" si="2"/>
        <v>111</v>
      </c>
      <c r="D123" s="9"/>
      <c r="E123" s="21" t="s">
        <v>310</v>
      </c>
      <c r="F123" s="14"/>
      <c r="G123" s="22"/>
      <c r="H123" s="16" t="s">
        <v>29</v>
      </c>
      <c r="I123" s="53">
        <v>8.0</v>
      </c>
      <c r="J123" s="54"/>
      <c r="K123" s="55">
        <v>6.0</v>
      </c>
      <c r="L123" s="20" t="b">
        <f t="shared" si="3"/>
        <v>0</v>
      </c>
    </row>
    <row r="124">
      <c r="A124" s="9" t="s">
        <v>338</v>
      </c>
      <c r="B124" s="9" t="str">
        <f t="shared" si="1"/>
        <v>1 Кор.</v>
      </c>
      <c r="C124" s="11" t="str">
        <f t="shared" si="2"/>
        <v>124</v>
      </c>
      <c r="D124" s="9"/>
      <c r="E124" s="27" t="s">
        <v>339</v>
      </c>
      <c r="F124" s="14"/>
      <c r="G124" s="22"/>
      <c r="H124" s="16" t="s">
        <v>29</v>
      </c>
      <c r="I124" s="53">
        <v>8.0</v>
      </c>
      <c r="J124" s="54"/>
      <c r="K124" s="55">
        <v>7.0</v>
      </c>
      <c r="L124" s="20" t="b">
        <f t="shared" si="3"/>
        <v>0</v>
      </c>
    </row>
    <row r="125">
      <c r="A125" s="9" t="s">
        <v>406</v>
      </c>
      <c r="B125" s="9" t="str">
        <f t="shared" si="1"/>
        <v>1 Кор.</v>
      </c>
      <c r="C125" s="11" t="str">
        <f t="shared" si="2"/>
        <v>150</v>
      </c>
      <c r="D125" s="9"/>
      <c r="E125" s="25" t="s">
        <v>407</v>
      </c>
      <c r="F125" s="14"/>
      <c r="G125" s="22"/>
      <c r="H125" s="16" t="s">
        <v>29</v>
      </c>
      <c r="I125" s="53">
        <v>9.0</v>
      </c>
      <c r="J125" s="54"/>
      <c r="K125" s="55">
        <v>1.0</v>
      </c>
      <c r="L125" s="20" t="b">
        <f t="shared" si="3"/>
        <v>0</v>
      </c>
    </row>
    <row r="126">
      <c r="A126" s="9" t="s">
        <v>411</v>
      </c>
      <c r="B126" s="9" t="str">
        <f t="shared" si="1"/>
        <v>1 Кор.</v>
      </c>
      <c r="C126" s="11" t="str">
        <f t="shared" si="2"/>
        <v>152</v>
      </c>
      <c r="D126" s="9"/>
      <c r="E126" s="25" t="s">
        <v>412</v>
      </c>
      <c r="F126" s="14"/>
      <c r="G126" s="22"/>
      <c r="H126" s="16" t="s">
        <v>29</v>
      </c>
      <c r="I126" s="53">
        <v>9.0</v>
      </c>
      <c r="J126" s="54"/>
      <c r="K126" s="55">
        <v>2.0</v>
      </c>
      <c r="L126" s="20" t="b">
        <f t="shared" si="3"/>
        <v>0</v>
      </c>
    </row>
    <row r="127">
      <c r="A127" s="9" t="s">
        <v>415</v>
      </c>
      <c r="B127" s="9" t="str">
        <f t="shared" si="1"/>
        <v>1 Кор.</v>
      </c>
      <c r="C127" s="11" t="str">
        <f t="shared" si="2"/>
        <v>154</v>
      </c>
      <c r="D127" s="26" t="s">
        <v>18</v>
      </c>
      <c r="E127" s="25" t="s">
        <v>416</v>
      </c>
      <c r="F127" s="14"/>
      <c r="G127" s="22"/>
      <c r="H127" s="16" t="s">
        <v>29</v>
      </c>
      <c r="I127" s="53">
        <v>9.0</v>
      </c>
      <c r="J127" s="54"/>
      <c r="K127" s="55">
        <v>3.0</v>
      </c>
      <c r="L127" s="20" t="b">
        <f t="shared" si="3"/>
        <v>0</v>
      </c>
    </row>
    <row r="128">
      <c r="A128" s="9" t="s">
        <v>419</v>
      </c>
      <c r="B128" s="9" t="str">
        <f t="shared" si="1"/>
        <v>1 Кор.</v>
      </c>
      <c r="C128" s="11" t="str">
        <f t="shared" si="2"/>
        <v>155</v>
      </c>
      <c r="D128" s="9"/>
      <c r="E128" s="25" t="s">
        <v>420</v>
      </c>
      <c r="F128" s="14"/>
      <c r="G128" s="22"/>
      <c r="H128" s="16" t="s">
        <v>29</v>
      </c>
      <c r="I128" s="53">
        <v>9.0</v>
      </c>
      <c r="J128" s="54"/>
      <c r="K128" s="55">
        <v>4.0</v>
      </c>
      <c r="L128" s="20" t="b">
        <f t="shared" si="3"/>
        <v>0</v>
      </c>
    </row>
    <row r="129">
      <c r="A129" s="9" t="s">
        <v>423</v>
      </c>
      <c r="B129" s="9" t="str">
        <f t="shared" si="1"/>
        <v>1 Кор.</v>
      </c>
      <c r="C129" s="11" t="str">
        <f t="shared" si="2"/>
        <v>157</v>
      </c>
      <c r="D129" s="9"/>
      <c r="E129" s="25" t="s">
        <v>424</v>
      </c>
      <c r="F129" s="14"/>
      <c r="G129" s="22"/>
      <c r="H129" s="16" t="s">
        <v>29</v>
      </c>
      <c r="I129" s="53">
        <v>9.0</v>
      </c>
      <c r="J129" s="54"/>
      <c r="K129" s="55">
        <v>5.0</v>
      </c>
      <c r="L129" s="20" t="b">
        <f t="shared" si="3"/>
        <v>0</v>
      </c>
    </row>
    <row r="130">
      <c r="A130" s="9" t="s">
        <v>313</v>
      </c>
      <c r="B130" s="9" t="str">
        <f t="shared" si="1"/>
        <v>Рим.</v>
      </c>
      <c r="C130" s="11" t="str">
        <f t="shared" si="2"/>
        <v>113</v>
      </c>
      <c r="D130" s="9"/>
      <c r="E130" s="21" t="s">
        <v>314</v>
      </c>
      <c r="F130" s="14"/>
      <c r="G130" s="22"/>
      <c r="H130" s="16" t="s">
        <v>29</v>
      </c>
      <c r="I130" s="53">
        <v>9.0</v>
      </c>
      <c r="J130" s="54"/>
      <c r="K130" s="55">
        <v>6.0</v>
      </c>
      <c r="L130" s="20" t="b">
        <f t="shared" si="3"/>
        <v>0</v>
      </c>
    </row>
    <row r="131">
      <c r="A131" s="9" t="s">
        <v>352</v>
      </c>
      <c r="B131" s="9" t="str">
        <f t="shared" si="1"/>
        <v>1 Кор.</v>
      </c>
      <c r="C131" s="11" t="str">
        <f t="shared" si="2"/>
        <v>128</v>
      </c>
      <c r="D131" s="9"/>
      <c r="E131" s="27" t="s">
        <v>353</v>
      </c>
      <c r="F131" s="14"/>
      <c r="G131" s="22"/>
      <c r="H131" s="16" t="s">
        <v>29</v>
      </c>
      <c r="I131" s="53">
        <v>9.0</v>
      </c>
      <c r="J131" s="54"/>
      <c r="K131" s="55">
        <v>7.0</v>
      </c>
      <c r="L131" s="20" t="b">
        <f t="shared" si="3"/>
        <v>0</v>
      </c>
    </row>
    <row r="132">
      <c r="A132" s="9" t="s">
        <v>427</v>
      </c>
      <c r="B132" s="9" t="str">
        <f t="shared" si="1"/>
        <v>1 Кор.</v>
      </c>
      <c r="C132" s="11" t="str">
        <f t="shared" si="2"/>
        <v>159</v>
      </c>
      <c r="D132" s="9"/>
      <c r="E132" s="25" t="s">
        <v>428</v>
      </c>
      <c r="F132" s="14"/>
      <c r="G132" s="22"/>
      <c r="H132" s="16" t="s">
        <v>29</v>
      </c>
      <c r="I132" s="53">
        <v>10.0</v>
      </c>
      <c r="J132" s="54"/>
      <c r="K132" s="55">
        <v>1.0</v>
      </c>
      <c r="L132" s="20" t="b">
        <f t="shared" si="3"/>
        <v>0</v>
      </c>
    </row>
    <row r="133">
      <c r="A133" s="9" t="s">
        <v>431</v>
      </c>
      <c r="B133" s="9" t="str">
        <f t="shared" si="1"/>
        <v>1 Кор.</v>
      </c>
      <c r="C133" s="11" t="str">
        <f t="shared" si="2"/>
        <v>161</v>
      </c>
      <c r="D133" s="9"/>
      <c r="E133" s="25" t="s">
        <v>432</v>
      </c>
      <c r="F133" s="14"/>
      <c r="G133" s="22"/>
      <c r="H133" s="16" t="s">
        <v>29</v>
      </c>
      <c r="I133" s="53">
        <v>10.0</v>
      </c>
      <c r="J133" s="54"/>
      <c r="K133" s="55">
        <v>2.0</v>
      </c>
      <c r="L133" s="20" t="b">
        <f t="shared" si="3"/>
        <v>0</v>
      </c>
    </row>
    <row r="134">
      <c r="A134" s="24" t="s">
        <v>440</v>
      </c>
      <c r="B134" s="9" t="str">
        <f t="shared" si="1"/>
        <v>1 Кор.</v>
      </c>
      <c r="C134" s="11" t="str">
        <f t="shared" si="2"/>
        <v>165</v>
      </c>
      <c r="D134" s="9"/>
      <c r="E134" s="13" t="s">
        <v>441</v>
      </c>
      <c r="F134" s="14"/>
      <c r="G134" s="22"/>
      <c r="H134" s="16" t="s">
        <v>29</v>
      </c>
      <c r="I134" s="53">
        <v>10.0</v>
      </c>
      <c r="J134" s="54"/>
      <c r="K134" s="55">
        <v>3.0</v>
      </c>
      <c r="L134" s="20" t="b">
        <f t="shared" si="3"/>
        <v>0</v>
      </c>
    </row>
    <row r="135">
      <c r="A135" s="9" t="s">
        <v>444</v>
      </c>
      <c r="B135" s="9" t="str">
        <f t="shared" si="1"/>
        <v>2 Кор.</v>
      </c>
      <c r="C135" s="11" t="str">
        <f t="shared" si="2"/>
        <v>167</v>
      </c>
      <c r="D135" s="26" t="s">
        <v>18</v>
      </c>
      <c r="E135" s="25" t="s">
        <v>445</v>
      </c>
      <c r="F135" s="14"/>
      <c r="G135" s="22"/>
      <c r="H135" s="16" t="s">
        <v>29</v>
      </c>
      <c r="I135" s="53">
        <v>10.0</v>
      </c>
      <c r="J135" s="54"/>
      <c r="K135" s="55">
        <v>4.0</v>
      </c>
      <c r="L135" s="20" t="b">
        <f t="shared" si="3"/>
        <v>0</v>
      </c>
    </row>
    <row r="136">
      <c r="A136" s="9" t="s">
        <v>450</v>
      </c>
      <c r="B136" s="9" t="str">
        <f t="shared" si="1"/>
        <v>2 Кор.</v>
      </c>
      <c r="C136" s="11" t="str">
        <f t="shared" si="2"/>
        <v>169</v>
      </c>
      <c r="D136" s="9"/>
      <c r="E136" s="25" t="s">
        <v>451</v>
      </c>
      <c r="F136" s="14"/>
      <c r="G136" s="22"/>
      <c r="H136" s="16" t="s">
        <v>29</v>
      </c>
      <c r="I136" s="53">
        <v>10.0</v>
      </c>
      <c r="J136" s="54"/>
      <c r="K136" s="55">
        <v>5.0</v>
      </c>
      <c r="L136" s="20" t="b">
        <f t="shared" si="3"/>
        <v>0</v>
      </c>
    </row>
    <row r="137">
      <c r="A137" s="9" t="s">
        <v>326</v>
      </c>
      <c r="B137" s="9" t="str">
        <f t="shared" si="1"/>
        <v>Рим.</v>
      </c>
      <c r="C137" s="11" t="str">
        <f t="shared" si="2"/>
        <v>119</v>
      </c>
      <c r="D137" s="9"/>
      <c r="E137" s="27" t="s">
        <v>327</v>
      </c>
      <c r="F137" s="14"/>
      <c r="G137" s="22"/>
      <c r="H137" s="16" t="s">
        <v>29</v>
      </c>
      <c r="I137" s="53">
        <v>10.0</v>
      </c>
      <c r="J137" s="54"/>
      <c r="K137" s="55">
        <v>6.0</v>
      </c>
      <c r="L137" s="20" t="b">
        <f t="shared" si="3"/>
        <v>0</v>
      </c>
    </row>
    <row r="138">
      <c r="A138" s="9" t="s">
        <v>361</v>
      </c>
      <c r="B138" s="9" t="str">
        <f t="shared" si="1"/>
        <v>1 Кор.</v>
      </c>
      <c r="C138" s="11" t="str">
        <f t="shared" si="2"/>
        <v>131</v>
      </c>
      <c r="D138" s="9"/>
      <c r="E138" s="21" t="s">
        <v>362</v>
      </c>
      <c r="F138" s="14"/>
      <c r="G138" s="22"/>
      <c r="H138" s="16" t="s">
        <v>29</v>
      </c>
      <c r="I138" s="53">
        <v>10.0</v>
      </c>
      <c r="J138" s="54"/>
      <c r="K138" s="55">
        <v>7.0</v>
      </c>
      <c r="L138" s="20" t="b">
        <f t="shared" si="3"/>
        <v>0</v>
      </c>
    </row>
    <row r="139">
      <c r="A139" s="9" t="s">
        <v>454</v>
      </c>
      <c r="B139" s="9" t="str">
        <f t="shared" si="1"/>
        <v>2 Кор.</v>
      </c>
      <c r="C139" s="11" t="str">
        <f t="shared" si="2"/>
        <v>171</v>
      </c>
      <c r="D139" s="9"/>
      <c r="E139" s="25" t="s">
        <v>455</v>
      </c>
      <c r="F139" s="14"/>
      <c r="G139" s="22"/>
      <c r="H139" s="16" t="s">
        <v>29</v>
      </c>
      <c r="I139" s="53">
        <v>11.0</v>
      </c>
      <c r="J139" s="54"/>
      <c r="K139" s="55">
        <v>1.0</v>
      </c>
      <c r="L139" s="20" t="b">
        <f t="shared" si="3"/>
        <v>0</v>
      </c>
    </row>
    <row r="140">
      <c r="A140" s="9" t="s">
        <v>456</v>
      </c>
      <c r="B140" s="9" t="str">
        <f t="shared" si="1"/>
        <v>2 Кор.</v>
      </c>
      <c r="C140" s="11" t="str">
        <f t="shared" si="2"/>
        <v>172</v>
      </c>
      <c r="D140" s="9"/>
      <c r="E140" s="25" t="s">
        <v>457</v>
      </c>
      <c r="F140" s="14"/>
      <c r="G140" s="22"/>
      <c r="H140" s="16" t="s">
        <v>29</v>
      </c>
      <c r="I140" s="53">
        <v>11.0</v>
      </c>
      <c r="J140" s="54"/>
      <c r="K140" s="55">
        <v>2.0</v>
      </c>
      <c r="L140" s="20" t="b">
        <f t="shared" si="3"/>
        <v>0</v>
      </c>
    </row>
    <row r="141">
      <c r="A141" s="9" t="s">
        <v>458</v>
      </c>
      <c r="B141" s="9" t="str">
        <f t="shared" si="1"/>
        <v>2 Кор.</v>
      </c>
      <c r="C141" s="11" t="str">
        <f t="shared" si="2"/>
        <v>173</v>
      </c>
      <c r="D141" s="9"/>
      <c r="E141" s="25" t="s">
        <v>459</v>
      </c>
      <c r="F141" s="14"/>
      <c r="G141" s="22"/>
      <c r="H141" s="16" t="s">
        <v>29</v>
      </c>
      <c r="I141" s="53">
        <v>11.0</v>
      </c>
      <c r="J141" s="54"/>
      <c r="K141" s="55">
        <v>3.0</v>
      </c>
      <c r="L141" s="20" t="b">
        <f t="shared" si="3"/>
        <v>0</v>
      </c>
    </row>
    <row r="142">
      <c r="A142" s="9" t="s">
        <v>462</v>
      </c>
      <c r="B142" s="9" t="str">
        <f t="shared" si="1"/>
        <v>2 Кор.</v>
      </c>
      <c r="C142" s="11" t="str">
        <f t="shared" si="2"/>
        <v>175</v>
      </c>
      <c r="D142" s="9"/>
      <c r="E142" s="25" t="s">
        <v>463</v>
      </c>
      <c r="F142" s="14"/>
      <c r="G142" s="22"/>
      <c r="H142" s="16" t="s">
        <v>29</v>
      </c>
      <c r="I142" s="53">
        <v>11.0</v>
      </c>
      <c r="J142" s="54"/>
      <c r="K142" s="55">
        <v>4.0</v>
      </c>
      <c r="L142" s="20" t="b">
        <f t="shared" si="3"/>
        <v>0</v>
      </c>
    </row>
    <row r="143">
      <c r="A143" s="9" t="s">
        <v>466</v>
      </c>
      <c r="B143" s="9" t="str">
        <f t="shared" si="1"/>
        <v>2 Кор.</v>
      </c>
      <c r="C143" s="11" t="str">
        <f t="shared" si="2"/>
        <v>177</v>
      </c>
      <c r="D143" s="9"/>
      <c r="E143" s="25" t="s">
        <v>467</v>
      </c>
      <c r="F143" s="14"/>
      <c r="G143" s="22"/>
      <c r="H143" s="16" t="s">
        <v>29</v>
      </c>
      <c r="I143" s="53">
        <v>11.0</v>
      </c>
      <c r="J143" s="54"/>
      <c r="K143" s="55">
        <v>5.0</v>
      </c>
      <c r="L143" s="20" t="b">
        <f t="shared" si="3"/>
        <v>0</v>
      </c>
    </row>
    <row r="144">
      <c r="A144" s="9" t="s">
        <v>335</v>
      </c>
      <c r="B144" s="9" t="str">
        <f t="shared" si="1"/>
        <v>1 Кор.</v>
      </c>
      <c r="C144" s="11" t="str">
        <f t="shared" si="2"/>
        <v>123</v>
      </c>
      <c r="D144" s="9"/>
      <c r="E144" s="27" t="s">
        <v>336</v>
      </c>
      <c r="F144" s="14"/>
      <c r="G144" s="22"/>
      <c r="H144" s="16" t="s">
        <v>29</v>
      </c>
      <c r="I144" s="53">
        <v>11.0</v>
      </c>
      <c r="J144" s="54"/>
      <c r="K144" s="55">
        <v>6.0</v>
      </c>
      <c r="L144" s="20" t="b">
        <f t="shared" si="3"/>
        <v>0</v>
      </c>
    </row>
    <row r="145">
      <c r="A145" s="9" t="s">
        <v>382</v>
      </c>
      <c r="B145" s="9" t="str">
        <f t="shared" si="1"/>
        <v>1 Кор.</v>
      </c>
      <c r="C145" s="11" t="str">
        <f t="shared" si="2"/>
        <v>141</v>
      </c>
      <c r="D145" s="9"/>
      <c r="E145" s="21" t="s">
        <v>383</v>
      </c>
      <c r="F145" s="14"/>
      <c r="G145" s="22"/>
      <c r="H145" s="16" t="s">
        <v>29</v>
      </c>
      <c r="I145" s="53">
        <v>11.0</v>
      </c>
      <c r="J145" s="54"/>
      <c r="K145" s="55">
        <v>7.0</v>
      </c>
      <c r="L145" s="20" t="b">
        <f t="shared" si="3"/>
        <v>0</v>
      </c>
    </row>
    <row r="146">
      <c r="A146" s="9" t="s">
        <v>471</v>
      </c>
      <c r="B146" s="9" t="str">
        <f t="shared" si="1"/>
        <v>2 Кор.</v>
      </c>
      <c r="C146" s="11" t="str">
        <f t="shared" si="2"/>
        <v>179</v>
      </c>
      <c r="D146" s="9"/>
      <c r="E146" s="25" t="s">
        <v>472</v>
      </c>
      <c r="F146" s="14"/>
      <c r="G146" s="22"/>
      <c r="H146" s="16" t="s">
        <v>29</v>
      </c>
      <c r="I146" s="53">
        <v>12.0</v>
      </c>
      <c r="J146" s="54"/>
      <c r="K146" s="55">
        <v>1.0</v>
      </c>
      <c r="L146" s="20" t="b">
        <f t="shared" si="3"/>
        <v>0</v>
      </c>
    </row>
    <row r="147">
      <c r="A147" s="24" t="s">
        <v>473</v>
      </c>
      <c r="B147" s="9" t="str">
        <f t="shared" si="1"/>
        <v>2 Кор.</v>
      </c>
      <c r="C147" s="11" t="str">
        <f t="shared" si="2"/>
        <v>180</v>
      </c>
      <c r="D147" s="9"/>
      <c r="E147" s="13" t="s">
        <v>474</v>
      </c>
      <c r="F147" s="14"/>
      <c r="G147" s="22"/>
      <c r="H147" s="16" t="s">
        <v>29</v>
      </c>
      <c r="I147" s="53">
        <v>12.0</v>
      </c>
      <c r="J147" s="54"/>
      <c r="K147" s="55">
        <v>2.0</v>
      </c>
      <c r="L147" s="20" t="b">
        <f t="shared" si="3"/>
        <v>0</v>
      </c>
    </row>
    <row r="148">
      <c r="A148" s="9" t="s">
        <v>477</v>
      </c>
      <c r="B148" s="9" t="str">
        <f t="shared" si="1"/>
        <v>2 Кор.</v>
      </c>
      <c r="C148" s="11" t="str">
        <f t="shared" si="2"/>
        <v>182</v>
      </c>
      <c r="D148" s="12" t="s">
        <v>18</v>
      </c>
      <c r="E148" s="25" t="s">
        <v>478</v>
      </c>
      <c r="F148" s="14"/>
      <c r="G148" s="22"/>
      <c r="H148" s="16" t="s">
        <v>29</v>
      </c>
      <c r="I148" s="53">
        <v>12.0</v>
      </c>
      <c r="J148" s="54"/>
      <c r="K148" s="55">
        <v>3.0</v>
      </c>
      <c r="L148" s="20" t="b">
        <f t="shared" si="3"/>
        <v>0</v>
      </c>
    </row>
    <row r="149">
      <c r="A149" s="9" t="s">
        <v>481</v>
      </c>
      <c r="B149" s="9" t="str">
        <f t="shared" si="1"/>
        <v>2 Кор.</v>
      </c>
      <c r="C149" s="11" t="str">
        <f t="shared" si="2"/>
        <v>183</v>
      </c>
      <c r="D149" s="9"/>
      <c r="E149" s="25" t="s">
        <v>482</v>
      </c>
      <c r="F149" s="14"/>
      <c r="G149" s="22"/>
      <c r="H149" s="16" t="s">
        <v>29</v>
      </c>
      <c r="I149" s="53">
        <v>12.0</v>
      </c>
      <c r="J149" s="54"/>
      <c r="K149" s="55">
        <v>4.0</v>
      </c>
      <c r="L149" s="20" t="b">
        <f t="shared" si="3"/>
        <v>0</v>
      </c>
    </row>
    <row r="150">
      <c r="A150" s="9" t="s">
        <v>483</v>
      </c>
      <c r="B150" s="9" t="str">
        <f t="shared" si="1"/>
        <v>2 Кор.</v>
      </c>
      <c r="C150" s="11" t="str">
        <f t="shared" si="2"/>
        <v>184</v>
      </c>
      <c r="D150" s="9"/>
      <c r="E150" s="25" t="s">
        <v>484</v>
      </c>
      <c r="F150" s="14"/>
      <c r="G150" s="22"/>
      <c r="H150" s="16" t="s">
        <v>29</v>
      </c>
      <c r="I150" s="53">
        <v>12.0</v>
      </c>
      <c r="J150" s="54"/>
      <c r="K150" s="55">
        <v>5.0</v>
      </c>
      <c r="L150" s="20" t="b">
        <f t="shared" si="3"/>
        <v>0</v>
      </c>
    </row>
    <row r="151">
      <c r="A151" s="9" t="s">
        <v>344</v>
      </c>
      <c r="B151" s="9" t="str">
        <f t="shared" si="1"/>
        <v>1 Кор.</v>
      </c>
      <c r="C151" s="11" t="str">
        <f t="shared" si="2"/>
        <v>125</v>
      </c>
      <c r="D151" s="12" t="s">
        <v>116</v>
      </c>
      <c r="E151" s="21" t="s">
        <v>345</v>
      </c>
      <c r="F151" s="14"/>
      <c r="G151" s="22"/>
      <c r="H151" s="16" t="s">
        <v>29</v>
      </c>
      <c r="I151" s="53">
        <v>12.0</v>
      </c>
      <c r="J151" s="54"/>
      <c r="K151" s="55">
        <v>6.0</v>
      </c>
      <c r="L151" s="20" t="b">
        <f t="shared" si="3"/>
        <v>0</v>
      </c>
    </row>
    <row r="152">
      <c r="A152" s="9" t="s">
        <v>425</v>
      </c>
      <c r="B152" s="9" t="str">
        <f t="shared" si="1"/>
        <v>1 Кор.</v>
      </c>
      <c r="C152" s="11" t="str">
        <f t="shared" si="2"/>
        <v>158</v>
      </c>
      <c r="D152" s="9"/>
      <c r="E152" s="27" t="s">
        <v>426</v>
      </c>
      <c r="F152" s="14"/>
      <c r="G152" s="22"/>
      <c r="H152" s="16" t="s">
        <v>29</v>
      </c>
      <c r="I152" s="53">
        <v>12.0</v>
      </c>
      <c r="J152" s="54"/>
      <c r="K152" s="55">
        <v>7.0</v>
      </c>
      <c r="L152" s="20" t="b">
        <f t="shared" si="3"/>
        <v>0</v>
      </c>
    </row>
    <row r="153">
      <c r="A153" s="9" t="s">
        <v>488</v>
      </c>
      <c r="B153" s="9" t="str">
        <f t="shared" si="1"/>
        <v>2 Кор.</v>
      </c>
      <c r="C153" s="11" t="str">
        <f t="shared" si="2"/>
        <v>186</v>
      </c>
      <c r="D153" s="9"/>
      <c r="E153" s="25" t="s">
        <v>489</v>
      </c>
      <c r="F153" s="14"/>
      <c r="G153" s="22"/>
      <c r="H153" s="16" t="s">
        <v>29</v>
      </c>
      <c r="I153" s="53">
        <v>13.0</v>
      </c>
      <c r="J153" s="54"/>
      <c r="K153" s="55">
        <v>1.0</v>
      </c>
      <c r="L153" s="20" t="b">
        <f t="shared" si="3"/>
        <v>0</v>
      </c>
    </row>
    <row r="154">
      <c r="A154" s="9" t="s">
        <v>490</v>
      </c>
      <c r="B154" s="9" t="str">
        <f t="shared" si="1"/>
        <v>2 Кор.</v>
      </c>
      <c r="C154" s="11" t="str">
        <f t="shared" si="2"/>
        <v>187</v>
      </c>
      <c r="D154" s="9"/>
      <c r="E154" s="25" t="s">
        <v>491</v>
      </c>
      <c r="F154" s="14"/>
      <c r="G154" s="22"/>
      <c r="H154" s="16" t="s">
        <v>29</v>
      </c>
      <c r="I154" s="53">
        <v>13.0</v>
      </c>
      <c r="J154" s="54"/>
      <c r="K154" s="55">
        <v>2.0</v>
      </c>
      <c r="L154" s="20" t="b">
        <f t="shared" si="3"/>
        <v>0</v>
      </c>
    </row>
    <row r="155">
      <c r="A155" s="9" t="s">
        <v>494</v>
      </c>
      <c r="B155" s="9" t="str">
        <f t="shared" si="1"/>
        <v>2 Кор.</v>
      </c>
      <c r="C155" s="11" t="str">
        <f t="shared" si="2"/>
        <v>189</v>
      </c>
      <c r="D155" s="9"/>
      <c r="E155" s="25" t="s">
        <v>495</v>
      </c>
      <c r="F155" s="14"/>
      <c r="G155" s="22"/>
      <c r="H155" s="16" t="s">
        <v>29</v>
      </c>
      <c r="I155" s="53">
        <v>13.0</v>
      </c>
      <c r="J155" s="54"/>
      <c r="K155" s="55">
        <v>3.0</v>
      </c>
      <c r="L155" s="20" t="b">
        <f t="shared" si="3"/>
        <v>0</v>
      </c>
    </row>
    <row r="156">
      <c r="A156" s="9" t="s">
        <v>496</v>
      </c>
      <c r="B156" s="9" t="str">
        <f t="shared" si="1"/>
        <v>2 Кор.</v>
      </c>
      <c r="C156" s="11" t="str">
        <f t="shared" si="2"/>
        <v>190</v>
      </c>
      <c r="D156" s="9"/>
      <c r="E156" s="25" t="s">
        <v>497</v>
      </c>
      <c r="F156" s="25"/>
      <c r="G156" s="22"/>
      <c r="H156" s="16" t="s">
        <v>29</v>
      </c>
      <c r="I156" s="53">
        <v>13.0</v>
      </c>
      <c r="J156" s="54"/>
      <c r="K156" s="55">
        <v>4.0</v>
      </c>
      <c r="L156" s="20" t="b">
        <f t="shared" si="3"/>
        <v>0</v>
      </c>
    </row>
    <row r="157">
      <c r="A157" s="9" t="s">
        <v>501</v>
      </c>
      <c r="B157" s="9" t="str">
        <f t="shared" si="1"/>
        <v>2 Кор.</v>
      </c>
      <c r="C157" s="11" t="str">
        <f t="shared" si="2"/>
        <v>192</v>
      </c>
      <c r="D157" s="9"/>
      <c r="E157" s="25" t="s">
        <v>502</v>
      </c>
      <c r="F157" s="14"/>
      <c r="G157" s="22"/>
      <c r="H157" s="16" t="s">
        <v>29</v>
      </c>
      <c r="I157" s="53">
        <v>13.0</v>
      </c>
      <c r="J157" s="54"/>
      <c r="K157" s="55">
        <v>5.0</v>
      </c>
      <c r="L157" s="20" t="b">
        <f t="shared" si="3"/>
        <v>0</v>
      </c>
    </row>
    <row r="158">
      <c r="A158" s="9" t="s">
        <v>347</v>
      </c>
      <c r="B158" s="9" t="str">
        <f t="shared" si="1"/>
        <v>1 Кор.</v>
      </c>
      <c r="C158" s="11" t="str">
        <f t="shared" si="2"/>
        <v>126</v>
      </c>
      <c r="D158" s="9"/>
      <c r="E158" s="21" t="s">
        <v>348</v>
      </c>
      <c r="F158" s="14"/>
      <c r="G158" s="22"/>
      <c r="H158" s="16" t="s">
        <v>29</v>
      </c>
      <c r="I158" s="53">
        <v>13.0</v>
      </c>
      <c r="J158" s="54"/>
      <c r="K158" s="55">
        <v>6.0</v>
      </c>
      <c r="L158" s="20" t="b">
        <f t="shared" si="3"/>
        <v>0</v>
      </c>
    </row>
    <row r="159">
      <c r="A159" s="9" t="s">
        <v>442</v>
      </c>
      <c r="B159" s="9" t="str">
        <f t="shared" si="1"/>
        <v>1 Кор.</v>
      </c>
      <c r="C159" s="11" t="str">
        <f t="shared" si="2"/>
        <v>166</v>
      </c>
      <c r="D159" s="9"/>
      <c r="E159" s="21" t="s">
        <v>443</v>
      </c>
      <c r="F159" s="14"/>
      <c r="G159" s="22"/>
      <c r="H159" s="16" t="s">
        <v>29</v>
      </c>
      <c r="I159" s="53">
        <v>13.0</v>
      </c>
      <c r="J159" s="54"/>
      <c r="K159" s="55">
        <v>7.0</v>
      </c>
      <c r="L159" s="20" t="b">
        <f t="shared" si="3"/>
        <v>0</v>
      </c>
    </row>
    <row r="160">
      <c r="A160" s="9" t="s">
        <v>507</v>
      </c>
      <c r="B160" s="9" t="str">
        <f t="shared" si="1"/>
        <v>2 Кор.</v>
      </c>
      <c r="C160" s="11" t="str">
        <f t="shared" si="2"/>
        <v>195</v>
      </c>
      <c r="D160" s="9"/>
      <c r="E160" s="25" t="s">
        <v>508</v>
      </c>
      <c r="F160" s="14"/>
      <c r="G160" s="22"/>
      <c r="H160" s="16" t="s">
        <v>29</v>
      </c>
      <c r="I160" s="53">
        <v>14.0</v>
      </c>
      <c r="J160" s="54"/>
      <c r="K160" s="55">
        <v>1.0</v>
      </c>
      <c r="L160" s="20" t="b">
        <f t="shared" si="3"/>
        <v>0</v>
      </c>
    </row>
    <row r="161">
      <c r="A161" s="9" t="s">
        <v>509</v>
      </c>
      <c r="B161" s="9" t="str">
        <f t="shared" si="1"/>
        <v>2 Кор.</v>
      </c>
      <c r="C161" s="11" t="str">
        <f t="shared" si="2"/>
        <v>196</v>
      </c>
      <c r="D161" s="9"/>
      <c r="E161" s="25" t="s">
        <v>510</v>
      </c>
      <c r="F161" s="14"/>
      <c r="G161" s="22"/>
      <c r="H161" s="16" t="s">
        <v>29</v>
      </c>
      <c r="I161" s="53">
        <v>14.0</v>
      </c>
      <c r="J161" s="54"/>
      <c r="K161" s="55">
        <v>2.0</v>
      </c>
      <c r="L161" s="20" t="b">
        <f t="shared" si="3"/>
        <v>0</v>
      </c>
    </row>
    <row r="162">
      <c r="A162" s="9" t="s">
        <v>511</v>
      </c>
      <c r="B162" s="9" t="str">
        <f t="shared" si="1"/>
        <v>2 Кор.</v>
      </c>
      <c r="C162" s="11" t="str">
        <f t="shared" si="2"/>
        <v>197</v>
      </c>
      <c r="D162" s="9"/>
      <c r="E162" s="25" t="s">
        <v>512</v>
      </c>
      <c r="F162" s="14"/>
      <c r="G162" s="22"/>
      <c r="H162" s="16" t="s">
        <v>29</v>
      </c>
      <c r="I162" s="53">
        <v>14.0</v>
      </c>
      <c r="J162" s="54"/>
      <c r="K162" s="55">
        <v>3.0</v>
      </c>
      <c r="L162" s="20" t="b">
        <f t="shared" si="3"/>
        <v>0</v>
      </c>
    </row>
    <row r="163">
      <c r="A163" s="9" t="s">
        <v>513</v>
      </c>
      <c r="B163" s="9" t="str">
        <f t="shared" si="1"/>
        <v>Гал.</v>
      </c>
      <c r="C163" s="11" t="str">
        <f t="shared" si="2"/>
        <v>198</v>
      </c>
      <c r="D163" s="9"/>
      <c r="E163" s="25" t="s">
        <v>514</v>
      </c>
      <c r="F163" s="14"/>
      <c r="G163" s="22"/>
      <c r="H163" s="16" t="s">
        <v>29</v>
      </c>
      <c r="I163" s="53">
        <v>14.0</v>
      </c>
      <c r="J163" s="54"/>
      <c r="K163" s="55">
        <v>4.0</v>
      </c>
      <c r="L163" s="20" t="b">
        <f t="shared" si="3"/>
        <v>0</v>
      </c>
    </row>
    <row r="164">
      <c r="A164" s="9" t="s">
        <v>521</v>
      </c>
      <c r="B164" s="9" t="str">
        <f t="shared" si="1"/>
        <v>Гал.</v>
      </c>
      <c r="C164" s="11" t="str">
        <f t="shared" si="2"/>
        <v>201</v>
      </c>
      <c r="D164" s="9"/>
      <c r="E164" s="25" t="s">
        <v>520</v>
      </c>
      <c r="F164" s="14"/>
      <c r="G164" s="22"/>
      <c r="H164" s="16" t="s">
        <v>29</v>
      </c>
      <c r="I164" s="53">
        <v>14.0</v>
      </c>
      <c r="J164" s="54"/>
      <c r="K164" s="55">
        <v>5.0</v>
      </c>
      <c r="L164" s="20" t="b">
        <f t="shared" si="3"/>
        <v>0</v>
      </c>
    </row>
    <row r="165">
      <c r="A165" s="9" t="s">
        <v>358</v>
      </c>
      <c r="B165" s="9" t="str">
        <f t="shared" si="1"/>
        <v>1 Кор.</v>
      </c>
      <c r="C165" s="11" t="str">
        <f t="shared" si="2"/>
        <v>130</v>
      </c>
      <c r="D165" s="12" t="s">
        <v>22</v>
      </c>
      <c r="E165" s="21" t="s">
        <v>359</v>
      </c>
      <c r="F165" s="14"/>
      <c r="G165" s="22"/>
      <c r="H165" s="16" t="s">
        <v>29</v>
      </c>
      <c r="I165" s="53">
        <v>14.0</v>
      </c>
      <c r="J165" s="54"/>
      <c r="K165" s="55">
        <v>6.0</v>
      </c>
      <c r="L165" s="20" t="b">
        <f t="shared" si="3"/>
        <v>0</v>
      </c>
    </row>
    <row r="166">
      <c r="A166" s="9" t="s">
        <v>452</v>
      </c>
      <c r="B166" s="9" t="str">
        <f t="shared" si="1"/>
        <v>2 Кор.</v>
      </c>
      <c r="C166" s="11" t="str">
        <f t="shared" si="2"/>
        <v>170</v>
      </c>
      <c r="D166" s="9"/>
      <c r="E166" s="21" t="s">
        <v>453</v>
      </c>
      <c r="F166" s="14"/>
      <c r="G166" s="22"/>
      <c r="H166" s="16" t="s">
        <v>29</v>
      </c>
      <c r="I166" s="53">
        <v>14.0</v>
      </c>
      <c r="J166" s="54"/>
      <c r="K166" s="55">
        <v>7.0</v>
      </c>
      <c r="L166" s="20" t="b">
        <f t="shared" si="3"/>
        <v>0</v>
      </c>
    </row>
    <row r="167">
      <c r="A167" s="9" t="s">
        <v>522</v>
      </c>
      <c r="B167" s="9" t="str">
        <f t="shared" si="1"/>
        <v>Гал.</v>
      </c>
      <c r="C167" s="11" t="str">
        <f t="shared" si="2"/>
        <v>202</v>
      </c>
      <c r="D167" s="9"/>
      <c r="E167" s="25" t="s">
        <v>523</v>
      </c>
      <c r="F167" s="14"/>
      <c r="G167" s="22"/>
      <c r="H167" s="16" t="s">
        <v>29</v>
      </c>
      <c r="I167" s="53">
        <v>15.0</v>
      </c>
      <c r="J167" s="54"/>
      <c r="K167" s="55">
        <v>1.0</v>
      </c>
      <c r="L167" s="20" t="b">
        <f t="shared" si="3"/>
        <v>0</v>
      </c>
    </row>
    <row r="168">
      <c r="A168" s="9" t="s">
        <v>526</v>
      </c>
      <c r="B168" s="9" t="str">
        <f t="shared" si="1"/>
        <v>Гал.</v>
      </c>
      <c r="C168" s="11" t="str">
        <f t="shared" si="2"/>
        <v>204</v>
      </c>
      <c r="D168" s="9"/>
      <c r="E168" s="25" t="s">
        <v>527</v>
      </c>
      <c r="F168" s="14"/>
      <c r="G168" s="22"/>
      <c r="H168" s="16" t="s">
        <v>29</v>
      </c>
      <c r="I168" s="53">
        <v>15.0</v>
      </c>
      <c r="J168" s="54"/>
      <c r="K168" s="55">
        <v>2.0</v>
      </c>
      <c r="L168" s="20" t="b">
        <f t="shared" si="3"/>
        <v>0</v>
      </c>
    </row>
    <row r="169">
      <c r="A169" s="9" t="s">
        <v>533</v>
      </c>
      <c r="B169" s="9" t="str">
        <f t="shared" si="1"/>
        <v>Гал.</v>
      </c>
      <c r="C169" s="11" t="str">
        <f t="shared" si="2"/>
        <v>207</v>
      </c>
      <c r="D169" s="9"/>
      <c r="E169" s="25" t="s">
        <v>534</v>
      </c>
      <c r="F169" s="25"/>
      <c r="G169" s="22"/>
      <c r="H169" s="16" t="s">
        <v>29</v>
      </c>
      <c r="I169" s="53">
        <v>15.0</v>
      </c>
      <c r="J169" s="54"/>
      <c r="K169" s="55">
        <v>3.0</v>
      </c>
      <c r="L169" s="20" t="b">
        <f t="shared" si="3"/>
        <v>0</v>
      </c>
    </row>
    <row r="170">
      <c r="A170" s="9" t="s">
        <v>535</v>
      </c>
      <c r="B170" s="9" t="str">
        <f t="shared" si="1"/>
        <v>Гал.</v>
      </c>
      <c r="C170" s="11" t="str">
        <f t="shared" si="2"/>
        <v>208</v>
      </c>
      <c r="D170" s="12" t="s">
        <v>18</v>
      </c>
      <c r="E170" s="25" t="s">
        <v>536</v>
      </c>
      <c r="F170" s="14"/>
      <c r="G170" s="22"/>
      <c r="H170" s="16" t="s">
        <v>29</v>
      </c>
      <c r="I170" s="53">
        <v>15.0</v>
      </c>
      <c r="J170" s="54"/>
      <c r="K170" s="55">
        <v>4.0</v>
      </c>
      <c r="L170" s="20" t="b">
        <f t="shared" si="3"/>
        <v>0</v>
      </c>
    </row>
    <row r="171">
      <c r="A171" s="9" t="s">
        <v>541</v>
      </c>
      <c r="B171" s="9" t="str">
        <f t="shared" si="1"/>
        <v>Гал.</v>
      </c>
      <c r="C171" s="11" t="str">
        <f t="shared" si="2"/>
        <v>210</v>
      </c>
      <c r="D171" s="12" t="s">
        <v>18</v>
      </c>
      <c r="E171" s="25" t="s">
        <v>542</v>
      </c>
      <c r="F171" s="14"/>
      <c r="G171" s="22"/>
      <c r="H171" s="16" t="s">
        <v>29</v>
      </c>
      <c r="I171" s="53">
        <v>15.0</v>
      </c>
      <c r="J171" s="54"/>
      <c r="K171" s="55">
        <v>5.0</v>
      </c>
      <c r="L171" s="20" t="b">
        <f t="shared" si="3"/>
        <v>0</v>
      </c>
    </row>
    <row r="172">
      <c r="A172" s="9" t="s">
        <v>363</v>
      </c>
      <c r="B172" s="9" t="str">
        <f t="shared" si="1"/>
        <v>1 Кор.</v>
      </c>
      <c r="C172" s="11" t="str">
        <f t="shared" si="2"/>
        <v>132</v>
      </c>
      <c r="D172" s="9"/>
      <c r="E172" s="21" t="s">
        <v>364</v>
      </c>
      <c r="F172" s="14"/>
      <c r="G172" s="22"/>
      <c r="H172" s="16" t="s">
        <v>29</v>
      </c>
      <c r="I172" s="53">
        <v>15.0</v>
      </c>
      <c r="J172" s="54"/>
      <c r="K172" s="55">
        <v>6.0</v>
      </c>
      <c r="L172" s="20" t="b">
        <f t="shared" si="3"/>
        <v>0</v>
      </c>
    </row>
    <row r="173">
      <c r="A173" s="9" t="s">
        <v>464</v>
      </c>
      <c r="B173" s="9" t="str">
        <f t="shared" si="1"/>
        <v>2 Кор.</v>
      </c>
      <c r="C173" s="11" t="str">
        <f t="shared" si="2"/>
        <v>176</v>
      </c>
      <c r="D173" s="9"/>
      <c r="E173" s="27" t="s">
        <v>852</v>
      </c>
      <c r="F173" s="14"/>
      <c r="G173" s="22"/>
      <c r="H173" s="16" t="s">
        <v>29</v>
      </c>
      <c r="I173" s="53">
        <v>15.0</v>
      </c>
      <c r="J173" s="54"/>
      <c r="K173" s="55">
        <v>7.0</v>
      </c>
      <c r="L173" s="20" t="b">
        <f t="shared" si="3"/>
        <v>0</v>
      </c>
    </row>
    <row r="174">
      <c r="A174" s="9" t="s">
        <v>547</v>
      </c>
      <c r="B174" s="9" t="str">
        <f t="shared" si="1"/>
        <v>Гал.</v>
      </c>
      <c r="C174" s="11" t="str">
        <f t="shared" si="2"/>
        <v>211</v>
      </c>
      <c r="D174" s="9"/>
      <c r="E174" s="25" t="s">
        <v>548</v>
      </c>
      <c r="F174" s="14"/>
      <c r="G174" s="22"/>
      <c r="H174" s="16" t="s">
        <v>29</v>
      </c>
      <c r="I174" s="53">
        <v>16.0</v>
      </c>
      <c r="J174" s="54"/>
      <c r="K174" s="55">
        <v>1.0</v>
      </c>
      <c r="L174" s="20" t="b">
        <f t="shared" si="3"/>
        <v>0</v>
      </c>
    </row>
    <row r="175">
      <c r="A175" s="9" t="s">
        <v>549</v>
      </c>
      <c r="B175" s="9" t="str">
        <f t="shared" si="1"/>
        <v>Гал.</v>
      </c>
      <c r="C175" s="11" t="str">
        <f t="shared" si="2"/>
        <v>212</v>
      </c>
      <c r="D175" s="9"/>
      <c r="E175" s="25" t="s">
        <v>550</v>
      </c>
      <c r="F175" s="14"/>
      <c r="G175" s="22"/>
      <c r="H175" s="16" t="s">
        <v>29</v>
      </c>
      <c r="I175" s="53">
        <v>16.0</v>
      </c>
      <c r="J175" s="54"/>
      <c r="K175" s="55">
        <v>2.0</v>
      </c>
      <c r="L175" s="20" t="b">
        <f t="shared" si="3"/>
        <v>0</v>
      </c>
    </row>
    <row r="176">
      <c r="A176" s="9" t="s">
        <v>554</v>
      </c>
      <c r="B176" s="9" t="str">
        <f t="shared" si="1"/>
        <v>Гал.</v>
      </c>
      <c r="C176" s="11" t="str">
        <f t="shared" si="2"/>
        <v>214</v>
      </c>
      <c r="D176" s="9"/>
      <c r="E176" s="25" t="s">
        <v>555</v>
      </c>
      <c r="F176" s="14"/>
      <c r="G176" s="22"/>
      <c r="H176" s="16" t="s">
        <v>29</v>
      </c>
      <c r="I176" s="53">
        <v>16.0</v>
      </c>
      <c r="J176" s="54"/>
      <c r="K176" s="55">
        <v>3.0</v>
      </c>
      <c r="L176" s="20" t="b">
        <f t="shared" si="3"/>
        <v>0</v>
      </c>
    </row>
    <row r="177">
      <c r="A177" s="9" t="s">
        <v>560</v>
      </c>
      <c r="B177" s="9" t="str">
        <f t="shared" si="1"/>
        <v>Еф.</v>
      </c>
      <c r="C177" s="11" t="str">
        <f t="shared" si="2"/>
        <v>216</v>
      </c>
      <c r="D177" s="9"/>
      <c r="E177" s="25" t="s">
        <v>561</v>
      </c>
      <c r="F177" s="14"/>
      <c r="G177" s="22"/>
      <c r="H177" s="16" t="s">
        <v>29</v>
      </c>
      <c r="I177" s="53">
        <v>16.0</v>
      </c>
      <c r="J177" s="54"/>
      <c r="K177" s="55">
        <v>4.0</v>
      </c>
      <c r="L177" s="20" t="b">
        <f t="shared" si="3"/>
        <v>0</v>
      </c>
    </row>
    <row r="178">
      <c r="A178" s="9" t="s">
        <v>562</v>
      </c>
      <c r="B178" s="9" t="str">
        <f t="shared" si="1"/>
        <v>Еф.</v>
      </c>
      <c r="C178" s="11" t="str">
        <f t="shared" si="2"/>
        <v>217</v>
      </c>
      <c r="D178" s="9"/>
      <c r="E178" s="25" t="s">
        <v>563</v>
      </c>
      <c r="F178" s="14"/>
      <c r="G178" s="22"/>
      <c r="H178" s="16" t="s">
        <v>29</v>
      </c>
      <c r="I178" s="53">
        <v>16.0</v>
      </c>
      <c r="J178" s="54"/>
      <c r="K178" s="55">
        <v>5.0</v>
      </c>
      <c r="L178" s="20" t="b">
        <f t="shared" si="3"/>
        <v>0</v>
      </c>
    </row>
    <row r="179">
      <c r="A179" s="9" t="s">
        <v>397</v>
      </c>
      <c r="B179" s="9" t="str">
        <f t="shared" si="1"/>
        <v>1 Кор.</v>
      </c>
      <c r="C179" s="11" t="str">
        <f t="shared" si="2"/>
        <v>146</v>
      </c>
      <c r="D179" s="9"/>
      <c r="E179" s="21" t="s">
        <v>398</v>
      </c>
      <c r="F179" s="14"/>
      <c r="G179" s="22"/>
      <c r="H179" s="16" t="s">
        <v>29</v>
      </c>
      <c r="I179" s="53">
        <v>16.0</v>
      </c>
      <c r="J179" s="54"/>
      <c r="K179" s="55">
        <v>6.0</v>
      </c>
      <c r="L179" s="20" t="b">
        <f t="shared" si="3"/>
        <v>0</v>
      </c>
    </row>
    <row r="180">
      <c r="A180" s="9" t="s">
        <v>475</v>
      </c>
      <c r="B180" s="9" t="str">
        <f t="shared" si="1"/>
        <v>2 Кор.</v>
      </c>
      <c r="C180" s="11" t="str">
        <f t="shared" si="2"/>
        <v>181</v>
      </c>
      <c r="D180" s="9"/>
      <c r="E180" s="13" t="s">
        <v>476</v>
      </c>
      <c r="F180" s="14"/>
      <c r="G180" s="22"/>
      <c r="H180" s="16" t="s">
        <v>29</v>
      </c>
      <c r="I180" s="53">
        <v>16.0</v>
      </c>
      <c r="J180" s="54"/>
      <c r="K180" s="55">
        <v>7.0</v>
      </c>
      <c r="L180" s="20" t="b">
        <f t="shared" si="3"/>
        <v>0</v>
      </c>
    </row>
    <row r="181">
      <c r="A181" s="9" t="s">
        <v>566</v>
      </c>
      <c r="B181" s="9" t="str">
        <f t="shared" si="1"/>
        <v>Еф.</v>
      </c>
      <c r="C181" s="11" t="str">
        <f t="shared" si="2"/>
        <v>219</v>
      </c>
      <c r="D181" s="9"/>
      <c r="E181" s="25" t="s">
        <v>567</v>
      </c>
      <c r="F181" s="14"/>
      <c r="G181" s="22"/>
      <c r="H181" s="16" t="s">
        <v>29</v>
      </c>
      <c r="I181" s="53">
        <v>17.0</v>
      </c>
      <c r="J181" s="54"/>
      <c r="K181" s="55">
        <v>1.0</v>
      </c>
      <c r="L181" s="20" t="b">
        <f t="shared" si="3"/>
        <v>0</v>
      </c>
    </row>
    <row r="182">
      <c r="A182" s="9" t="s">
        <v>575</v>
      </c>
      <c r="B182" s="9" t="str">
        <f t="shared" si="1"/>
        <v>Еф.</v>
      </c>
      <c r="C182" s="11" t="str">
        <f t="shared" si="2"/>
        <v>222</v>
      </c>
      <c r="D182" s="9"/>
      <c r="E182" s="25" t="s">
        <v>576</v>
      </c>
      <c r="F182" s="14"/>
      <c r="G182" s="22"/>
      <c r="H182" s="16" t="s">
        <v>29</v>
      </c>
      <c r="I182" s="53">
        <v>17.0</v>
      </c>
      <c r="J182" s="54"/>
      <c r="K182" s="55">
        <v>2.0</v>
      </c>
      <c r="L182" s="20" t="b">
        <f t="shared" si="3"/>
        <v>0</v>
      </c>
    </row>
    <row r="183">
      <c r="A183" s="9" t="s">
        <v>577</v>
      </c>
      <c r="B183" s="9" t="str">
        <f t="shared" si="1"/>
        <v>Еф.</v>
      </c>
      <c r="C183" s="11" t="str">
        <f t="shared" si="2"/>
        <v>223</v>
      </c>
      <c r="D183" s="9"/>
      <c r="E183" s="25" t="s">
        <v>578</v>
      </c>
      <c r="F183" s="14"/>
      <c r="G183" s="22"/>
      <c r="H183" s="16" t="s">
        <v>29</v>
      </c>
      <c r="I183" s="53">
        <v>17.0</v>
      </c>
      <c r="J183" s="54"/>
      <c r="K183" s="55">
        <v>3.0</v>
      </c>
      <c r="L183" s="20" t="b">
        <f t="shared" si="3"/>
        <v>0</v>
      </c>
    </row>
    <row r="184">
      <c r="A184" s="9" t="s">
        <v>583</v>
      </c>
      <c r="B184" s="9" t="str">
        <f t="shared" si="1"/>
        <v>Еф.</v>
      </c>
      <c r="C184" s="11" t="str">
        <f t="shared" si="2"/>
        <v>225</v>
      </c>
      <c r="D184" s="9"/>
      <c r="E184" s="25" t="s">
        <v>584</v>
      </c>
      <c r="F184" s="14"/>
      <c r="G184" s="22"/>
      <c r="H184" s="16" t="s">
        <v>29</v>
      </c>
      <c r="I184" s="53">
        <v>17.0</v>
      </c>
      <c r="J184" s="54"/>
      <c r="K184" s="55">
        <v>4.0</v>
      </c>
      <c r="L184" s="20" t="b">
        <f t="shared" si="3"/>
        <v>0</v>
      </c>
    </row>
    <row r="185">
      <c r="A185" s="9" t="s">
        <v>585</v>
      </c>
      <c r="B185" s="9" t="str">
        <f t="shared" si="1"/>
        <v>Еф.</v>
      </c>
      <c r="C185" s="11" t="str">
        <f t="shared" si="2"/>
        <v>226</v>
      </c>
      <c r="D185" s="9"/>
      <c r="E185" s="25" t="s">
        <v>586</v>
      </c>
      <c r="F185" s="14"/>
      <c r="G185" s="22"/>
      <c r="H185" s="16" t="s">
        <v>29</v>
      </c>
      <c r="I185" s="53">
        <v>17.0</v>
      </c>
      <c r="J185" s="54"/>
      <c r="K185" s="55">
        <v>5.0</v>
      </c>
      <c r="L185" s="20" t="b">
        <f t="shared" si="3"/>
        <v>0</v>
      </c>
    </row>
    <row r="186">
      <c r="A186" s="9" t="s">
        <v>421</v>
      </c>
      <c r="B186" s="9" t="str">
        <f t="shared" si="1"/>
        <v>1 Кор.</v>
      </c>
      <c r="C186" s="11" t="str">
        <f t="shared" si="2"/>
        <v>156</v>
      </c>
      <c r="D186" s="9"/>
      <c r="E186" s="27" t="s">
        <v>422</v>
      </c>
      <c r="F186" s="14"/>
      <c r="G186" s="22"/>
      <c r="H186" s="16" t="s">
        <v>29</v>
      </c>
      <c r="I186" s="53">
        <v>17.0</v>
      </c>
      <c r="J186" s="54"/>
      <c r="K186" s="55">
        <v>6.0</v>
      </c>
      <c r="L186" s="20" t="b">
        <f t="shared" si="3"/>
        <v>0</v>
      </c>
    </row>
    <row r="187">
      <c r="A187" s="9" t="s">
        <v>479</v>
      </c>
      <c r="B187" s="9" t="str">
        <f t="shared" si="1"/>
        <v>2 Кор.</v>
      </c>
      <c r="C187" s="11" t="str">
        <f t="shared" si="2"/>
        <v>182</v>
      </c>
      <c r="D187" s="12" t="s">
        <v>22</v>
      </c>
      <c r="E187" s="21" t="s">
        <v>480</v>
      </c>
      <c r="F187" s="14"/>
      <c r="G187" s="22"/>
      <c r="H187" s="16" t="s">
        <v>29</v>
      </c>
      <c r="I187" s="53">
        <v>17.0</v>
      </c>
      <c r="J187" s="54"/>
      <c r="K187" s="55">
        <v>7.0</v>
      </c>
      <c r="L187" s="20" t="b">
        <f t="shared" si="3"/>
        <v>0</v>
      </c>
    </row>
    <row r="188">
      <c r="A188" s="9" t="s">
        <v>587</v>
      </c>
      <c r="B188" s="9" t="str">
        <f t="shared" si="1"/>
        <v>Еф.</v>
      </c>
      <c r="C188" s="11" t="str">
        <f t="shared" si="2"/>
        <v>227</v>
      </c>
      <c r="D188" s="9"/>
      <c r="E188" s="25" t="s">
        <v>588</v>
      </c>
      <c r="F188" s="14"/>
      <c r="G188" s="22"/>
      <c r="H188" s="16" t="s">
        <v>29</v>
      </c>
      <c r="I188" s="53">
        <v>18.0</v>
      </c>
      <c r="J188" s="54"/>
      <c r="K188" s="55">
        <v>1.0</v>
      </c>
      <c r="L188" s="20" t="b">
        <f t="shared" si="3"/>
        <v>0</v>
      </c>
    </row>
    <row r="189">
      <c r="A189" s="9" t="s">
        <v>594</v>
      </c>
      <c r="B189" s="9" t="str">
        <f t="shared" si="1"/>
        <v>Еф.</v>
      </c>
      <c r="C189" s="11" t="str">
        <f t="shared" si="2"/>
        <v>230</v>
      </c>
      <c r="D189" s="9"/>
      <c r="E189" s="25" t="s">
        <v>595</v>
      </c>
      <c r="F189" s="14"/>
      <c r="G189" s="22"/>
      <c r="H189" s="16" t="s">
        <v>29</v>
      </c>
      <c r="I189" s="53">
        <v>18.0</v>
      </c>
      <c r="J189" s="54"/>
      <c r="K189" s="55">
        <v>2.0</v>
      </c>
      <c r="L189" s="20" t="b">
        <f t="shared" si="3"/>
        <v>0</v>
      </c>
    </row>
    <row r="190">
      <c r="A190" s="9" t="s">
        <v>596</v>
      </c>
      <c r="B190" s="9" t="str">
        <f t="shared" si="1"/>
        <v>Еф.</v>
      </c>
      <c r="C190" s="11" t="str">
        <f t="shared" si="2"/>
        <v>231</v>
      </c>
      <c r="D190" s="9"/>
      <c r="E190" s="25" t="s">
        <v>597</v>
      </c>
      <c r="F190" s="14"/>
      <c r="G190" s="22"/>
      <c r="H190" s="16" t="s">
        <v>29</v>
      </c>
      <c r="I190" s="53">
        <v>18.0</v>
      </c>
      <c r="J190" s="54"/>
      <c r="K190" s="55">
        <v>3.0</v>
      </c>
      <c r="L190" s="20" t="b">
        <f t="shared" si="3"/>
        <v>0</v>
      </c>
    </row>
    <row r="191">
      <c r="A191" s="9" t="s">
        <v>598</v>
      </c>
      <c r="B191" s="9" t="str">
        <f t="shared" si="1"/>
        <v>Еф.</v>
      </c>
      <c r="C191" s="11" t="str">
        <f t="shared" si="2"/>
        <v>232</v>
      </c>
      <c r="D191" s="9"/>
      <c r="E191" s="25" t="s">
        <v>599</v>
      </c>
      <c r="F191" s="14"/>
      <c r="G191" s="22"/>
      <c r="H191" s="16" t="s">
        <v>29</v>
      </c>
      <c r="I191" s="53">
        <v>18.0</v>
      </c>
      <c r="J191" s="54"/>
      <c r="K191" s="55">
        <v>4.0</v>
      </c>
      <c r="L191" s="20" t="b">
        <f t="shared" si="3"/>
        <v>0</v>
      </c>
    </row>
    <row r="192">
      <c r="A192" s="9" t="s">
        <v>602</v>
      </c>
      <c r="B192" s="9" t="str">
        <f t="shared" si="1"/>
        <v>Еф.</v>
      </c>
      <c r="C192" s="11" t="str">
        <f t="shared" si="2"/>
        <v>234</v>
      </c>
      <c r="D192" s="9"/>
      <c r="E192" s="25" t="s">
        <v>603</v>
      </c>
      <c r="F192" s="14"/>
      <c r="G192" s="22"/>
      <c r="H192" s="16" t="s">
        <v>29</v>
      </c>
      <c r="I192" s="53">
        <v>18.0</v>
      </c>
      <c r="J192" s="54"/>
      <c r="K192" s="55">
        <v>5.0</v>
      </c>
      <c r="L192" s="20" t="b">
        <f t="shared" si="3"/>
        <v>0</v>
      </c>
    </row>
    <row r="193">
      <c r="A193" s="9" t="s">
        <v>433</v>
      </c>
      <c r="B193" s="9" t="str">
        <f t="shared" si="1"/>
        <v>1 Кор.</v>
      </c>
      <c r="C193" s="11" t="str">
        <f t="shared" si="2"/>
        <v>162</v>
      </c>
      <c r="D193" s="9"/>
      <c r="E193" s="27" t="s">
        <v>434</v>
      </c>
      <c r="F193" s="25"/>
      <c r="G193" s="22"/>
      <c r="H193" s="16" t="s">
        <v>29</v>
      </c>
      <c r="I193" s="53">
        <v>18.0</v>
      </c>
      <c r="J193" s="54"/>
      <c r="K193" s="55">
        <v>6.0</v>
      </c>
      <c r="L193" s="20" t="b">
        <f t="shared" si="3"/>
        <v>0</v>
      </c>
    </row>
    <row r="194">
      <c r="A194" s="9" t="s">
        <v>492</v>
      </c>
      <c r="B194" s="9" t="str">
        <f t="shared" si="1"/>
        <v>2 Кор.</v>
      </c>
      <c r="C194" s="11" t="str">
        <f t="shared" si="2"/>
        <v>188</v>
      </c>
      <c r="D194" s="9"/>
      <c r="E194" s="27" t="s">
        <v>493</v>
      </c>
      <c r="F194" s="14"/>
      <c r="G194" s="22"/>
      <c r="H194" s="16" t="s">
        <v>29</v>
      </c>
      <c r="I194" s="53">
        <v>18.0</v>
      </c>
      <c r="J194" s="54"/>
      <c r="K194" s="55">
        <v>7.0</v>
      </c>
      <c r="L194" s="20" t="b">
        <f t="shared" si="3"/>
        <v>0</v>
      </c>
    </row>
    <row r="195">
      <c r="A195" s="9" t="s">
        <v>604</v>
      </c>
      <c r="B195" s="9" t="str">
        <f t="shared" si="1"/>
        <v>Флп.</v>
      </c>
      <c r="C195" s="11" t="str">
        <f t="shared" si="2"/>
        <v>235</v>
      </c>
      <c r="D195" s="9"/>
      <c r="E195" s="25" t="s">
        <v>605</v>
      </c>
      <c r="F195" s="14"/>
      <c r="G195" s="22"/>
      <c r="H195" s="16" t="s">
        <v>29</v>
      </c>
      <c r="I195" s="53">
        <v>19.0</v>
      </c>
      <c r="J195" s="54"/>
      <c r="K195" s="55">
        <v>1.0</v>
      </c>
      <c r="L195" s="20" t="b">
        <f t="shared" si="3"/>
        <v>0</v>
      </c>
    </row>
    <row r="196">
      <c r="A196" s="9" t="s">
        <v>606</v>
      </c>
      <c r="B196" s="9" t="str">
        <f t="shared" si="1"/>
        <v>Флп.</v>
      </c>
      <c r="C196" s="11" t="str">
        <f t="shared" si="2"/>
        <v>236</v>
      </c>
      <c r="D196" s="9"/>
      <c r="E196" s="25" t="s">
        <v>607</v>
      </c>
      <c r="F196" s="14"/>
      <c r="G196" s="22"/>
      <c r="H196" s="16" t="s">
        <v>29</v>
      </c>
      <c r="I196" s="53">
        <v>19.0</v>
      </c>
      <c r="J196" s="54"/>
      <c r="K196" s="55">
        <v>2.0</v>
      </c>
      <c r="L196" s="20" t="b">
        <f t="shared" si="3"/>
        <v>0</v>
      </c>
    </row>
    <row r="197">
      <c r="A197" s="9" t="s">
        <v>608</v>
      </c>
      <c r="B197" s="9" t="str">
        <f t="shared" si="1"/>
        <v>Флп.</v>
      </c>
      <c r="C197" s="11" t="str">
        <f t="shared" si="2"/>
        <v>237</v>
      </c>
      <c r="D197" s="9"/>
      <c r="E197" s="25" t="s">
        <v>609</v>
      </c>
      <c r="F197" s="14"/>
      <c r="G197" s="22"/>
      <c r="H197" s="16" t="s">
        <v>29</v>
      </c>
      <c r="I197" s="53">
        <v>19.0</v>
      </c>
      <c r="J197" s="54"/>
      <c r="K197" s="55">
        <v>3.0</v>
      </c>
      <c r="L197" s="20" t="b">
        <f t="shared" si="3"/>
        <v>0</v>
      </c>
    </row>
    <row r="198">
      <c r="A198" s="9" t="s">
        <v>610</v>
      </c>
      <c r="B198" s="9" t="str">
        <f t="shared" si="1"/>
        <v>Флп.</v>
      </c>
      <c r="C198" s="11" t="str">
        <f t="shared" si="2"/>
        <v>238</v>
      </c>
      <c r="D198" s="9"/>
      <c r="E198" s="25" t="s">
        <v>611</v>
      </c>
      <c r="F198" s="14"/>
      <c r="G198" s="22"/>
      <c r="H198" s="16" t="s">
        <v>29</v>
      </c>
      <c r="I198" s="53">
        <v>19.0</v>
      </c>
      <c r="J198" s="54"/>
      <c r="K198" s="55">
        <v>4.0</v>
      </c>
      <c r="L198" s="20" t="b">
        <f t="shared" si="3"/>
        <v>0</v>
      </c>
    </row>
    <row r="199">
      <c r="A199" s="9" t="s">
        <v>612</v>
      </c>
      <c r="B199" s="9" t="str">
        <f t="shared" si="1"/>
        <v>Флп.</v>
      </c>
      <c r="C199" s="11" t="str">
        <f t="shared" si="2"/>
        <v>239</v>
      </c>
      <c r="D199" s="9"/>
      <c r="E199" s="25" t="s">
        <v>613</v>
      </c>
      <c r="F199" s="14"/>
      <c r="G199" s="22"/>
      <c r="H199" s="16" t="s">
        <v>29</v>
      </c>
      <c r="I199" s="53">
        <v>19.0</v>
      </c>
      <c r="J199" s="54"/>
      <c r="K199" s="55">
        <v>5.0</v>
      </c>
      <c r="L199" s="20" t="b">
        <f t="shared" si="3"/>
        <v>0</v>
      </c>
    </row>
    <row r="200">
      <c r="A200" s="9" t="s">
        <v>437</v>
      </c>
      <c r="B200" s="9" t="str">
        <f t="shared" si="1"/>
        <v>1 Кор.</v>
      </c>
      <c r="C200" s="11" t="str">
        <f t="shared" si="2"/>
        <v>164</v>
      </c>
      <c r="D200" s="9"/>
      <c r="E200" s="27" t="s">
        <v>438</v>
      </c>
      <c r="F200" s="14"/>
      <c r="G200" s="22"/>
      <c r="H200" s="16" t="s">
        <v>29</v>
      </c>
      <c r="I200" s="53">
        <v>19.0</v>
      </c>
      <c r="J200" s="54"/>
      <c r="K200" s="55">
        <v>6.0</v>
      </c>
      <c r="L200" s="20" t="b">
        <f t="shared" si="3"/>
        <v>0</v>
      </c>
    </row>
    <row r="201">
      <c r="A201" s="9" t="s">
        <v>505</v>
      </c>
      <c r="B201" s="9" t="str">
        <f t="shared" si="1"/>
        <v>2 Кор.</v>
      </c>
      <c r="C201" s="11" t="str">
        <f t="shared" si="2"/>
        <v>194</v>
      </c>
      <c r="D201" s="9"/>
      <c r="E201" s="21" t="s">
        <v>506</v>
      </c>
      <c r="F201" s="14"/>
      <c r="G201" s="22"/>
      <c r="H201" s="16" t="s">
        <v>29</v>
      </c>
      <c r="I201" s="53">
        <v>19.0</v>
      </c>
      <c r="J201" s="54"/>
      <c r="K201" s="55">
        <v>7.0</v>
      </c>
      <c r="L201" s="20" t="b">
        <f t="shared" si="3"/>
        <v>0</v>
      </c>
    </row>
    <row r="202">
      <c r="A202" s="9" t="s">
        <v>616</v>
      </c>
      <c r="B202" s="9" t="str">
        <f t="shared" si="1"/>
        <v>Флп.</v>
      </c>
      <c r="C202" s="11" t="str">
        <f t="shared" si="2"/>
        <v>241</v>
      </c>
      <c r="D202" s="9"/>
      <c r="E202" s="25" t="s">
        <v>617</v>
      </c>
      <c r="F202" s="14"/>
      <c r="G202" s="22"/>
      <c r="H202" s="16" t="s">
        <v>29</v>
      </c>
      <c r="I202" s="53">
        <v>20.0</v>
      </c>
      <c r="J202" s="54"/>
      <c r="K202" s="55">
        <v>1.0</v>
      </c>
      <c r="L202" s="20" t="b">
        <f t="shared" si="3"/>
        <v>0</v>
      </c>
    </row>
    <row r="203">
      <c r="A203" s="9" t="s">
        <v>618</v>
      </c>
      <c r="B203" s="9" t="str">
        <f t="shared" si="1"/>
        <v>Флп.</v>
      </c>
      <c r="C203" s="11" t="str">
        <f t="shared" si="2"/>
        <v>242</v>
      </c>
      <c r="D203" s="9"/>
      <c r="E203" s="13" t="s">
        <v>619</v>
      </c>
      <c r="F203" s="14"/>
      <c r="G203" s="22"/>
      <c r="H203" s="16" t="s">
        <v>29</v>
      </c>
      <c r="I203" s="53">
        <v>20.0</v>
      </c>
      <c r="J203" s="54"/>
      <c r="K203" s="55">
        <v>2.0</v>
      </c>
      <c r="L203" s="20" t="b">
        <f t="shared" si="3"/>
        <v>0</v>
      </c>
    </row>
    <row r="204">
      <c r="A204" s="9" t="s">
        <v>620</v>
      </c>
      <c r="B204" s="9" t="str">
        <f t="shared" si="1"/>
        <v>Флп.</v>
      </c>
      <c r="C204" s="11" t="str">
        <f t="shared" si="2"/>
        <v>243</v>
      </c>
      <c r="D204" s="9"/>
      <c r="E204" s="25" t="s">
        <v>621</v>
      </c>
      <c r="F204" s="14"/>
      <c r="G204" s="22"/>
      <c r="H204" s="16" t="s">
        <v>29</v>
      </c>
      <c r="I204" s="53">
        <v>20.0</v>
      </c>
      <c r="J204" s="54"/>
      <c r="K204" s="55">
        <v>3.0</v>
      </c>
      <c r="L204" s="20" t="b">
        <f t="shared" si="3"/>
        <v>0</v>
      </c>
    </row>
    <row r="205">
      <c r="A205" s="9" t="s">
        <v>622</v>
      </c>
      <c r="B205" s="9" t="str">
        <f t="shared" si="1"/>
        <v>Флп.</v>
      </c>
      <c r="C205" s="11" t="str">
        <f t="shared" si="2"/>
        <v>244</v>
      </c>
      <c r="D205" s="9"/>
      <c r="E205" s="25" t="s">
        <v>623</v>
      </c>
      <c r="F205" s="14"/>
      <c r="G205" s="22"/>
      <c r="H205" s="16" t="s">
        <v>29</v>
      </c>
      <c r="I205" s="53">
        <v>20.0</v>
      </c>
      <c r="J205" s="54"/>
      <c r="K205" s="55">
        <v>4.0</v>
      </c>
      <c r="L205" s="20" t="b">
        <f t="shared" si="3"/>
        <v>0</v>
      </c>
    </row>
    <row r="206">
      <c r="A206" s="9" t="s">
        <v>624</v>
      </c>
      <c r="B206" s="9" t="str">
        <f t="shared" si="1"/>
        <v>Флп.</v>
      </c>
      <c r="C206" s="11" t="str">
        <f t="shared" si="2"/>
        <v>245</v>
      </c>
      <c r="D206" s="9"/>
      <c r="E206" s="25" t="s">
        <v>625</v>
      </c>
      <c r="F206" s="14"/>
      <c r="G206" s="22"/>
      <c r="H206" s="16" t="s">
        <v>29</v>
      </c>
      <c r="I206" s="53">
        <v>20.0</v>
      </c>
      <c r="J206" s="54"/>
      <c r="K206" s="55">
        <v>5.0</v>
      </c>
      <c r="L206" s="20" t="b">
        <f t="shared" si="3"/>
        <v>0</v>
      </c>
    </row>
    <row r="207">
      <c r="A207" s="9" t="s">
        <v>448</v>
      </c>
      <c r="B207" s="9" t="str">
        <f t="shared" si="1"/>
        <v>2 Кор.</v>
      </c>
      <c r="C207" s="11" t="str">
        <f t="shared" si="2"/>
        <v>168</v>
      </c>
      <c r="D207" s="9"/>
      <c r="E207" s="21" t="s">
        <v>449</v>
      </c>
      <c r="F207" s="14"/>
      <c r="G207" s="22"/>
      <c r="H207" s="16" t="s">
        <v>29</v>
      </c>
      <c r="I207" s="53">
        <v>20.0</v>
      </c>
      <c r="J207" s="54"/>
      <c r="K207" s="55">
        <v>6.0</v>
      </c>
      <c r="L207" s="20" t="b">
        <f t="shared" si="3"/>
        <v>0</v>
      </c>
    </row>
    <row r="208">
      <c r="A208" s="9" t="s">
        <v>518</v>
      </c>
      <c r="B208" s="9" t="str">
        <f t="shared" si="1"/>
        <v>Гал.</v>
      </c>
      <c r="C208" s="11" t="str">
        <f t="shared" si="2"/>
        <v>200</v>
      </c>
      <c r="D208" s="9"/>
      <c r="E208" s="21" t="s">
        <v>853</v>
      </c>
      <c r="F208" s="25" t="s">
        <v>520</v>
      </c>
      <c r="G208" s="22"/>
      <c r="H208" s="16" t="s">
        <v>29</v>
      </c>
      <c r="I208" s="53">
        <v>20.0</v>
      </c>
      <c r="J208" s="54"/>
      <c r="K208" s="55">
        <v>7.0</v>
      </c>
      <c r="L208" s="20" t="b">
        <f t="shared" si="3"/>
        <v>0</v>
      </c>
    </row>
    <row r="209">
      <c r="A209" s="9" t="s">
        <v>630</v>
      </c>
      <c r="B209" s="9" t="str">
        <f t="shared" si="1"/>
        <v>Флп.</v>
      </c>
      <c r="C209" s="11" t="str">
        <f t="shared" si="2"/>
        <v>248</v>
      </c>
      <c r="D209" s="9"/>
      <c r="E209" s="25" t="s">
        <v>631</v>
      </c>
      <c r="F209" s="14"/>
      <c r="G209" s="22"/>
      <c r="H209" s="16" t="s">
        <v>29</v>
      </c>
      <c r="I209" s="53">
        <v>21.0</v>
      </c>
      <c r="J209" s="54"/>
      <c r="K209" s="55">
        <v>1.0</v>
      </c>
      <c r="L209" s="20" t="b">
        <f t="shared" si="3"/>
        <v>0</v>
      </c>
    </row>
    <row r="210">
      <c r="A210" s="9" t="s">
        <v>632</v>
      </c>
      <c r="B210" s="9" t="str">
        <f t="shared" si="1"/>
        <v>Кол.</v>
      </c>
      <c r="C210" s="11" t="str">
        <f t="shared" si="2"/>
        <v>249</v>
      </c>
      <c r="D210" s="12" t="s">
        <v>18</v>
      </c>
      <c r="E210" s="13" t="s">
        <v>633</v>
      </c>
      <c r="F210" s="14"/>
      <c r="G210" s="22"/>
      <c r="H210" s="16" t="s">
        <v>29</v>
      </c>
      <c r="I210" s="53">
        <v>21.0</v>
      </c>
      <c r="J210" s="54"/>
      <c r="K210" s="55">
        <v>2.0</v>
      </c>
      <c r="L210" s="20" t="b">
        <f t="shared" si="3"/>
        <v>0</v>
      </c>
    </row>
    <row r="211">
      <c r="A211" s="9" t="s">
        <v>638</v>
      </c>
      <c r="B211" s="9" t="str">
        <f t="shared" si="1"/>
        <v>Кол.</v>
      </c>
      <c r="C211" s="11" t="str">
        <f t="shared" si="2"/>
        <v>251</v>
      </c>
      <c r="D211" s="9"/>
      <c r="E211" s="25" t="s">
        <v>639</v>
      </c>
      <c r="F211" s="14"/>
      <c r="G211" s="22"/>
      <c r="H211" s="16" t="s">
        <v>29</v>
      </c>
      <c r="I211" s="53">
        <v>21.0</v>
      </c>
      <c r="J211" s="54"/>
      <c r="K211" s="55">
        <v>3.0</v>
      </c>
      <c r="L211" s="20" t="b">
        <f t="shared" si="3"/>
        <v>0</v>
      </c>
    </row>
    <row r="212">
      <c r="A212" s="9" t="s">
        <v>640</v>
      </c>
      <c r="B212" s="9" t="str">
        <f t="shared" si="1"/>
        <v>Кол.</v>
      </c>
      <c r="C212" s="11" t="str">
        <f t="shared" si="2"/>
        <v>252</v>
      </c>
      <c r="D212" s="9"/>
      <c r="E212" s="25" t="s">
        <v>641</v>
      </c>
      <c r="F212" s="14"/>
      <c r="G212" s="22"/>
      <c r="H212" s="16" t="s">
        <v>29</v>
      </c>
      <c r="I212" s="53">
        <v>21.0</v>
      </c>
      <c r="J212" s="54"/>
      <c r="K212" s="55">
        <v>4.0</v>
      </c>
      <c r="L212" s="20" t="b">
        <f t="shared" si="3"/>
        <v>0</v>
      </c>
    </row>
    <row r="213">
      <c r="A213" s="9" t="s">
        <v>642</v>
      </c>
      <c r="B213" s="9" t="str">
        <f t="shared" si="1"/>
        <v>Кол.</v>
      </c>
      <c r="C213" s="11" t="str">
        <f t="shared" si="2"/>
        <v>253</v>
      </c>
      <c r="D213" s="9"/>
      <c r="E213" s="25" t="s">
        <v>643</v>
      </c>
      <c r="F213" s="14"/>
      <c r="G213" s="22"/>
      <c r="H213" s="16" t="s">
        <v>29</v>
      </c>
      <c r="I213" s="53">
        <v>21.0</v>
      </c>
      <c r="J213" s="54"/>
      <c r="K213" s="55">
        <v>5.0</v>
      </c>
      <c r="L213" s="20" t="b">
        <f t="shared" si="3"/>
        <v>0</v>
      </c>
    </row>
    <row r="214">
      <c r="A214" s="9" t="s">
        <v>460</v>
      </c>
      <c r="B214" s="9" t="str">
        <f t="shared" si="1"/>
        <v>2 Кор.</v>
      </c>
      <c r="C214" s="11" t="str">
        <f t="shared" si="2"/>
        <v>174</v>
      </c>
      <c r="D214" s="9"/>
      <c r="E214" s="27" t="s">
        <v>461</v>
      </c>
      <c r="F214" s="14"/>
      <c r="G214" s="22"/>
      <c r="H214" s="16" t="s">
        <v>29</v>
      </c>
      <c r="I214" s="53">
        <v>21.0</v>
      </c>
      <c r="J214" s="54"/>
      <c r="K214" s="55">
        <v>6.0</v>
      </c>
      <c r="L214" s="20" t="b">
        <f t="shared" si="3"/>
        <v>0</v>
      </c>
    </row>
    <row r="215">
      <c r="A215" s="9" t="s">
        <v>524</v>
      </c>
      <c r="B215" s="9" t="str">
        <f t="shared" si="1"/>
        <v>Гал.</v>
      </c>
      <c r="C215" s="11" t="str">
        <f t="shared" si="2"/>
        <v>203</v>
      </c>
      <c r="D215" s="9"/>
      <c r="E215" s="27" t="s">
        <v>854</v>
      </c>
      <c r="F215" s="14"/>
      <c r="G215" s="22"/>
      <c r="H215" s="16" t="s">
        <v>29</v>
      </c>
      <c r="I215" s="53">
        <v>21.0</v>
      </c>
      <c r="J215" s="54"/>
      <c r="K215" s="55">
        <v>7.0</v>
      </c>
      <c r="L215" s="20" t="b">
        <f t="shared" si="3"/>
        <v>0</v>
      </c>
    </row>
    <row r="216">
      <c r="A216" s="9" t="s">
        <v>646</v>
      </c>
      <c r="B216" s="9" t="str">
        <f t="shared" si="1"/>
        <v>Кол.</v>
      </c>
      <c r="C216" s="11" t="str">
        <f t="shared" si="2"/>
        <v>255</v>
      </c>
      <c r="D216" s="9"/>
      <c r="E216" s="25" t="s">
        <v>647</v>
      </c>
      <c r="F216" s="14"/>
      <c r="G216" s="22"/>
      <c r="H216" s="16" t="s">
        <v>29</v>
      </c>
      <c r="I216" s="53">
        <v>22.0</v>
      </c>
      <c r="J216" s="54"/>
      <c r="K216" s="55">
        <v>1.0</v>
      </c>
      <c r="L216" s="20" t="b">
        <f t="shared" si="3"/>
        <v>0</v>
      </c>
    </row>
    <row r="217">
      <c r="A217" s="9" t="s">
        <v>648</v>
      </c>
      <c r="B217" s="9" t="str">
        <f t="shared" si="1"/>
        <v>Кол.</v>
      </c>
      <c r="C217" s="11" t="str">
        <f t="shared" si="2"/>
        <v>256</v>
      </c>
      <c r="D217" s="9"/>
      <c r="E217" s="25" t="s">
        <v>649</v>
      </c>
      <c r="F217" s="14"/>
      <c r="G217" s="22"/>
      <c r="H217" s="16" t="s">
        <v>29</v>
      </c>
      <c r="I217" s="53">
        <v>22.0</v>
      </c>
      <c r="J217" s="54"/>
      <c r="K217" s="55">
        <v>2.0</v>
      </c>
      <c r="L217" s="20" t="b">
        <f t="shared" si="3"/>
        <v>0</v>
      </c>
    </row>
    <row r="218">
      <c r="A218" s="9" t="s">
        <v>654</v>
      </c>
      <c r="B218" s="9" t="str">
        <f t="shared" si="1"/>
        <v>Кол.</v>
      </c>
      <c r="C218" s="11" t="str">
        <f t="shared" si="2"/>
        <v>259</v>
      </c>
      <c r="D218" s="9"/>
      <c r="E218" s="25" t="s">
        <v>655</v>
      </c>
      <c r="F218" s="14"/>
      <c r="G218" s="22"/>
      <c r="H218" s="16" t="s">
        <v>29</v>
      </c>
      <c r="I218" s="53">
        <v>22.0</v>
      </c>
      <c r="J218" s="54"/>
      <c r="K218" s="55">
        <v>3.0</v>
      </c>
      <c r="L218" s="20" t="b">
        <f t="shared" si="3"/>
        <v>0</v>
      </c>
    </row>
    <row r="219">
      <c r="A219" s="9" t="s">
        <v>656</v>
      </c>
      <c r="B219" s="9" t="str">
        <f t="shared" si="1"/>
        <v>Кол.</v>
      </c>
      <c r="C219" s="11" t="str">
        <f t="shared" si="2"/>
        <v>260</v>
      </c>
      <c r="D219" s="12" t="s">
        <v>18</v>
      </c>
      <c r="E219" s="25" t="s">
        <v>657</v>
      </c>
      <c r="F219" s="14"/>
      <c r="G219" s="22"/>
      <c r="H219" s="16" t="s">
        <v>29</v>
      </c>
      <c r="I219" s="53">
        <v>22.0</v>
      </c>
      <c r="J219" s="54"/>
      <c r="K219" s="55">
        <v>4.0</v>
      </c>
      <c r="L219" s="20" t="b">
        <f t="shared" si="3"/>
        <v>0</v>
      </c>
    </row>
    <row r="220">
      <c r="A220" s="9" t="s">
        <v>660</v>
      </c>
      <c r="B220" s="9" t="str">
        <f t="shared" si="1"/>
        <v>Кол.</v>
      </c>
      <c r="C220" s="11" t="str">
        <f t="shared" si="2"/>
        <v>261</v>
      </c>
      <c r="D220" s="9"/>
      <c r="E220" s="25" t="s">
        <v>661</v>
      </c>
      <c r="F220" s="14"/>
      <c r="G220" s="22"/>
      <c r="H220" s="16" t="s">
        <v>29</v>
      </c>
      <c r="I220" s="53">
        <v>22.0</v>
      </c>
      <c r="J220" s="54"/>
      <c r="K220" s="55">
        <v>5.0</v>
      </c>
      <c r="L220" s="20" t="b">
        <f t="shared" si="3"/>
        <v>0</v>
      </c>
    </row>
    <row r="221">
      <c r="A221" s="9" t="s">
        <v>468</v>
      </c>
      <c r="B221" s="9" t="str">
        <f t="shared" si="1"/>
        <v>2 Кор.</v>
      </c>
      <c r="C221" s="11" t="str">
        <f t="shared" si="2"/>
        <v>178</v>
      </c>
      <c r="D221" s="9"/>
      <c r="E221" s="21" t="s">
        <v>469</v>
      </c>
      <c r="F221" s="14"/>
      <c r="G221" s="22"/>
      <c r="H221" s="16" t="s">
        <v>29</v>
      </c>
      <c r="I221" s="53">
        <v>22.0</v>
      </c>
      <c r="J221" s="54"/>
      <c r="K221" s="55">
        <v>6.0</v>
      </c>
      <c r="L221" s="20" t="b">
        <f t="shared" si="3"/>
        <v>0</v>
      </c>
    </row>
    <row r="222">
      <c r="A222" s="9" t="s">
        <v>556</v>
      </c>
      <c r="B222" s="9" t="str">
        <f t="shared" si="1"/>
        <v>Гал.</v>
      </c>
      <c r="C222" s="11" t="str">
        <f t="shared" si="2"/>
        <v>215</v>
      </c>
      <c r="D222" s="26" t="s">
        <v>18</v>
      </c>
      <c r="E222" s="27" t="s">
        <v>855</v>
      </c>
      <c r="F222" s="14"/>
      <c r="G222" s="22"/>
      <c r="H222" s="16" t="s">
        <v>29</v>
      </c>
      <c r="I222" s="53">
        <v>22.0</v>
      </c>
      <c r="J222" s="54"/>
      <c r="K222" s="55">
        <v>7.0</v>
      </c>
      <c r="L222" s="20" t="b">
        <f t="shared" si="3"/>
        <v>0</v>
      </c>
    </row>
    <row r="223">
      <c r="A223" s="9" t="s">
        <v>662</v>
      </c>
      <c r="B223" s="9" t="str">
        <f t="shared" si="1"/>
        <v>1 Сол.</v>
      </c>
      <c r="C223" s="11" t="str">
        <f t="shared" si="2"/>
        <v>262</v>
      </c>
      <c r="D223" s="9"/>
      <c r="E223" s="25" t="s">
        <v>663</v>
      </c>
      <c r="F223" s="14"/>
      <c r="G223" s="22"/>
      <c r="H223" s="16" t="s">
        <v>29</v>
      </c>
      <c r="I223" s="53">
        <v>23.0</v>
      </c>
      <c r="J223" s="54"/>
      <c r="K223" s="55">
        <v>1.0</v>
      </c>
      <c r="L223" s="20" t="b">
        <f t="shared" si="3"/>
        <v>0</v>
      </c>
    </row>
    <row r="224">
      <c r="A224" s="9" t="s">
        <v>664</v>
      </c>
      <c r="B224" s="9" t="str">
        <f t="shared" si="1"/>
        <v>1 Сол.</v>
      </c>
      <c r="C224" s="11" t="str">
        <f t="shared" si="2"/>
        <v>263</v>
      </c>
      <c r="D224" s="9"/>
      <c r="E224" s="25" t="s">
        <v>665</v>
      </c>
      <c r="F224" s="14"/>
      <c r="G224" s="22"/>
      <c r="H224" s="16" t="s">
        <v>29</v>
      </c>
      <c r="I224" s="53">
        <v>23.0</v>
      </c>
      <c r="J224" s="54"/>
      <c r="K224" s="55">
        <v>2.0</v>
      </c>
      <c r="L224" s="20" t="b">
        <f t="shared" si="3"/>
        <v>0</v>
      </c>
    </row>
    <row r="225">
      <c r="A225" s="9" t="s">
        <v>666</v>
      </c>
      <c r="B225" s="9" t="str">
        <f t="shared" si="1"/>
        <v>1 Сол.</v>
      </c>
      <c r="C225" s="11" t="str">
        <f t="shared" si="2"/>
        <v>264</v>
      </c>
      <c r="D225" s="9"/>
      <c r="E225" s="25" t="s">
        <v>667</v>
      </c>
      <c r="F225" s="14"/>
      <c r="G225" s="22"/>
      <c r="H225" s="16" t="s">
        <v>29</v>
      </c>
      <c r="I225" s="53">
        <v>23.0</v>
      </c>
      <c r="J225" s="54"/>
      <c r="K225" s="55">
        <v>3.0</v>
      </c>
      <c r="L225" s="20" t="b">
        <f t="shared" si="3"/>
        <v>0</v>
      </c>
    </row>
    <row r="226">
      <c r="A226" s="9" t="s">
        <v>668</v>
      </c>
      <c r="B226" s="9" t="str">
        <f t="shared" si="1"/>
        <v>1 Сол.</v>
      </c>
      <c r="C226" s="11" t="str">
        <f t="shared" si="2"/>
        <v>265</v>
      </c>
      <c r="D226" s="9"/>
      <c r="E226" s="25" t="s">
        <v>669</v>
      </c>
      <c r="F226" s="14"/>
      <c r="G226" s="22"/>
      <c r="H226" s="16" t="s">
        <v>29</v>
      </c>
      <c r="I226" s="53">
        <v>23.0</v>
      </c>
      <c r="J226" s="54"/>
      <c r="K226" s="55">
        <v>4.0</v>
      </c>
      <c r="L226" s="20" t="b">
        <f t="shared" si="3"/>
        <v>0</v>
      </c>
    </row>
    <row r="227">
      <c r="A227" s="9" t="s">
        <v>670</v>
      </c>
      <c r="B227" s="9" t="str">
        <f t="shared" si="1"/>
        <v>1 Сол.</v>
      </c>
      <c r="C227" s="11" t="str">
        <f t="shared" si="2"/>
        <v>266</v>
      </c>
      <c r="D227" s="9"/>
      <c r="E227" s="25" t="s">
        <v>671</v>
      </c>
      <c r="F227" s="14"/>
      <c r="G227" s="22"/>
      <c r="H227" s="16" t="s">
        <v>29</v>
      </c>
      <c r="I227" s="53">
        <v>23.0</v>
      </c>
      <c r="J227" s="54"/>
      <c r="K227" s="55">
        <v>5.0</v>
      </c>
      <c r="L227" s="20" t="b">
        <f t="shared" si="3"/>
        <v>0</v>
      </c>
    </row>
    <row r="228">
      <c r="A228" s="9" t="s">
        <v>485</v>
      </c>
      <c r="B228" s="9" t="str">
        <f t="shared" si="1"/>
        <v>2 Кор.</v>
      </c>
      <c r="C228" s="11" t="str">
        <f t="shared" si="2"/>
        <v>185</v>
      </c>
      <c r="D228" s="9"/>
      <c r="E228" s="21" t="s">
        <v>486</v>
      </c>
      <c r="F228" s="14"/>
      <c r="G228" s="22"/>
      <c r="H228" s="16" t="s">
        <v>29</v>
      </c>
      <c r="I228" s="53">
        <v>23.0</v>
      </c>
      <c r="J228" s="54"/>
      <c r="K228" s="55">
        <v>6.0</v>
      </c>
      <c r="L228" s="20" t="b">
        <f t="shared" si="3"/>
        <v>0</v>
      </c>
    </row>
    <row r="229">
      <c r="A229" s="9" t="s">
        <v>568</v>
      </c>
      <c r="B229" s="9" t="str">
        <f t="shared" si="1"/>
        <v>Еф.</v>
      </c>
      <c r="C229" s="11" t="str">
        <f t="shared" si="2"/>
        <v>220</v>
      </c>
      <c r="D229" s="12" t="s">
        <v>18</v>
      </c>
      <c r="E229" s="25" t="s">
        <v>569</v>
      </c>
      <c r="F229" s="14"/>
      <c r="G229" s="22"/>
      <c r="H229" s="16" t="s">
        <v>29</v>
      </c>
      <c r="I229" s="53">
        <v>23.0</v>
      </c>
      <c r="J229" s="54"/>
      <c r="K229" s="55">
        <v>7.0</v>
      </c>
      <c r="L229" s="20" t="b">
        <f t="shared" si="3"/>
        <v>0</v>
      </c>
    </row>
    <row r="230">
      <c r="A230" s="9" t="s">
        <v>672</v>
      </c>
      <c r="B230" s="9" t="str">
        <f t="shared" si="1"/>
        <v>1 Сол.</v>
      </c>
      <c r="C230" s="11" t="str">
        <f t="shared" si="2"/>
        <v>267</v>
      </c>
      <c r="D230" s="9"/>
      <c r="E230" s="25" t="s">
        <v>673</v>
      </c>
      <c r="F230" s="14"/>
      <c r="G230" s="22"/>
      <c r="H230" s="16" t="s">
        <v>29</v>
      </c>
      <c r="I230" s="53">
        <v>24.0</v>
      </c>
      <c r="J230" s="54"/>
      <c r="K230" s="55">
        <v>1.0</v>
      </c>
      <c r="L230" s="20" t="b">
        <f t="shared" si="3"/>
        <v>0</v>
      </c>
    </row>
    <row r="231">
      <c r="A231" s="9" t="s">
        <v>674</v>
      </c>
      <c r="B231" s="9" t="str">
        <f t="shared" si="1"/>
        <v>1 Сол.</v>
      </c>
      <c r="C231" s="11" t="str">
        <f t="shared" si="2"/>
        <v>268</v>
      </c>
      <c r="D231" s="9"/>
      <c r="E231" s="25" t="s">
        <v>675</v>
      </c>
      <c r="F231" s="14"/>
      <c r="G231" s="22"/>
      <c r="H231" s="16" t="s">
        <v>29</v>
      </c>
      <c r="I231" s="53">
        <v>24.0</v>
      </c>
      <c r="J231" s="54"/>
      <c r="K231" s="55">
        <v>2.0</v>
      </c>
      <c r="L231" s="20" t="b">
        <f t="shared" si="3"/>
        <v>0</v>
      </c>
    </row>
    <row r="232">
      <c r="A232" s="9" t="s">
        <v>676</v>
      </c>
      <c r="B232" s="9" t="str">
        <f t="shared" si="1"/>
        <v>1 Сол.</v>
      </c>
      <c r="C232" s="11" t="str">
        <f t="shared" si="2"/>
        <v>269</v>
      </c>
      <c r="D232" s="9"/>
      <c r="E232" s="25" t="s">
        <v>677</v>
      </c>
      <c r="F232" s="14"/>
      <c r="G232" s="22"/>
      <c r="H232" s="16" t="s">
        <v>29</v>
      </c>
      <c r="I232" s="53">
        <v>24.0</v>
      </c>
      <c r="J232" s="54"/>
      <c r="K232" s="55">
        <v>3.0</v>
      </c>
      <c r="L232" s="20" t="b">
        <f t="shared" si="3"/>
        <v>0</v>
      </c>
    </row>
    <row r="233">
      <c r="A233" s="9" t="s">
        <v>680</v>
      </c>
      <c r="B233" s="9" t="str">
        <f t="shared" si="1"/>
        <v>1 Сол.</v>
      </c>
      <c r="C233" s="11" t="str">
        <f t="shared" si="2"/>
        <v>271</v>
      </c>
      <c r="D233" s="9"/>
      <c r="E233" s="25" t="s">
        <v>681</v>
      </c>
      <c r="F233" s="25"/>
      <c r="G233" s="22"/>
      <c r="H233" s="16" t="s">
        <v>29</v>
      </c>
      <c r="I233" s="53">
        <v>24.0</v>
      </c>
      <c r="J233" s="54"/>
      <c r="K233" s="55">
        <v>4.0</v>
      </c>
      <c r="L233" s="20" t="b">
        <f t="shared" si="3"/>
        <v>0</v>
      </c>
    </row>
    <row r="234">
      <c r="A234" s="9" t="s">
        <v>682</v>
      </c>
      <c r="B234" s="9" t="str">
        <f t="shared" si="1"/>
        <v>1 Сол.</v>
      </c>
      <c r="C234" s="11" t="str">
        <f t="shared" si="2"/>
        <v>272</v>
      </c>
      <c r="D234" s="9"/>
      <c r="E234" s="25" t="s">
        <v>683</v>
      </c>
      <c r="F234" s="25"/>
      <c r="G234" s="22"/>
      <c r="H234" s="16" t="s">
        <v>29</v>
      </c>
      <c r="I234" s="53">
        <v>24.0</v>
      </c>
      <c r="J234" s="54"/>
      <c r="K234" s="55">
        <v>5.0</v>
      </c>
      <c r="L234" s="20" t="b">
        <f t="shared" si="3"/>
        <v>0</v>
      </c>
    </row>
    <row r="235">
      <c r="A235" s="9" t="s">
        <v>498</v>
      </c>
      <c r="B235" s="9" t="str">
        <f t="shared" si="1"/>
        <v>2 Кор.</v>
      </c>
      <c r="C235" s="11" t="str">
        <f t="shared" si="2"/>
        <v>191</v>
      </c>
      <c r="D235" s="9"/>
      <c r="E235" s="21" t="s">
        <v>499</v>
      </c>
      <c r="F235" s="14"/>
      <c r="G235" s="22"/>
      <c r="H235" s="16" t="s">
        <v>29</v>
      </c>
      <c r="I235" s="53">
        <v>24.0</v>
      </c>
      <c r="J235" s="54"/>
      <c r="K235" s="55">
        <v>6.0</v>
      </c>
      <c r="L235" s="20" t="b">
        <f t="shared" si="3"/>
        <v>0</v>
      </c>
    </row>
    <row r="236">
      <c r="A236" s="9" t="s">
        <v>573</v>
      </c>
      <c r="B236" s="9" t="str">
        <f t="shared" si="1"/>
        <v>Еф.</v>
      </c>
      <c r="C236" s="11" t="str">
        <f t="shared" si="2"/>
        <v>221</v>
      </c>
      <c r="D236" s="9"/>
      <c r="E236" s="25" t="s">
        <v>574</v>
      </c>
      <c r="F236" s="14"/>
      <c r="G236" s="22"/>
      <c r="H236" s="16" t="s">
        <v>29</v>
      </c>
      <c r="I236" s="53">
        <v>24.0</v>
      </c>
      <c r="J236" s="54"/>
      <c r="K236" s="55">
        <v>7.0</v>
      </c>
      <c r="L236" s="20" t="b">
        <f t="shared" si="3"/>
        <v>0</v>
      </c>
    </row>
    <row r="237">
      <c r="A237" s="9" t="s">
        <v>686</v>
      </c>
      <c r="B237" s="9" t="str">
        <f t="shared" si="1"/>
        <v>2 Сол.</v>
      </c>
      <c r="C237" s="11" t="str">
        <f t="shared" si="2"/>
        <v>274</v>
      </c>
      <c r="D237" s="12" t="s">
        <v>18</v>
      </c>
      <c r="E237" s="25" t="s">
        <v>687</v>
      </c>
      <c r="F237" s="14"/>
      <c r="G237" s="22"/>
      <c r="H237" s="16" t="s">
        <v>29</v>
      </c>
      <c r="I237" s="53">
        <v>25.0</v>
      </c>
      <c r="J237" s="54"/>
      <c r="K237" s="55">
        <v>1.0</v>
      </c>
      <c r="L237" s="20" t="b">
        <f t="shared" si="3"/>
        <v>0</v>
      </c>
    </row>
    <row r="238">
      <c r="A238" s="9" t="s">
        <v>688</v>
      </c>
      <c r="B238" s="9" t="str">
        <f t="shared" si="1"/>
        <v>2 Сол.</v>
      </c>
      <c r="C238" s="11" t="str">
        <f t="shared" si="2"/>
        <v>274</v>
      </c>
      <c r="D238" s="12" t="s">
        <v>22</v>
      </c>
      <c r="E238" s="25" t="s">
        <v>689</v>
      </c>
      <c r="F238" s="14"/>
      <c r="G238" s="22"/>
      <c r="H238" s="16" t="s">
        <v>29</v>
      </c>
      <c r="I238" s="53">
        <v>25.0</v>
      </c>
      <c r="J238" s="54"/>
      <c r="K238" s="55">
        <v>2.0</v>
      </c>
      <c r="L238" s="20" t="b">
        <f t="shared" si="3"/>
        <v>0</v>
      </c>
    </row>
    <row r="239">
      <c r="A239" s="9" t="s">
        <v>690</v>
      </c>
      <c r="B239" s="9" t="str">
        <f t="shared" si="1"/>
        <v>2 Сол.</v>
      </c>
      <c r="C239" s="11" t="str">
        <f t="shared" si="2"/>
        <v>275</v>
      </c>
      <c r="D239" s="9"/>
      <c r="E239" s="25" t="s">
        <v>691</v>
      </c>
      <c r="F239" s="14"/>
      <c r="G239" s="22"/>
      <c r="H239" s="16" t="s">
        <v>29</v>
      </c>
      <c r="I239" s="53">
        <v>25.0</v>
      </c>
      <c r="J239" s="54"/>
      <c r="K239" s="55">
        <v>3.0</v>
      </c>
      <c r="L239" s="20" t="b">
        <f t="shared" si="3"/>
        <v>0</v>
      </c>
    </row>
    <row r="240">
      <c r="A240" s="9" t="s">
        <v>692</v>
      </c>
      <c r="B240" s="9" t="str">
        <f t="shared" si="1"/>
        <v>2 Сол.</v>
      </c>
      <c r="C240" s="11" t="str">
        <f t="shared" si="2"/>
        <v>276</v>
      </c>
      <c r="D240" s="9"/>
      <c r="E240" s="25" t="s">
        <v>693</v>
      </c>
      <c r="F240" s="14"/>
      <c r="G240" s="22"/>
      <c r="H240" s="16" t="s">
        <v>29</v>
      </c>
      <c r="I240" s="53">
        <v>25.0</v>
      </c>
      <c r="J240" s="54"/>
      <c r="K240" s="55">
        <v>4.0</v>
      </c>
      <c r="L240" s="20" t="b">
        <f t="shared" si="3"/>
        <v>0</v>
      </c>
    </row>
    <row r="241">
      <c r="A241" s="9" t="s">
        <v>694</v>
      </c>
      <c r="B241" s="9" t="str">
        <f t="shared" si="1"/>
        <v>2 Сол.</v>
      </c>
      <c r="C241" s="11" t="str">
        <f t="shared" si="2"/>
        <v>277</v>
      </c>
      <c r="D241" s="9"/>
      <c r="E241" s="25" t="s">
        <v>695</v>
      </c>
      <c r="F241" s="14"/>
      <c r="G241" s="22"/>
      <c r="H241" s="16" t="s">
        <v>29</v>
      </c>
      <c r="I241" s="53">
        <v>25.0</v>
      </c>
      <c r="J241" s="54"/>
      <c r="K241" s="55">
        <v>5.0</v>
      </c>
      <c r="L241" s="20" t="b">
        <f t="shared" si="3"/>
        <v>0</v>
      </c>
    </row>
    <row r="242">
      <c r="A242" s="9" t="s">
        <v>515</v>
      </c>
      <c r="B242" s="9" t="str">
        <f t="shared" si="1"/>
        <v>Гал.</v>
      </c>
      <c r="C242" s="11" t="str">
        <f t="shared" si="2"/>
        <v>199</v>
      </c>
      <c r="D242" s="9"/>
      <c r="E242" s="27" t="s">
        <v>516</v>
      </c>
      <c r="F242" s="14"/>
      <c r="G242" s="22"/>
      <c r="H242" s="16" t="s">
        <v>29</v>
      </c>
      <c r="I242" s="53">
        <v>25.0</v>
      </c>
      <c r="J242" s="54"/>
      <c r="K242" s="55">
        <v>6.0</v>
      </c>
      <c r="L242" s="20" t="b">
        <f t="shared" si="3"/>
        <v>0</v>
      </c>
    </row>
    <row r="243">
      <c r="A243" s="9" t="s">
        <v>579</v>
      </c>
      <c r="B243" s="9" t="str">
        <f t="shared" si="1"/>
        <v>Еф.</v>
      </c>
      <c r="C243" s="11" t="str">
        <f t="shared" si="2"/>
        <v>224</v>
      </c>
      <c r="D243" s="12" t="s">
        <v>18</v>
      </c>
      <c r="E243" s="27" t="s">
        <v>580</v>
      </c>
      <c r="F243" s="14"/>
      <c r="G243" s="22"/>
      <c r="H243" s="16" t="s">
        <v>29</v>
      </c>
      <c r="I243" s="53">
        <v>25.0</v>
      </c>
      <c r="J243" s="54"/>
      <c r="K243" s="55">
        <v>7.0</v>
      </c>
      <c r="L243" s="20" t="b">
        <f t="shared" si="3"/>
        <v>0</v>
      </c>
    </row>
    <row r="244">
      <c r="A244" s="9" t="s">
        <v>696</v>
      </c>
      <c r="B244" s="9" t="str">
        <f t="shared" si="1"/>
        <v>1 Тим.</v>
      </c>
      <c r="C244" s="11" t="str">
        <f t="shared" si="2"/>
        <v>278</v>
      </c>
      <c r="D244" s="9"/>
      <c r="E244" s="25" t="s">
        <v>697</v>
      </c>
      <c r="F244" s="14"/>
      <c r="G244" s="22"/>
      <c r="H244" s="16" t="s">
        <v>29</v>
      </c>
      <c r="I244" s="53">
        <v>26.0</v>
      </c>
      <c r="J244" s="54"/>
      <c r="K244" s="55">
        <v>1.0</v>
      </c>
      <c r="L244" s="20" t="b">
        <f t="shared" si="3"/>
        <v>0</v>
      </c>
    </row>
    <row r="245">
      <c r="A245" s="9" t="s">
        <v>698</v>
      </c>
      <c r="B245" s="9" t="str">
        <f t="shared" si="1"/>
        <v>1 Тим.</v>
      </c>
      <c r="C245" s="11" t="str">
        <f t="shared" si="2"/>
        <v>279</v>
      </c>
      <c r="D245" s="9"/>
      <c r="E245" s="25" t="s">
        <v>699</v>
      </c>
      <c r="F245" s="14"/>
      <c r="G245" s="22"/>
      <c r="H245" s="16" t="s">
        <v>29</v>
      </c>
      <c r="I245" s="53">
        <v>26.0</v>
      </c>
      <c r="J245" s="54"/>
      <c r="K245" s="55">
        <v>2.0</v>
      </c>
      <c r="L245" s="20" t="b">
        <f t="shared" si="3"/>
        <v>0</v>
      </c>
    </row>
    <row r="246">
      <c r="A246" s="9" t="s">
        <v>705</v>
      </c>
      <c r="B246" s="9" t="str">
        <f t="shared" si="1"/>
        <v>1 Тим.</v>
      </c>
      <c r="C246" s="11" t="str">
        <f t="shared" si="2"/>
        <v>281</v>
      </c>
      <c r="D246" s="9"/>
      <c r="E246" s="25" t="s">
        <v>706</v>
      </c>
      <c r="F246" s="14"/>
      <c r="G246" s="22"/>
      <c r="H246" s="16" t="s">
        <v>29</v>
      </c>
      <c r="I246" s="53">
        <v>26.0</v>
      </c>
      <c r="J246" s="54"/>
      <c r="K246" s="55">
        <v>3.0</v>
      </c>
      <c r="L246" s="20" t="b">
        <f t="shared" si="3"/>
        <v>0</v>
      </c>
    </row>
    <row r="247">
      <c r="A247" s="9" t="s">
        <v>709</v>
      </c>
      <c r="B247" s="9" t="str">
        <f t="shared" si="1"/>
        <v>1 Тим.</v>
      </c>
      <c r="C247" s="11" t="str">
        <f t="shared" si="2"/>
        <v>283</v>
      </c>
      <c r="D247" s="9"/>
      <c r="E247" s="25" t="s">
        <v>710</v>
      </c>
      <c r="F247" s="14"/>
      <c r="G247" s="22"/>
      <c r="H247" s="16" t="s">
        <v>29</v>
      </c>
      <c r="I247" s="53">
        <v>26.0</v>
      </c>
      <c r="J247" s="54"/>
      <c r="K247" s="55">
        <v>4.0</v>
      </c>
      <c r="L247" s="20" t="b">
        <f t="shared" si="3"/>
        <v>0</v>
      </c>
    </row>
    <row r="248">
      <c r="A248" s="9" t="s">
        <v>713</v>
      </c>
      <c r="B248" s="9" t="str">
        <f t="shared" si="1"/>
        <v>1 Тим.</v>
      </c>
      <c r="C248" s="11" t="str">
        <f t="shared" si="2"/>
        <v>285</v>
      </c>
      <c r="D248" s="12" t="s">
        <v>18</v>
      </c>
      <c r="E248" s="25" t="s">
        <v>714</v>
      </c>
      <c r="F248" s="14"/>
      <c r="G248" s="22"/>
      <c r="H248" s="16" t="s">
        <v>29</v>
      </c>
      <c r="I248" s="53">
        <v>26.0</v>
      </c>
      <c r="J248" s="54"/>
      <c r="K248" s="55">
        <v>5.0</v>
      </c>
      <c r="L248" s="20" t="b">
        <f t="shared" si="3"/>
        <v>0</v>
      </c>
    </row>
    <row r="249">
      <c r="A249" s="9" t="s">
        <v>528</v>
      </c>
      <c r="B249" s="9" t="str">
        <f t="shared" si="1"/>
        <v>Гал.</v>
      </c>
      <c r="C249" s="11" t="str">
        <f t="shared" si="2"/>
        <v>205</v>
      </c>
      <c r="D249" s="9"/>
      <c r="E249" s="27" t="s">
        <v>529</v>
      </c>
      <c r="F249" s="14"/>
      <c r="G249" s="15" t="s">
        <v>70</v>
      </c>
      <c r="H249" s="16" t="s">
        <v>29</v>
      </c>
      <c r="I249" s="53">
        <v>26.0</v>
      </c>
      <c r="J249" s="54"/>
      <c r="K249" s="55">
        <v>6.0</v>
      </c>
      <c r="L249" s="20" t="b">
        <f t="shared" si="3"/>
        <v>0</v>
      </c>
    </row>
    <row r="250">
      <c r="A250" s="9" t="s">
        <v>592</v>
      </c>
      <c r="B250" s="9" t="str">
        <f t="shared" si="1"/>
        <v>Еф.</v>
      </c>
      <c r="C250" s="11" t="str">
        <f t="shared" si="2"/>
        <v>229</v>
      </c>
      <c r="D250" s="9"/>
      <c r="E250" s="25" t="s">
        <v>849</v>
      </c>
      <c r="F250" s="14"/>
      <c r="G250" s="22"/>
      <c r="H250" s="16" t="s">
        <v>29</v>
      </c>
      <c r="I250" s="53">
        <v>26.0</v>
      </c>
      <c r="J250" s="54"/>
      <c r="K250" s="55">
        <v>7.0</v>
      </c>
      <c r="L250" s="20" t="b">
        <f t="shared" si="3"/>
        <v>0</v>
      </c>
    </row>
    <row r="251">
      <c r="A251" s="9" t="s">
        <v>715</v>
      </c>
      <c r="B251" s="9" t="str">
        <f t="shared" si="1"/>
        <v>1 Тим.</v>
      </c>
      <c r="C251" s="11" t="str">
        <f t="shared" si="2"/>
        <v>285</v>
      </c>
      <c r="D251" s="12" t="s">
        <v>22</v>
      </c>
      <c r="E251" s="25" t="s">
        <v>716</v>
      </c>
      <c r="F251" s="14"/>
      <c r="G251" s="22"/>
      <c r="H251" s="16" t="s">
        <v>29</v>
      </c>
      <c r="I251" s="53">
        <v>27.0</v>
      </c>
      <c r="J251" s="54"/>
      <c r="K251" s="55">
        <v>1.0</v>
      </c>
      <c r="L251" s="20" t="b">
        <f t="shared" si="3"/>
        <v>0</v>
      </c>
    </row>
    <row r="252">
      <c r="A252" s="9" t="s">
        <v>719</v>
      </c>
      <c r="B252" s="9" t="str">
        <f t="shared" si="1"/>
        <v>1 Тим.</v>
      </c>
      <c r="C252" s="11" t="str">
        <f t="shared" si="2"/>
        <v>286</v>
      </c>
      <c r="D252" s="9"/>
      <c r="E252" s="25" t="s">
        <v>720</v>
      </c>
      <c r="F252" s="14"/>
      <c r="G252" s="22"/>
      <c r="H252" s="16" t="s">
        <v>29</v>
      </c>
      <c r="I252" s="53">
        <v>27.0</v>
      </c>
      <c r="J252" s="54"/>
      <c r="K252" s="55">
        <v>2.0</v>
      </c>
      <c r="L252" s="20" t="b">
        <f t="shared" si="3"/>
        <v>0</v>
      </c>
    </row>
    <row r="253">
      <c r="A253" s="9" t="s">
        <v>721</v>
      </c>
      <c r="B253" s="9" t="str">
        <f t="shared" si="1"/>
        <v>1 Тим.</v>
      </c>
      <c r="C253" s="11" t="str">
        <f t="shared" si="2"/>
        <v>287</v>
      </c>
      <c r="D253" s="9"/>
      <c r="E253" s="25" t="s">
        <v>722</v>
      </c>
      <c r="F253" s="14"/>
      <c r="G253" s="22"/>
      <c r="H253" s="16" t="s">
        <v>29</v>
      </c>
      <c r="I253" s="53">
        <v>27.0</v>
      </c>
      <c r="J253" s="54"/>
      <c r="K253" s="55">
        <v>3.0</v>
      </c>
      <c r="L253" s="20" t="b">
        <f t="shared" si="3"/>
        <v>0</v>
      </c>
    </row>
    <row r="254">
      <c r="A254" s="9" t="s">
        <v>725</v>
      </c>
      <c r="B254" s="9" t="str">
        <f t="shared" si="1"/>
        <v>1 Тим.</v>
      </c>
      <c r="C254" s="11" t="str">
        <f t="shared" si="2"/>
        <v>289</v>
      </c>
      <c r="D254" s="9"/>
      <c r="E254" s="25" t="s">
        <v>726</v>
      </c>
      <c r="F254" s="14"/>
      <c r="G254" s="22"/>
      <c r="H254" s="16" t="s">
        <v>29</v>
      </c>
      <c r="I254" s="53">
        <v>27.0</v>
      </c>
      <c r="J254" s="54"/>
      <c r="K254" s="55">
        <v>4.0</v>
      </c>
      <c r="L254" s="20" t="b">
        <f t="shared" si="3"/>
        <v>0</v>
      </c>
    </row>
    <row r="255">
      <c r="A255" s="9" t="s">
        <v>727</v>
      </c>
      <c r="B255" s="9" t="str">
        <f t="shared" si="1"/>
        <v>2 Тим.</v>
      </c>
      <c r="C255" s="11" t="str">
        <f t="shared" si="2"/>
        <v>290</v>
      </c>
      <c r="D255" s="26" t="s">
        <v>18</v>
      </c>
      <c r="E255" s="25" t="s">
        <v>728</v>
      </c>
      <c r="F255" s="36" t="s">
        <v>729</v>
      </c>
      <c r="G255" s="22"/>
      <c r="H255" s="16" t="s">
        <v>29</v>
      </c>
      <c r="I255" s="53">
        <v>27.0</v>
      </c>
      <c r="J255" s="54"/>
      <c r="K255" s="55">
        <v>5.0</v>
      </c>
      <c r="L255" s="20" t="b">
        <f t="shared" si="3"/>
        <v>0</v>
      </c>
    </row>
    <row r="256">
      <c r="A256" s="9" t="s">
        <v>551</v>
      </c>
      <c r="B256" s="9" t="str">
        <f t="shared" si="1"/>
        <v>Гал.</v>
      </c>
      <c r="C256" s="11" t="str">
        <f t="shared" si="2"/>
        <v>213</v>
      </c>
      <c r="D256" s="9"/>
      <c r="E256" s="27" t="s">
        <v>552</v>
      </c>
      <c r="F256" s="14"/>
      <c r="G256" s="22"/>
      <c r="H256" s="16" t="s">
        <v>29</v>
      </c>
      <c r="I256" s="53">
        <v>27.0</v>
      </c>
      <c r="J256" s="54"/>
      <c r="K256" s="55">
        <v>6.0</v>
      </c>
      <c r="L256" s="20" t="b">
        <f t="shared" si="3"/>
        <v>0</v>
      </c>
    </row>
    <row r="257">
      <c r="A257" s="9" t="s">
        <v>600</v>
      </c>
      <c r="B257" s="9" t="str">
        <f t="shared" si="1"/>
        <v>Еф.</v>
      </c>
      <c r="C257" s="11" t="str">
        <f t="shared" si="2"/>
        <v>233</v>
      </c>
      <c r="D257" s="9"/>
      <c r="E257" s="25" t="s">
        <v>601</v>
      </c>
      <c r="F257" s="14"/>
      <c r="G257" s="22"/>
      <c r="H257" s="16" t="s">
        <v>29</v>
      </c>
      <c r="I257" s="53">
        <v>27.0</v>
      </c>
      <c r="J257" s="54"/>
      <c r="K257" s="55">
        <v>7.0</v>
      </c>
      <c r="L257" s="20" t="b">
        <f t="shared" si="3"/>
        <v>0</v>
      </c>
    </row>
    <row r="258">
      <c r="A258" s="9" t="s">
        <v>738</v>
      </c>
      <c r="B258" s="9" t="str">
        <f t="shared" si="1"/>
        <v>2 Тим.</v>
      </c>
      <c r="C258" s="11" t="str">
        <f t="shared" si="2"/>
        <v>294</v>
      </c>
      <c r="D258" s="9"/>
      <c r="E258" s="25" t="s">
        <v>739</v>
      </c>
      <c r="F258" s="14"/>
      <c r="G258" s="22"/>
      <c r="H258" s="16" t="s">
        <v>29</v>
      </c>
      <c r="I258" s="53">
        <v>28.0</v>
      </c>
      <c r="J258" s="54"/>
      <c r="K258" s="55">
        <v>1.0</v>
      </c>
      <c r="L258" s="20" t="b">
        <f t="shared" si="3"/>
        <v>0</v>
      </c>
    </row>
    <row r="259">
      <c r="A259" s="9" t="s">
        <v>744</v>
      </c>
      <c r="B259" s="9" t="str">
        <f t="shared" si="1"/>
        <v>2 Тим.</v>
      </c>
      <c r="C259" s="11" t="str">
        <f t="shared" si="2"/>
        <v>297</v>
      </c>
      <c r="D259" s="9"/>
      <c r="E259" s="25" t="s">
        <v>745</v>
      </c>
      <c r="F259" s="14"/>
      <c r="G259" s="22"/>
      <c r="H259" s="16" t="s">
        <v>29</v>
      </c>
      <c r="I259" s="53">
        <v>28.0</v>
      </c>
      <c r="J259" s="54"/>
      <c r="K259" s="55">
        <v>2.0</v>
      </c>
      <c r="L259" s="20" t="b">
        <f t="shared" si="3"/>
        <v>0</v>
      </c>
    </row>
    <row r="260">
      <c r="A260" s="9" t="s">
        <v>748</v>
      </c>
      <c r="B260" s="9" t="str">
        <f t="shared" si="1"/>
        <v>2 Тим.</v>
      </c>
      <c r="C260" s="11" t="str">
        <f t="shared" si="2"/>
        <v>299</v>
      </c>
      <c r="D260" s="9"/>
      <c r="E260" s="25" t="s">
        <v>749</v>
      </c>
      <c r="F260" s="14"/>
      <c r="G260" s="22"/>
      <c r="H260" s="16" t="s">
        <v>29</v>
      </c>
      <c r="I260" s="53">
        <v>28.0</v>
      </c>
      <c r="J260" s="54"/>
      <c r="K260" s="55">
        <v>3.0</v>
      </c>
      <c r="L260" s="20" t="b">
        <f t="shared" si="3"/>
        <v>0</v>
      </c>
    </row>
    <row r="261">
      <c r="A261" s="9" t="s">
        <v>750</v>
      </c>
      <c r="B261" s="9" t="str">
        <f t="shared" si="1"/>
        <v>Тит.</v>
      </c>
      <c r="C261" s="11" t="str">
        <f t="shared" si="2"/>
        <v>300</v>
      </c>
      <c r="D261" s="26" t="s">
        <v>18</v>
      </c>
      <c r="E261" s="25" t="s">
        <v>751</v>
      </c>
      <c r="F261" s="14"/>
      <c r="G261" s="22"/>
      <c r="H261" s="16" t="s">
        <v>29</v>
      </c>
      <c r="I261" s="53">
        <v>28.0</v>
      </c>
      <c r="J261" s="54"/>
      <c r="K261" s="55">
        <v>4.0</v>
      </c>
      <c r="L261" s="20" t="b">
        <f t="shared" si="3"/>
        <v>0</v>
      </c>
    </row>
    <row r="262">
      <c r="A262" s="9" t="s">
        <v>754</v>
      </c>
      <c r="B262" s="9" t="str">
        <f t="shared" si="1"/>
        <v>Тит.</v>
      </c>
      <c r="C262" s="11" t="str">
        <f t="shared" si="2"/>
        <v>301</v>
      </c>
      <c r="D262" s="9"/>
      <c r="E262" s="25" t="s">
        <v>755</v>
      </c>
      <c r="F262" s="14"/>
      <c r="G262" s="22"/>
      <c r="H262" s="16" t="s">
        <v>29</v>
      </c>
      <c r="I262" s="53">
        <v>28.0</v>
      </c>
      <c r="J262" s="54"/>
      <c r="K262" s="55">
        <v>5.0</v>
      </c>
      <c r="L262" s="20" t="b">
        <f t="shared" si="3"/>
        <v>0</v>
      </c>
    </row>
    <row r="263">
      <c r="A263" s="9" t="s">
        <v>564</v>
      </c>
      <c r="B263" s="9" t="str">
        <f t="shared" si="1"/>
        <v>Еф.</v>
      </c>
      <c r="C263" s="11" t="str">
        <f t="shared" si="2"/>
        <v>218</v>
      </c>
      <c r="D263" s="9"/>
      <c r="E263" s="21" t="s">
        <v>565</v>
      </c>
      <c r="F263" s="14"/>
      <c r="G263" s="22"/>
      <c r="H263" s="16" t="s">
        <v>29</v>
      </c>
      <c r="I263" s="53">
        <v>28.0</v>
      </c>
      <c r="J263" s="54"/>
      <c r="K263" s="55">
        <v>6.0</v>
      </c>
      <c r="L263" s="20" t="b">
        <f t="shared" si="3"/>
        <v>0</v>
      </c>
    </row>
    <row r="264">
      <c r="A264" s="9" t="s">
        <v>636</v>
      </c>
      <c r="B264" s="9" t="str">
        <f t="shared" si="1"/>
        <v>Кол.</v>
      </c>
      <c r="C264" s="11" t="str">
        <f t="shared" si="2"/>
        <v>250</v>
      </c>
      <c r="D264" s="9"/>
      <c r="E264" s="13" t="s">
        <v>856</v>
      </c>
      <c r="F264" s="14"/>
      <c r="G264" s="22"/>
      <c r="H264" s="16" t="s">
        <v>29</v>
      </c>
      <c r="I264" s="53">
        <v>28.0</v>
      </c>
      <c r="J264" s="54"/>
      <c r="K264" s="55">
        <v>7.0</v>
      </c>
      <c r="L264" s="20" t="b">
        <f t="shared" si="3"/>
        <v>0</v>
      </c>
    </row>
    <row r="265">
      <c r="A265" s="24" t="s">
        <v>772</v>
      </c>
      <c r="B265" s="9" t="str">
        <f t="shared" si="1"/>
        <v>Євр.</v>
      </c>
      <c r="C265" s="11" t="str">
        <f t="shared" si="2"/>
        <v>308</v>
      </c>
      <c r="D265" s="9"/>
      <c r="E265" s="13" t="s">
        <v>773</v>
      </c>
      <c r="F265" s="14"/>
      <c r="G265" s="22"/>
      <c r="H265" s="16" t="s">
        <v>29</v>
      </c>
      <c r="I265" s="53">
        <v>29.0</v>
      </c>
      <c r="J265" s="54"/>
      <c r="K265" s="55">
        <v>1.0</v>
      </c>
      <c r="L265" s="20" t="b">
        <f t="shared" si="3"/>
        <v>0</v>
      </c>
    </row>
    <row r="266">
      <c r="A266" s="9" t="s">
        <v>776</v>
      </c>
      <c r="B266" s="9" t="str">
        <f t="shared" si="1"/>
        <v>Євр.</v>
      </c>
      <c r="C266" s="11" t="str">
        <f t="shared" si="2"/>
        <v>310</v>
      </c>
      <c r="D266" s="9"/>
      <c r="E266" s="13" t="s">
        <v>777</v>
      </c>
      <c r="F266" s="14"/>
      <c r="G266" s="22"/>
      <c r="H266" s="16" t="s">
        <v>29</v>
      </c>
      <c r="I266" s="53">
        <v>29.0</v>
      </c>
      <c r="J266" s="54"/>
      <c r="K266" s="55">
        <v>2.0</v>
      </c>
      <c r="L266" s="20" t="b">
        <f t="shared" si="3"/>
        <v>0</v>
      </c>
    </row>
    <row r="267">
      <c r="A267" s="9" t="s">
        <v>785</v>
      </c>
      <c r="B267" s="9" t="str">
        <f t="shared" si="1"/>
        <v>Євр.</v>
      </c>
      <c r="C267" s="11" t="str">
        <f t="shared" si="2"/>
        <v>312</v>
      </c>
      <c r="D267" s="9"/>
      <c r="E267" s="13" t="s">
        <v>786</v>
      </c>
      <c r="F267" s="14"/>
      <c r="G267" s="22"/>
      <c r="H267" s="16" t="s">
        <v>29</v>
      </c>
      <c r="I267" s="53">
        <v>29.0</v>
      </c>
      <c r="J267" s="54"/>
      <c r="K267" s="55">
        <v>3.0</v>
      </c>
      <c r="L267" s="20" t="b">
        <f t="shared" si="3"/>
        <v>0</v>
      </c>
    </row>
    <row r="268">
      <c r="A268" s="12" t="s">
        <v>791</v>
      </c>
      <c r="B268" s="9" t="str">
        <f t="shared" si="1"/>
        <v>Євр.</v>
      </c>
      <c r="C268" s="11" t="str">
        <f t="shared" si="2"/>
        <v>315</v>
      </c>
      <c r="D268" s="9"/>
      <c r="E268" s="25" t="s">
        <v>792</v>
      </c>
      <c r="F268" s="14"/>
      <c r="G268" s="22"/>
      <c r="H268" s="16" t="s">
        <v>29</v>
      </c>
      <c r="I268" s="53">
        <v>29.0</v>
      </c>
      <c r="J268" s="54"/>
      <c r="K268" s="55">
        <v>4.0</v>
      </c>
      <c r="L268" s="20" t="b">
        <f t="shared" si="3"/>
        <v>0</v>
      </c>
    </row>
    <row r="269">
      <c r="A269" s="9" t="s">
        <v>795</v>
      </c>
      <c r="B269" s="9" t="str">
        <f t="shared" si="1"/>
        <v>Євр.</v>
      </c>
      <c r="C269" s="11" t="str">
        <f t="shared" si="2"/>
        <v>317</v>
      </c>
      <c r="D269" s="9"/>
      <c r="E269" s="25" t="s">
        <v>796</v>
      </c>
      <c r="F269" s="14"/>
      <c r="G269" s="22"/>
      <c r="H269" s="16" t="s">
        <v>29</v>
      </c>
      <c r="I269" s="53">
        <v>29.0</v>
      </c>
      <c r="J269" s="54"/>
      <c r="K269" s="55">
        <v>5.0</v>
      </c>
      <c r="L269" s="20" t="b">
        <f t="shared" si="3"/>
        <v>0</v>
      </c>
    </row>
    <row r="270">
      <c r="A270" s="9" t="s">
        <v>570</v>
      </c>
      <c r="B270" s="9" t="str">
        <f t="shared" si="1"/>
        <v>Еф.</v>
      </c>
      <c r="C270" s="11" t="str">
        <f t="shared" si="2"/>
        <v>220</v>
      </c>
      <c r="D270" s="12" t="s">
        <v>22</v>
      </c>
      <c r="E270" s="25" t="s">
        <v>571</v>
      </c>
      <c r="F270" s="14"/>
      <c r="G270" s="22"/>
      <c r="H270" s="16" t="s">
        <v>29</v>
      </c>
      <c r="I270" s="53">
        <v>29.0</v>
      </c>
      <c r="J270" s="54"/>
      <c r="K270" s="55">
        <v>6.0</v>
      </c>
      <c r="L270" s="20" t="b">
        <f t="shared" si="3"/>
        <v>0</v>
      </c>
    </row>
    <row r="271">
      <c r="A271" s="9" t="s">
        <v>650</v>
      </c>
      <c r="B271" s="9" t="str">
        <f t="shared" si="1"/>
        <v>Кол.</v>
      </c>
      <c r="C271" s="11" t="str">
        <f t="shared" si="2"/>
        <v>257</v>
      </c>
      <c r="D271" s="9"/>
      <c r="E271" s="21" t="s">
        <v>651</v>
      </c>
      <c r="F271" s="25"/>
      <c r="G271" s="22"/>
      <c r="H271" s="16" t="s">
        <v>29</v>
      </c>
      <c r="I271" s="53">
        <v>29.0</v>
      </c>
      <c r="J271" s="54"/>
      <c r="K271" s="55">
        <v>7.0</v>
      </c>
      <c r="L271" s="20" t="b">
        <f t="shared" si="3"/>
        <v>0</v>
      </c>
    </row>
    <row r="272">
      <c r="A272" s="9" t="s">
        <v>801</v>
      </c>
      <c r="B272" s="9" t="str">
        <f t="shared" si="1"/>
        <v>Євр.</v>
      </c>
      <c r="C272" s="11" t="str">
        <f t="shared" si="2"/>
        <v>319</v>
      </c>
      <c r="D272" s="9"/>
      <c r="E272" s="21" t="s">
        <v>802</v>
      </c>
      <c r="F272" s="14"/>
      <c r="G272" s="22"/>
      <c r="H272" s="16" t="s">
        <v>29</v>
      </c>
      <c r="I272" s="53">
        <v>30.0</v>
      </c>
      <c r="J272" s="54"/>
      <c r="K272" s="55">
        <v>1.0</v>
      </c>
      <c r="L272" s="20" t="b">
        <f t="shared" si="3"/>
        <v>0</v>
      </c>
    </row>
    <row r="273">
      <c r="A273" s="24" t="s">
        <v>805</v>
      </c>
      <c r="B273" s="9" t="str">
        <f t="shared" si="1"/>
        <v>Євр.</v>
      </c>
      <c r="C273" s="11" t="str">
        <f t="shared" si="2"/>
        <v>321</v>
      </c>
      <c r="D273" s="12" t="s">
        <v>18</v>
      </c>
      <c r="E273" s="13" t="s">
        <v>857</v>
      </c>
      <c r="F273" s="14"/>
      <c r="G273" s="22"/>
      <c r="H273" s="16" t="s">
        <v>29</v>
      </c>
      <c r="I273" s="53">
        <v>30.0</v>
      </c>
      <c r="J273" s="54"/>
      <c r="K273" s="55">
        <v>2.0</v>
      </c>
      <c r="L273" s="20" t="b">
        <f t="shared" si="3"/>
        <v>0</v>
      </c>
    </row>
    <row r="274">
      <c r="A274" s="9" t="s">
        <v>811</v>
      </c>
      <c r="B274" s="9" t="str">
        <f t="shared" si="1"/>
        <v>Євр.</v>
      </c>
      <c r="C274" s="11" t="str">
        <f t="shared" si="2"/>
        <v>323</v>
      </c>
      <c r="D274" s="9"/>
      <c r="E274" s="13" t="s">
        <v>812</v>
      </c>
      <c r="F274" s="14"/>
      <c r="G274" s="22"/>
      <c r="H274" s="16" t="s">
        <v>29</v>
      </c>
      <c r="I274" s="53">
        <v>30.0</v>
      </c>
      <c r="J274" s="54"/>
      <c r="K274" s="55">
        <v>3.0</v>
      </c>
      <c r="L274" s="20" t="b">
        <f t="shared" si="3"/>
        <v>0</v>
      </c>
    </row>
    <row r="275">
      <c r="A275" s="9" t="s">
        <v>817</v>
      </c>
      <c r="B275" s="9" t="str">
        <f t="shared" si="1"/>
        <v>Євр.</v>
      </c>
      <c r="C275" s="11" t="str">
        <f t="shared" si="2"/>
        <v>326</v>
      </c>
      <c r="D275" s="9"/>
      <c r="E275" s="13" t="s">
        <v>818</v>
      </c>
      <c r="F275" s="14"/>
      <c r="G275" s="22"/>
      <c r="H275" s="16" t="s">
        <v>29</v>
      </c>
      <c r="I275" s="53">
        <v>30.0</v>
      </c>
      <c r="J275" s="54"/>
      <c r="K275" s="55">
        <v>4.0</v>
      </c>
      <c r="L275" s="20" t="b">
        <f t="shared" si="3"/>
        <v>0</v>
      </c>
    </row>
    <row r="276">
      <c r="A276" s="9" t="s">
        <v>819</v>
      </c>
      <c r="B276" s="9" t="str">
        <f t="shared" si="1"/>
        <v>Євр.</v>
      </c>
      <c r="C276" s="11" t="str">
        <f t="shared" si="2"/>
        <v>327</v>
      </c>
      <c r="D276" s="9"/>
      <c r="E276" s="13" t="s">
        <v>820</v>
      </c>
      <c r="F276" s="14"/>
      <c r="G276" s="22"/>
      <c r="H276" s="16" t="s">
        <v>29</v>
      </c>
      <c r="I276" s="53">
        <v>30.0</v>
      </c>
      <c r="J276" s="54"/>
      <c r="K276" s="55">
        <v>5.0</v>
      </c>
      <c r="L276" s="20" t="b">
        <f t="shared" si="3"/>
        <v>0</v>
      </c>
    </row>
    <row r="277">
      <c r="A277" s="12" t="s">
        <v>589</v>
      </c>
      <c r="B277" s="9" t="str">
        <f t="shared" si="1"/>
        <v>Еф.</v>
      </c>
      <c r="C277" s="11" t="str">
        <f t="shared" si="2"/>
        <v>228</v>
      </c>
      <c r="D277" s="9"/>
      <c r="E277" s="25" t="s">
        <v>590</v>
      </c>
      <c r="F277" s="14"/>
      <c r="G277" s="22"/>
      <c r="H277" s="16" t="s">
        <v>29</v>
      </c>
      <c r="I277" s="53">
        <v>30.0</v>
      </c>
      <c r="J277" s="54"/>
      <c r="K277" s="55">
        <v>6.0</v>
      </c>
      <c r="L277" s="20" t="b">
        <f t="shared" si="3"/>
        <v>0</v>
      </c>
    </row>
    <row r="278">
      <c r="A278" s="9" t="s">
        <v>652</v>
      </c>
      <c r="B278" s="9" t="str">
        <f t="shared" si="1"/>
        <v>Кол.</v>
      </c>
      <c r="C278" s="11" t="str">
        <f t="shared" si="2"/>
        <v>258</v>
      </c>
      <c r="D278" s="9"/>
      <c r="E278" s="21" t="s">
        <v>653</v>
      </c>
      <c r="F278" s="25"/>
      <c r="G278" s="22"/>
      <c r="H278" s="16" t="s">
        <v>29</v>
      </c>
      <c r="I278" s="53">
        <v>30.0</v>
      </c>
      <c r="J278" s="54"/>
      <c r="K278" s="55">
        <v>7.0</v>
      </c>
      <c r="L278" s="20" t="b">
        <f t="shared" si="3"/>
        <v>0</v>
      </c>
    </row>
    <row r="279">
      <c r="A279" s="26" t="s">
        <v>823</v>
      </c>
      <c r="B279" s="26" t="str">
        <f t="shared" si="1"/>
        <v>Євр.</v>
      </c>
      <c r="C279" s="40" t="str">
        <f>MID(A279,FIND(".",A279)+2,FIND(" ",RIGHT(A279,LEN(A279)-FIND(".",A279)-1))-1)</f>
        <v>329</v>
      </c>
      <c r="D279" s="41" t="s">
        <v>18</v>
      </c>
      <c r="E279" s="42" t="s">
        <v>824</v>
      </c>
      <c r="F279" s="43"/>
      <c r="G279" s="44"/>
      <c r="H279" s="16" t="s">
        <v>29</v>
      </c>
      <c r="I279" s="53">
        <v>31.0</v>
      </c>
      <c r="J279" s="62"/>
      <c r="K279" s="63">
        <v>1.0</v>
      </c>
      <c r="L279" s="20" t="b">
        <f t="shared" si="3"/>
        <v>0</v>
      </c>
    </row>
    <row r="280">
      <c r="A280" s="9" t="s">
        <v>835</v>
      </c>
      <c r="B280" s="9" t="str">
        <f t="shared" si="1"/>
        <v>Євр.</v>
      </c>
      <c r="C280" s="11" t="str">
        <f t="shared" ref="C280:C318" si="4">MID(A280,FIND(".",A280)+2,FIND(" ",RIGHT(A280,LEN(A280)-FIND(".",A280)-1))-1)</f>
        <v>333</v>
      </c>
      <c r="D280" s="12" t="s">
        <v>18</v>
      </c>
      <c r="E280" s="13" t="s">
        <v>858</v>
      </c>
      <c r="F280" s="14"/>
      <c r="G280" s="22"/>
      <c r="H280" s="16" t="s">
        <v>29</v>
      </c>
      <c r="I280" s="53">
        <v>31.0</v>
      </c>
      <c r="J280" s="54"/>
      <c r="K280" s="55">
        <v>2.0</v>
      </c>
      <c r="L280" s="20" t="b">
        <f t="shared" si="3"/>
        <v>0</v>
      </c>
    </row>
    <row r="281">
      <c r="A281" s="9" t="s">
        <v>141</v>
      </c>
      <c r="B281" s="9" t="str">
        <f t="shared" si="1"/>
        <v>Як.</v>
      </c>
      <c r="C281" s="11" t="str">
        <f t="shared" si="4"/>
        <v>50</v>
      </c>
      <c r="D281" s="12" t="s">
        <v>22</v>
      </c>
      <c r="E281" s="21" t="s">
        <v>142</v>
      </c>
      <c r="F281" s="14"/>
      <c r="G281" s="22"/>
      <c r="H281" s="16" t="s">
        <v>29</v>
      </c>
      <c r="I281" s="53">
        <v>31.0</v>
      </c>
      <c r="J281" s="54"/>
      <c r="K281" s="55">
        <v>3.0</v>
      </c>
      <c r="L281" s="20" t="b">
        <f t="shared" si="3"/>
        <v>0</v>
      </c>
    </row>
    <row r="282">
      <c r="A282" s="9" t="s">
        <v>146</v>
      </c>
      <c r="B282" s="9" t="str">
        <f t="shared" si="1"/>
        <v>Як.</v>
      </c>
      <c r="C282" s="11" t="str">
        <f t="shared" si="4"/>
        <v>51</v>
      </c>
      <c r="D282" s="12" t="s">
        <v>22</v>
      </c>
      <c r="E282" s="21" t="s">
        <v>147</v>
      </c>
      <c r="F282" s="14"/>
      <c r="G282" s="22"/>
      <c r="H282" s="16" t="s">
        <v>29</v>
      </c>
      <c r="I282" s="53">
        <v>31.0</v>
      </c>
      <c r="J282" s="54"/>
      <c r="K282" s="55">
        <v>4.0</v>
      </c>
      <c r="L282" s="20" t="b">
        <f t="shared" si="3"/>
        <v>0</v>
      </c>
    </row>
    <row r="283">
      <c r="A283" s="9" t="s">
        <v>148</v>
      </c>
      <c r="B283" s="9" t="str">
        <f t="shared" si="1"/>
        <v>Як.</v>
      </c>
      <c r="C283" s="11" t="str">
        <f t="shared" si="4"/>
        <v>52</v>
      </c>
      <c r="D283" s="9"/>
      <c r="E283" s="21" t="s">
        <v>149</v>
      </c>
      <c r="F283" s="14"/>
      <c r="G283" s="22"/>
      <c r="H283" s="16" t="s">
        <v>29</v>
      </c>
      <c r="I283" s="53">
        <v>31.0</v>
      </c>
      <c r="J283" s="54"/>
      <c r="K283" s="55">
        <v>5.0</v>
      </c>
      <c r="L283" s="20" t="b">
        <f t="shared" si="3"/>
        <v>0</v>
      </c>
    </row>
    <row r="284">
      <c r="A284" s="9" t="s">
        <v>634</v>
      </c>
      <c r="B284" s="9" t="str">
        <f t="shared" si="1"/>
        <v>Кол.</v>
      </c>
      <c r="C284" s="11" t="str">
        <f t="shared" si="4"/>
        <v>249</v>
      </c>
      <c r="D284" s="12" t="s">
        <v>22</v>
      </c>
      <c r="E284" s="13" t="s">
        <v>635</v>
      </c>
      <c r="F284" s="14"/>
      <c r="G284" s="22"/>
      <c r="H284" s="16" t="s">
        <v>29</v>
      </c>
      <c r="I284" s="53">
        <v>31.0</v>
      </c>
      <c r="J284" s="54"/>
      <c r="K284" s="55">
        <v>6.0</v>
      </c>
      <c r="L284" s="20" t="b">
        <f t="shared" si="3"/>
        <v>0</v>
      </c>
    </row>
    <row r="285">
      <c r="A285" s="9" t="s">
        <v>703</v>
      </c>
      <c r="B285" s="9" t="str">
        <f t="shared" si="1"/>
        <v>1 Тим.</v>
      </c>
      <c r="C285" s="11" t="str">
        <f t="shared" si="4"/>
        <v>280</v>
      </c>
      <c r="D285" s="12" t="s">
        <v>22</v>
      </c>
      <c r="E285" s="13" t="s">
        <v>704</v>
      </c>
      <c r="F285" s="14"/>
      <c r="G285" s="22"/>
      <c r="H285" s="16" t="s">
        <v>29</v>
      </c>
      <c r="I285" s="53">
        <v>31.0</v>
      </c>
      <c r="J285" s="54"/>
      <c r="K285" s="55">
        <v>7.0</v>
      </c>
      <c r="L285" s="20" t="b">
        <f t="shared" si="3"/>
        <v>0</v>
      </c>
    </row>
    <row r="286">
      <c r="A286" s="9" t="s">
        <v>150</v>
      </c>
      <c r="B286" s="9" t="str">
        <f t="shared" si="1"/>
        <v>Як.</v>
      </c>
      <c r="C286" s="11" t="str">
        <f t="shared" si="4"/>
        <v>53</v>
      </c>
      <c r="D286" s="9"/>
      <c r="E286" s="21" t="s">
        <v>151</v>
      </c>
      <c r="F286" s="14"/>
      <c r="G286" s="22"/>
      <c r="H286" s="16" t="s">
        <v>29</v>
      </c>
      <c r="I286" s="53">
        <v>32.0</v>
      </c>
      <c r="J286" s="54"/>
      <c r="K286" s="55">
        <v>1.0</v>
      </c>
      <c r="L286" s="20" t="b">
        <f t="shared" si="3"/>
        <v>0</v>
      </c>
    </row>
    <row r="287">
      <c r="A287" s="9" t="s">
        <v>153</v>
      </c>
      <c r="B287" s="9" t="str">
        <f t="shared" si="1"/>
        <v>Як.</v>
      </c>
      <c r="C287" s="11" t="str">
        <f t="shared" si="4"/>
        <v>54</v>
      </c>
      <c r="D287" s="9"/>
      <c r="E287" s="21" t="s">
        <v>154</v>
      </c>
      <c r="F287" s="14"/>
      <c r="G287" s="22"/>
      <c r="H287" s="16" t="s">
        <v>29</v>
      </c>
      <c r="I287" s="53">
        <v>32.0</v>
      </c>
      <c r="J287" s="54"/>
      <c r="K287" s="55">
        <v>2.0</v>
      </c>
      <c r="L287" s="20" t="b">
        <f t="shared" si="3"/>
        <v>0</v>
      </c>
    </row>
    <row r="288">
      <c r="A288" s="9" t="s">
        <v>155</v>
      </c>
      <c r="B288" s="9" t="str">
        <f t="shared" si="1"/>
        <v>Як.</v>
      </c>
      <c r="C288" s="11" t="str">
        <f t="shared" si="4"/>
        <v>55</v>
      </c>
      <c r="D288" s="9"/>
      <c r="E288" s="21" t="s">
        <v>156</v>
      </c>
      <c r="F288" s="14"/>
      <c r="G288" s="22"/>
      <c r="H288" s="16" t="s">
        <v>29</v>
      </c>
      <c r="I288" s="53">
        <v>32.0</v>
      </c>
      <c r="J288" s="54"/>
      <c r="K288" s="55">
        <v>3.0</v>
      </c>
      <c r="L288" s="20" t="b">
        <f t="shared" si="3"/>
        <v>0</v>
      </c>
    </row>
    <row r="289">
      <c r="A289" s="9" t="s">
        <v>157</v>
      </c>
      <c r="B289" s="9" t="str">
        <f t="shared" si="1"/>
        <v>Як.</v>
      </c>
      <c r="C289" s="11" t="str">
        <f t="shared" si="4"/>
        <v>56</v>
      </c>
      <c r="D289" s="9"/>
      <c r="E289" s="21" t="s">
        <v>158</v>
      </c>
      <c r="F289" s="14"/>
      <c r="G289" s="22"/>
      <c r="H289" s="16" t="s">
        <v>29</v>
      </c>
      <c r="I289" s="53">
        <v>32.0</v>
      </c>
      <c r="J289" s="54"/>
      <c r="K289" s="55">
        <v>4.0</v>
      </c>
      <c r="L289" s="20" t="b">
        <f t="shared" si="3"/>
        <v>0</v>
      </c>
    </row>
    <row r="290">
      <c r="A290" s="24" t="s">
        <v>162</v>
      </c>
      <c r="B290" s="9" t="str">
        <f t="shared" si="1"/>
        <v>1 Пт.</v>
      </c>
      <c r="C290" s="11" t="str">
        <f t="shared" si="4"/>
        <v>58</v>
      </c>
      <c r="D290" s="26" t="s">
        <v>18</v>
      </c>
      <c r="E290" s="13" t="s">
        <v>163</v>
      </c>
      <c r="F290" s="14"/>
      <c r="G290" s="22"/>
      <c r="H290" s="16" t="s">
        <v>29</v>
      </c>
      <c r="I290" s="53">
        <v>32.0</v>
      </c>
      <c r="J290" s="54"/>
      <c r="K290" s="55">
        <v>5.0</v>
      </c>
      <c r="L290" s="20" t="b">
        <f t="shared" si="3"/>
        <v>0</v>
      </c>
    </row>
    <row r="291">
      <c r="A291" s="9" t="s">
        <v>684</v>
      </c>
      <c r="B291" s="9" t="str">
        <f t="shared" si="1"/>
        <v>1 Сол.</v>
      </c>
      <c r="C291" s="11" t="str">
        <f t="shared" si="4"/>
        <v>273</v>
      </c>
      <c r="D291" s="9"/>
      <c r="E291" s="25" t="s">
        <v>685</v>
      </c>
      <c r="F291" s="14"/>
      <c r="G291" s="22"/>
      <c r="H291" s="16" t="s">
        <v>29</v>
      </c>
      <c r="I291" s="53">
        <v>32.0</v>
      </c>
      <c r="J291" s="54"/>
      <c r="K291" s="55">
        <v>6.0</v>
      </c>
      <c r="L291" s="20" t="b">
        <f t="shared" si="3"/>
        <v>0</v>
      </c>
    </row>
    <row r="292">
      <c r="A292" s="9" t="s">
        <v>717</v>
      </c>
      <c r="B292" s="9" t="str">
        <f t="shared" si="1"/>
        <v>1 Тим.</v>
      </c>
      <c r="C292" s="11" t="str">
        <f t="shared" si="4"/>
        <v>285</v>
      </c>
      <c r="D292" s="12" t="s">
        <v>116</v>
      </c>
      <c r="E292" s="21" t="s">
        <v>718</v>
      </c>
      <c r="F292" s="14"/>
      <c r="G292" s="22"/>
      <c r="H292" s="16" t="s">
        <v>29</v>
      </c>
      <c r="I292" s="53">
        <v>32.0</v>
      </c>
      <c r="J292" s="54"/>
      <c r="K292" s="55">
        <v>7.0</v>
      </c>
      <c r="L292" s="20" t="b">
        <f t="shared" si="3"/>
        <v>0</v>
      </c>
    </row>
    <row r="293">
      <c r="A293" s="9" t="s">
        <v>172</v>
      </c>
      <c r="B293" s="9" t="str">
        <f t="shared" si="1"/>
        <v>1 Пт.</v>
      </c>
      <c r="C293" s="11" t="str">
        <f t="shared" si="4"/>
        <v>59</v>
      </c>
      <c r="D293" s="9"/>
      <c r="E293" s="27" t="s">
        <v>173</v>
      </c>
      <c r="F293" s="14"/>
      <c r="G293" s="22"/>
      <c r="H293" s="16" t="s">
        <v>29</v>
      </c>
      <c r="I293" s="53">
        <v>33.0</v>
      </c>
      <c r="J293" s="55">
        <v>4.0</v>
      </c>
      <c r="K293" s="55">
        <v>1.0</v>
      </c>
      <c r="L293" s="20" t="b">
        <f t="shared" si="3"/>
        <v>0</v>
      </c>
    </row>
    <row r="294">
      <c r="A294" s="9" t="s">
        <v>175</v>
      </c>
      <c r="B294" s="9" t="str">
        <f t="shared" si="1"/>
        <v>1 Пт.</v>
      </c>
      <c r="C294" s="11" t="str">
        <f t="shared" si="4"/>
        <v>60</v>
      </c>
      <c r="D294" s="9"/>
      <c r="E294" s="21" t="s">
        <v>176</v>
      </c>
      <c r="F294" s="14"/>
      <c r="G294" s="22"/>
      <c r="H294" s="16" t="s">
        <v>29</v>
      </c>
      <c r="I294" s="53">
        <v>33.0</v>
      </c>
      <c r="J294" s="55">
        <v>4.0</v>
      </c>
      <c r="K294" s="55">
        <v>2.0</v>
      </c>
      <c r="L294" s="20" t="b">
        <f t="shared" si="3"/>
        <v>0</v>
      </c>
    </row>
    <row r="295">
      <c r="A295" s="9" t="s">
        <v>177</v>
      </c>
      <c r="B295" s="9" t="str">
        <f t="shared" si="1"/>
        <v>1 Пт.</v>
      </c>
      <c r="C295" s="11" t="str">
        <f t="shared" si="4"/>
        <v>61</v>
      </c>
      <c r="D295" s="9"/>
      <c r="E295" s="21" t="s">
        <v>178</v>
      </c>
      <c r="F295" s="14"/>
      <c r="G295" s="22"/>
      <c r="H295" s="16" t="s">
        <v>29</v>
      </c>
      <c r="I295" s="53">
        <v>33.0</v>
      </c>
      <c r="J295" s="55">
        <v>4.0</v>
      </c>
      <c r="K295" s="55">
        <v>3.0</v>
      </c>
      <c r="L295" s="20" t="b">
        <f t="shared" si="3"/>
        <v>0</v>
      </c>
    </row>
    <row r="296">
      <c r="A296" s="9" t="s">
        <v>179</v>
      </c>
      <c r="B296" s="9" t="str">
        <f t="shared" si="1"/>
        <v>1 Пт.</v>
      </c>
      <c r="C296" s="11" t="str">
        <f t="shared" si="4"/>
        <v>62</v>
      </c>
      <c r="D296" s="9"/>
      <c r="E296" s="21" t="s">
        <v>180</v>
      </c>
      <c r="F296" s="14"/>
      <c r="G296" s="22"/>
      <c r="H296" s="16" t="s">
        <v>29</v>
      </c>
      <c r="I296" s="53">
        <v>33.0</v>
      </c>
      <c r="J296" s="55">
        <v>4.0</v>
      </c>
      <c r="K296" s="55">
        <v>4.0</v>
      </c>
      <c r="L296" s="20" t="b">
        <f t="shared" si="3"/>
        <v>0</v>
      </c>
    </row>
    <row r="297">
      <c r="A297" s="9" t="s">
        <v>183</v>
      </c>
      <c r="B297" s="9" t="str">
        <f t="shared" si="1"/>
        <v>2 Пт.</v>
      </c>
      <c r="C297" s="11" t="str">
        <f t="shared" si="4"/>
        <v>64</v>
      </c>
      <c r="D297" s="9"/>
      <c r="E297" s="21" t="s">
        <v>184</v>
      </c>
      <c r="F297" s="14"/>
      <c r="G297" s="22"/>
      <c r="H297" s="16" t="s">
        <v>29</v>
      </c>
      <c r="I297" s="53">
        <v>33.0</v>
      </c>
      <c r="J297" s="55">
        <v>4.0</v>
      </c>
      <c r="K297" s="55">
        <v>5.0</v>
      </c>
      <c r="L297" s="20" t="b">
        <f t="shared" si="3"/>
        <v>0</v>
      </c>
    </row>
    <row r="298">
      <c r="A298" s="9" t="s">
        <v>736</v>
      </c>
      <c r="B298" s="9" t="str">
        <f t="shared" si="1"/>
        <v>2 Тим.</v>
      </c>
      <c r="C298" s="11" t="str">
        <f t="shared" si="4"/>
        <v>293</v>
      </c>
      <c r="D298" s="9"/>
      <c r="E298" s="21" t="s">
        <v>737</v>
      </c>
      <c r="F298" s="14"/>
      <c r="G298" s="22"/>
      <c r="H298" s="16" t="s">
        <v>29</v>
      </c>
      <c r="I298" s="53">
        <v>33.0</v>
      </c>
      <c r="J298" s="55">
        <v>4.0</v>
      </c>
      <c r="K298" s="55">
        <v>6.0</v>
      </c>
      <c r="L298" s="20" t="b">
        <f t="shared" si="3"/>
        <v>0</v>
      </c>
    </row>
    <row r="299">
      <c r="A299" s="9" t="s">
        <v>742</v>
      </c>
      <c r="B299" s="9" t="str">
        <f t="shared" si="1"/>
        <v>2 Тим.</v>
      </c>
      <c r="C299" s="11" t="str">
        <f t="shared" si="4"/>
        <v>296</v>
      </c>
      <c r="D299" s="9"/>
      <c r="E299" s="27" t="s">
        <v>743</v>
      </c>
      <c r="F299" s="14"/>
      <c r="G299" s="22"/>
      <c r="H299" s="16" t="s">
        <v>29</v>
      </c>
      <c r="I299" s="53">
        <v>33.0</v>
      </c>
      <c r="J299" s="55">
        <v>4.0</v>
      </c>
      <c r="K299" s="55">
        <v>7.0</v>
      </c>
      <c r="L299" s="20" t="b">
        <f t="shared" si="3"/>
        <v>0</v>
      </c>
    </row>
    <row r="300">
      <c r="A300" s="9" t="s">
        <v>187</v>
      </c>
      <c r="B300" s="9" t="str">
        <f t="shared" si="1"/>
        <v>2 Пт.</v>
      </c>
      <c r="C300" s="11" t="str">
        <f t="shared" si="4"/>
        <v>66</v>
      </c>
      <c r="D300" s="9"/>
      <c r="E300" s="27" t="s">
        <v>188</v>
      </c>
      <c r="F300" s="14"/>
      <c r="G300" s="22"/>
      <c r="H300" s="16" t="s">
        <v>29</v>
      </c>
      <c r="I300" s="53">
        <v>34.0</v>
      </c>
      <c r="J300" s="55">
        <v>3.0</v>
      </c>
      <c r="K300" s="55">
        <v>1.0</v>
      </c>
      <c r="L300" s="20" t="b">
        <f t="shared" si="3"/>
        <v>0</v>
      </c>
    </row>
    <row r="301">
      <c r="A301" s="9" t="s">
        <v>190</v>
      </c>
      <c r="B301" s="9" t="str">
        <f t="shared" si="1"/>
        <v>2 Пт.</v>
      </c>
      <c r="C301" s="11" t="str">
        <f t="shared" si="4"/>
        <v>67</v>
      </c>
      <c r="D301" s="9"/>
      <c r="E301" s="21" t="s">
        <v>191</v>
      </c>
      <c r="F301" s="14"/>
      <c r="G301" s="22"/>
      <c r="H301" s="16" t="s">
        <v>29</v>
      </c>
      <c r="I301" s="53">
        <v>34.0</v>
      </c>
      <c r="J301" s="55">
        <v>3.0</v>
      </c>
      <c r="K301" s="55">
        <v>2.0</v>
      </c>
      <c r="L301" s="20" t="b">
        <f t="shared" si="3"/>
        <v>0</v>
      </c>
    </row>
    <row r="302">
      <c r="A302" s="9" t="s">
        <v>192</v>
      </c>
      <c r="B302" s="9" t="str">
        <f t="shared" si="1"/>
        <v>2 Пт.</v>
      </c>
      <c r="C302" s="11" t="str">
        <f t="shared" si="4"/>
        <v>68</v>
      </c>
      <c r="D302" s="12" t="s">
        <v>18</v>
      </c>
      <c r="E302" s="21" t="s">
        <v>193</v>
      </c>
      <c r="F302" s="14"/>
      <c r="G302" s="22"/>
      <c r="H302" s="16" t="s">
        <v>29</v>
      </c>
      <c r="I302" s="53">
        <v>34.0</v>
      </c>
      <c r="J302" s="55">
        <v>3.0</v>
      </c>
      <c r="K302" s="55">
        <v>3.0</v>
      </c>
      <c r="L302" s="20" t="b">
        <f t="shared" si="3"/>
        <v>0</v>
      </c>
    </row>
    <row r="303">
      <c r="A303" s="9" t="s">
        <v>197</v>
      </c>
      <c r="B303" s="9" t="str">
        <f t="shared" si="1"/>
        <v>1 Йо.</v>
      </c>
      <c r="C303" s="11" t="str">
        <f t="shared" si="4"/>
        <v>69</v>
      </c>
      <c r="D303" s="9"/>
      <c r="E303" s="25" t="s">
        <v>198</v>
      </c>
      <c r="F303" s="14"/>
      <c r="G303" s="22"/>
      <c r="H303" s="16" t="s">
        <v>29</v>
      </c>
      <c r="I303" s="53">
        <v>34.0</v>
      </c>
      <c r="J303" s="55">
        <v>3.0</v>
      </c>
      <c r="K303" s="55">
        <v>4.0</v>
      </c>
      <c r="L303" s="20" t="b">
        <f t="shared" si="3"/>
        <v>0</v>
      </c>
    </row>
    <row r="304">
      <c r="A304" s="9" t="s">
        <v>199</v>
      </c>
      <c r="B304" s="9" t="str">
        <f t="shared" si="1"/>
        <v>1 Йо.</v>
      </c>
      <c r="C304" s="11" t="str">
        <f t="shared" si="4"/>
        <v>70</v>
      </c>
      <c r="D304" s="9"/>
      <c r="E304" s="25" t="s">
        <v>200</v>
      </c>
      <c r="F304" s="14"/>
      <c r="G304" s="22"/>
      <c r="H304" s="16" t="s">
        <v>29</v>
      </c>
      <c r="I304" s="53">
        <v>34.0</v>
      </c>
      <c r="J304" s="55">
        <v>3.0</v>
      </c>
      <c r="K304" s="55">
        <v>5.0</v>
      </c>
      <c r="L304" s="20" t="b">
        <f t="shared" si="3"/>
        <v>0</v>
      </c>
    </row>
    <row r="305">
      <c r="A305" s="9" t="s">
        <v>740</v>
      </c>
      <c r="B305" s="9" t="str">
        <f t="shared" si="1"/>
        <v>2 Тим.</v>
      </c>
      <c r="C305" s="11" t="str">
        <f t="shared" si="4"/>
        <v>295</v>
      </c>
      <c r="D305" s="9"/>
      <c r="E305" s="21" t="s">
        <v>741</v>
      </c>
      <c r="F305" s="14"/>
      <c r="G305" s="22"/>
      <c r="H305" s="16" t="s">
        <v>29</v>
      </c>
      <c r="I305" s="53">
        <v>34.0</v>
      </c>
      <c r="J305" s="55">
        <v>3.0</v>
      </c>
      <c r="K305" s="55">
        <v>6.0</v>
      </c>
      <c r="L305" s="20" t="b">
        <f t="shared" si="3"/>
        <v>0</v>
      </c>
    </row>
    <row r="306">
      <c r="A306" s="9" t="s">
        <v>370</v>
      </c>
      <c r="B306" s="9" t="str">
        <f t="shared" si="1"/>
        <v>1 Кор.</v>
      </c>
      <c r="C306" s="11" t="str">
        <f t="shared" si="4"/>
        <v>135</v>
      </c>
      <c r="D306" s="9"/>
      <c r="E306" s="21" t="s">
        <v>371</v>
      </c>
      <c r="F306" s="14"/>
      <c r="G306" s="22"/>
      <c r="H306" s="16" t="s">
        <v>29</v>
      </c>
      <c r="I306" s="53">
        <v>34.0</v>
      </c>
      <c r="J306" s="55">
        <v>3.0</v>
      </c>
      <c r="K306" s="55">
        <v>7.0</v>
      </c>
      <c r="L306" s="20" t="b">
        <f t="shared" si="3"/>
        <v>0</v>
      </c>
    </row>
    <row r="307">
      <c r="A307" s="9" t="s">
        <v>201</v>
      </c>
      <c r="B307" s="9" t="str">
        <f t="shared" si="1"/>
        <v>1 Йо.</v>
      </c>
      <c r="C307" s="11" t="str">
        <f t="shared" si="4"/>
        <v>71</v>
      </c>
      <c r="D307" s="9"/>
      <c r="E307" s="27" t="s">
        <v>202</v>
      </c>
      <c r="F307" s="14"/>
      <c r="G307" s="22"/>
      <c r="H307" s="16" t="s">
        <v>29</v>
      </c>
      <c r="I307" s="53">
        <v>35.0</v>
      </c>
      <c r="J307" s="55">
        <v>2.0</v>
      </c>
      <c r="K307" s="55">
        <v>1.0</v>
      </c>
      <c r="L307" s="20" t="b">
        <f t="shared" si="3"/>
        <v>0</v>
      </c>
    </row>
    <row r="308">
      <c r="A308" s="9" t="s">
        <v>204</v>
      </c>
      <c r="B308" s="9" t="str">
        <f t="shared" si="1"/>
        <v>1 Йо.</v>
      </c>
      <c r="C308" s="11" t="str">
        <f t="shared" si="4"/>
        <v>72</v>
      </c>
      <c r="D308" s="9"/>
      <c r="E308" s="21" t="s">
        <v>205</v>
      </c>
      <c r="F308" s="14"/>
      <c r="G308" s="22"/>
      <c r="H308" s="16" t="s">
        <v>29</v>
      </c>
      <c r="I308" s="53">
        <v>35.0</v>
      </c>
      <c r="J308" s="55">
        <v>2.0</v>
      </c>
      <c r="K308" s="55">
        <v>2.0</v>
      </c>
      <c r="L308" s="20" t="b">
        <f t="shared" si="3"/>
        <v>0</v>
      </c>
    </row>
    <row r="309">
      <c r="A309" s="9" t="s">
        <v>209</v>
      </c>
      <c r="B309" s="9" t="str">
        <f t="shared" si="1"/>
        <v>1 Йо.</v>
      </c>
      <c r="C309" s="11" t="str">
        <f t="shared" si="4"/>
        <v>73</v>
      </c>
      <c r="D309" s="12" t="s">
        <v>22</v>
      </c>
      <c r="E309" s="21" t="s">
        <v>210</v>
      </c>
      <c r="F309" s="14"/>
      <c r="G309" s="22"/>
      <c r="H309" s="16" t="s">
        <v>29</v>
      </c>
      <c r="I309" s="53">
        <v>35.0</v>
      </c>
      <c r="J309" s="55">
        <v>2.0</v>
      </c>
      <c r="K309" s="55">
        <v>3.0</v>
      </c>
      <c r="L309" s="20" t="b">
        <f t="shared" si="3"/>
        <v>0</v>
      </c>
    </row>
    <row r="310">
      <c r="A310" s="9" t="s">
        <v>213</v>
      </c>
      <c r="B310" s="9" t="str">
        <f t="shared" si="1"/>
        <v>1 Йо.</v>
      </c>
      <c r="C310" s="11" t="str">
        <f t="shared" si="4"/>
        <v>74</v>
      </c>
      <c r="D310" s="9"/>
      <c r="E310" s="21" t="s">
        <v>214</v>
      </c>
      <c r="F310" s="14"/>
      <c r="G310" s="22"/>
      <c r="H310" s="16" t="s">
        <v>29</v>
      </c>
      <c r="I310" s="53">
        <v>35.0</v>
      </c>
      <c r="J310" s="55">
        <v>2.0</v>
      </c>
      <c r="K310" s="55">
        <v>4.0</v>
      </c>
      <c r="L310" s="20" t="b">
        <f t="shared" si="3"/>
        <v>0</v>
      </c>
    </row>
    <row r="311">
      <c r="A311" s="9" t="s">
        <v>215</v>
      </c>
      <c r="B311" s="9" t="str">
        <f t="shared" si="1"/>
        <v>2 Йо.</v>
      </c>
      <c r="C311" s="11" t="str">
        <f t="shared" si="4"/>
        <v>75</v>
      </c>
      <c r="D311" s="9"/>
      <c r="E311" s="21" t="s">
        <v>216</v>
      </c>
      <c r="F311" s="14"/>
      <c r="G311" s="22"/>
      <c r="H311" s="16" t="s">
        <v>29</v>
      </c>
      <c r="I311" s="53">
        <v>35.0</v>
      </c>
      <c r="J311" s="55">
        <v>2.0</v>
      </c>
      <c r="K311" s="55">
        <v>5.0</v>
      </c>
      <c r="L311" s="20" t="b">
        <f t="shared" si="3"/>
        <v>0</v>
      </c>
    </row>
    <row r="312">
      <c r="A312" s="9" t="s">
        <v>397</v>
      </c>
      <c r="B312" s="9" t="str">
        <f t="shared" si="1"/>
        <v>1 Кор.</v>
      </c>
      <c r="C312" s="11" t="str">
        <f t="shared" si="4"/>
        <v>146</v>
      </c>
      <c r="D312" s="9"/>
      <c r="E312" s="21" t="s">
        <v>398</v>
      </c>
      <c r="F312" s="14"/>
      <c r="G312" s="22"/>
      <c r="H312" s="16" t="s">
        <v>29</v>
      </c>
      <c r="I312" s="53">
        <v>35.0</v>
      </c>
      <c r="J312" s="55">
        <v>2.0</v>
      </c>
      <c r="K312" s="55">
        <v>6.0</v>
      </c>
      <c r="L312" s="20" t="b">
        <f t="shared" si="3"/>
        <v>0</v>
      </c>
    </row>
    <row r="313">
      <c r="A313" s="9" t="s">
        <v>380</v>
      </c>
      <c r="B313" s="9" t="str">
        <f t="shared" si="1"/>
        <v>1 Кор.</v>
      </c>
      <c r="C313" s="11" t="str">
        <f t="shared" si="4"/>
        <v>140</v>
      </c>
      <c r="D313" s="9"/>
      <c r="E313" s="21" t="s">
        <v>381</v>
      </c>
      <c r="F313" s="14"/>
      <c r="G313" s="22"/>
      <c r="H313" s="16" t="s">
        <v>29</v>
      </c>
      <c r="I313" s="53">
        <v>35.0</v>
      </c>
      <c r="J313" s="55">
        <v>2.0</v>
      </c>
      <c r="K313" s="55">
        <v>7.0</v>
      </c>
      <c r="L313" s="20" t="b">
        <f t="shared" si="3"/>
        <v>0</v>
      </c>
    </row>
    <row r="314">
      <c r="A314" s="9" t="s">
        <v>217</v>
      </c>
      <c r="B314" s="9" t="str">
        <f t="shared" si="1"/>
        <v>3 Йо.</v>
      </c>
      <c r="C314" s="11" t="str">
        <f t="shared" si="4"/>
        <v>76</v>
      </c>
      <c r="D314" s="9"/>
      <c r="E314" s="21" t="s">
        <v>218</v>
      </c>
      <c r="F314" s="14"/>
      <c r="G314" s="22"/>
      <c r="H314" s="16" t="s">
        <v>29</v>
      </c>
      <c r="I314" s="53">
        <v>36.0</v>
      </c>
      <c r="J314" s="55">
        <v>1.0</v>
      </c>
      <c r="K314" s="55">
        <v>1.0</v>
      </c>
      <c r="L314" s="20" t="b">
        <f t="shared" si="3"/>
        <v>0</v>
      </c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</row>
    <row r="315">
      <c r="A315" s="9" t="s">
        <v>230</v>
      </c>
      <c r="B315" s="9" t="str">
        <f t="shared" si="1"/>
        <v>Юд.</v>
      </c>
      <c r="C315" s="11" t="str">
        <f t="shared" si="4"/>
        <v>77</v>
      </c>
      <c r="D315" s="9"/>
      <c r="E315" s="21" t="s">
        <v>859</v>
      </c>
      <c r="F315" s="14"/>
      <c r="G315" s="22"/>
      <c r="H315" s="16" t="s">
        <v>29</v>
      </c>
      <c r="I315" s="53">
        <v>36.0</v>
      </c>
      <c r="J315" s="55">
        <v>1.0</v>
      </c>
      <c r="K315" s="55">
        <v>2.0</v>
      </c>
      <c r="L315" s="20" t="b">
        <f t="shared" si="3"/>
        <v>0</v>
      </c>
    </row>
    <row r="316">
      <c r="A316" s="9" t="s">
        <v>232</v>
      </c>
      <c r="B316" s="9" t="str">
        <f t="shared" si="1"/>
        <v>Юд.</v>
      </c>
      <c r="C316" s="11" t="str">
        <f t="shared" si="4"/>
        <v>78</v>
      </c>
      <c r="D316" s="9"/>
      <c r="E316" s="21" t="s">
        <v>233</v>
      </c>
      <c r="F316" s="14"/>
      <c r="G316" s="22"/>
      <c r="H316" s="16" t="s">
        <v>29</v>
      </c>
      <c r="I316" s="53">
        <v>36.0</v>
      </c>
      <c r="J316" s="55">
        <v>1.0</v>
      </c>
      <c r="K316" s="55">
        <v>4.0</v>
      </c>
      <c r="L316" s="20" t="b">
        <f t="shared" si="3"/>
        <v>0</v>
      </c>
    </row>
    <row r="317">
      <c r="A317" s="9" t="s">
        <v>318</v>
      </c>
      <c r="B317" s="9" t="str">
        <f t="shared" si="1"/>
        <v>Рим.</v>
      </c>
      <c r="C317" s="11" t="str">
        <f t="shared" si="4"/>
        <v>115</v>
      </c>
      <c r="D317" s="9"/>
      <c r="E317" s="21" t="s">
        <v>319</v>
      </c>
      <c r="F317" s="14"/>
      <c r="G317" s="22"/>
      <c r="H317" s="16" t="s">
        <v>29</v>
      </c>
      <c r="I317" s="53">
        <v>36.0</v>
      </c>
      <c r="J317" s="55">
        <v>1.0</v>
      </c>
      <c r="K317" s="55">
        <v>6.0</v>
      </c>
      <c r="L317" s="20" t="b">
        <f t="shared" si="3"/>
        <v>0</v>
      </c>
    </row>
    <row r="318">
      <c r="A318" s="9" t="s">
        <v>311</v>
      </c>
      <c r="B318" s="9" t="str">
        <f t="shared" si="1"/>
        <v>Рим.</v>
      </c>
      <c r="C318" s="11" t="str">
        <f t="shared" si="4"/>
        <v>112</v>
      </c>
      <c r="D318" s="9"/>
      <c r="E318" s="21" t="s">
        <v>312</v>
      </c>
      <c r="F318" s="14"/>
      <c r="G318" s="15" t="s">
        <v>70</v>
      </c>
      <c r="H318" s="16" t="s">
        <v>29</v>
      </c>
      <c r="I318" s="53">
        <v>36.0</v>
      </c>
      <c r="J318" s="55">
        <v>1.0</v>
      </c>
      <c r="K318" s="55">
        <v>7.0</v>
      </c>
      <c r="L318" s="20" t="b">
        <f t="shared" si="3"/>
        <v>0</v>
      </c>
    </row>
    <row r="319" ht="15.75" customHeight="1">
      <c r="E319" s="49"/>
      <c r="G319" s="50"/>
      <c r="H319" s="51"/>
      <c r="I319" s="51"/>
      <c r="J319" s="51"/>
      <c r="K319" s="51"/>
    </row>
    <row r="320" ht="15.75" customHeight="1">
      <c r="E320" s="49"/>
      <c r="G320" s="50"/>
      <c r="H320" s="51"/>
      <c r="I320" s="51"/>
      <c r="J320" s="51"/>
      <c r="K320" s="51"/>
    </row>
    <row r="321" ht="15.75" customHeight="1">
      <c r="E321" s="49"/>
      <c r="G321" s="50"/>
      <c r="H321" s="51"/>
      <c r="I321" s="51"/>
      <c r="J321" s="51"/>
      <c r="K321" s="51"/>
    </row>
    <row r="322" ht="15.75" customHeight="1">
      <c r="E322" s="49"/>
      <c r="G322" s="50"/>
      <c r="H322" s="51"/>
      <c r="I322" s="51"/>
      <c r="J322" s="51"/>
      <c r="K322" s="51"/>
    </row>
    <row r="323" ht="15.75" customHeight="1">
      <c r="E323" s="49"/>
      <c r="G323" s="50"/>
      <c r="H323" s="51"/>
      <c r="I323" s="51"/>
      <c r="J323" s="51"/>
      <c r="K323" s="51"/>
    </row>
    <row r="324" ht="15.75" customHeight="1">
      <c r="E324" s="49"/>
      <c r="G324" s="50"/>
      <c r="H324" s="51"/>
      <c r="I324" s="51"/>
      <c r="J324" s="51"/>
      <c r="K324" s="51"/>
    </row>
    <row r="325" ht="15.75" customHeight="1">
      <c r="E325" s="49"/>
      <c r="G325" s="50"/>
      <c r="H325" s="51"/>
      <c r="I325" s="51"/>
      <c r="J325" s="51"/>
      <c r="K325" s="51"/>
    </row>
    <row r="326" ht="15.75" customHeight="1">
      <c r="E326" s="49"/>
      <c r="G326" s="50"/>
      <c r="H326" s="51"/>
      <c r="I326" s="51"/>
      <c r="J326" s="51"/>
      <c r="K326" s="51"/>
    </row>
    <row r="327" ht="15.75" customHeight="1">
      <c r="E327" s="49"/>
      <c r="G327" s="50"/>
      <c r="H327" s="51"/>
      <c r="I327" s="51"/>
      <c r="J327" s="51"/>
      <c r="K327" s="51"/>
    </row>
    <row r="328" ht="15.75" customHeight="1">
      <c r="E328" s="49"/>
      <c r="G328" s="50"/>
      <c r="H328" s="51"/>
      <c r="I328" s="51"/>
      <c r="J328" s="51"/>
      <c r="K328" s="51"/>
    </row>
    <row r="329" ht="15.75" customHeight="1">
      <c r="E329" s="49"/>
      <c r="G329" s="50"/>
      <c r="H329" s="51"/>
      <c r="I329" s="51"/>
      <c r="J329" s="51"/>
      <c r="K329" s="51"/>
    </row>
    <row r="330" ht="15.75" customHeight="1">
      <c r="E330" s="49"/>
      <c r="G330" s="50"/>
      <c r="H330" s="51"/>
      <c r="I330" s="51"/>
      <c r="J330" s="51"/>
      <c r="K330" s="51"/>
    </row>
    <row r="331" ht="15.75" customHeight="1">
      <c r="E331" s="49"/>
      <c r="G331" s="50"/>
      <c r="H331" s="51"/>
      <c r="I331" s="51"/>
      <c r="J331" s="51"/>
      <c r="K331" s="51"/>
    </row>
    <row r="332" ht="15.75" customHeight="1">
      <c r="E332" s="49"/>
      <c r="G332" s="50"/>
      <c r="H332" s="51"/>
      <c r="I332" s="51"/>
      <c r="J332" s="51"/>
      <c r="K332" s="51"/>
    </row>
    <row r="333" ht="15.75" customHeight="1">
      <c r="E333" s="49"/>
      <c r="G333" s="50"/>
      <c r="H333" s="51"/>
      <c r="I333" s="51"/>
      <c r="J333" s="51"/>
      <c r="K333" s="51"/>
    </row>
    <row r="334" ht="15.75" customHeight="1">
      <c r="E334" s="49"/>
      <c r="G334" s="50"/>
      <c r="H334" s="51"/>
      <c r="I334" s="51"/>
      <c r="J334" s="51"/>
      <c r="K334" s="51"/>
    </row>
    <row r="335" ht="15.75" customHeight="1">
      <c r="E335" s="49"/>
      <c r="G335" s="50"/>
      <c r="H335" s="51"/>
      <c r="I335" s="51"/>
      <c r="J335" s="51"/>
      <c r="K335" s="51"/>
    </row>
    <row r="336" ht="15.75" customHeight="1">
      <c r="E336" s="49"/>
      <c r="G336" s="50"/>
      <c r="H336" s="51"/>
      <c r="I336" s="51"/>
      <c r="J336" s="51"/>
      <c r="K336" s="51"/>
    </row>
    <row r="337" ht="15.75" customHeight="1">
      <c r="E337" s="49"/>
      <c r="G337" s="50"/>
      <c r="H337" s="51"/>
      <c r="I337" s="51"/>
      <c r="J337" s="51"/>
      <c r="K337" s="51"/>
    </row>
    <row r="338" ht="15.75" customHeight="1">
      <c r="E338" s="49"/>
      <c r="G338" s="50"/>
      <c r="H338" s="51"/>
      <c r="I338" s="51"/>
      <c r="J338" s="51"/>
      <c r="K338" s="51"/>
    </row>
    <row r="339" ht="15.75" customHeight="1">
      <c r="E339" s="49"/>
      <c r="G339" s="50"/>
      <c r="H339" s="51"/>
      <c r="I339" s="51"/>
      <c r="J339" s="51"/>
      <c r="K339" s="51"/>
    </row>
    <row r="340" ht="15.75" customHeight="1">
      <c r="E340" s="49"/>
      <c r="G340" s="50"/>
      <c r="H340" s="51"/>
      <c r="I340" s="51"/>
      <c r="J340" s="51"/>
      <c r="K340" s="51"/>
    </row>
    <row r="341" ht="15.75" customHeight="1">
      <c r="E341" s="49"/>
      <c r="G341" s="50"/>
      <c r="H341" s="51"/>
      <c r="I341" s="51"/>
      <c r="J341" s="51"/>
      <c r="K341" s="51"/>
    </row>
    <row r="342" ht="15.75" customHeight="1">
      <c r="E342" s="49"/>
      <c r="G342" s="50"/>
      <c r="H342" s="51"/>
      <c r="I342" s="51"/>
      <c r="J342" s="51"/>
      <c r="K342" s="51"/>
    </row>
    <row r="343" ht="15.75" customHeight="1">
      <c r="E343" s="49"/>
      <c r="G343" s="50"/>
      <c r="H343" s="51"/>
      <c r="I343" s="51"/>
      <c r="J343" s="51"/>
      <c r="K343" s="51"/>
    </row>
    <row r="344" ht="15.75" customHeight="1">
      <c r="E344" s="49"/>
      <c r="G344" s="50"/>
      <c r="H344" s="51"/>
      <c r="I344" s="51"/>
      <c r="J344" s="51"/>
      <c r="K344" s="51"/>
    </row>
    <row r="345" ht="15.75" customHeight="1">
      <c r="E345" s="49"/>
      <c r="G345" s="50"/>
      <c r="H345" s="51"/>
      <c r="I345" s="51"/>
      <c r="J345" s="51"/>
      <c r="K345" s="51"/>
    </row>
    <row r="346" ht="15.75" customHeight="1">
      <c r="E346" s="49"/>
      <c r="G346" s="50"/>
      <c r="H346" s="51"/>
      <c r="I346" s="51"/>
      <c r="J346" s="51"/>
      <c r="K346" s="51"/>
    </row>
    <row r="347" ht="15.75" customHeight="1">
      <c r="E347" s="49"/>
      <c r="G347" s="50"/>
      <c r="H347" s="51"/>
      <c r="I347" s="51"/>
      <c r="J347" s="51"/>
      <c r="K347" s="51"/>
    </row>
    <row r="348" ht="15.75" customHeight="1">
      <c r="E348" s="49"/>
      <c r="G348" s="50"/>
      <c r="H348" s="51"/>
      <c r="I348" s="51"/>
      <c r="J348" s="51"/>
      <c r="K348" s="51"/>
    </row>
    <row r="349" ht="15.75" customHeight="1">
      <c r="E349" s="49"/>
      <c r="G349" s="50"/>
      <c r="H349" s="51"/>
      <c r="I349" s="51"/>
      <c r="J349" s="51"/>
      <c r="K349" s="51"/>
    </row>
    <row r="350" ht="15.75" customHeight="1">
      <c r="E350" s="49"/>
      <c r="G350" s="50"/>
      <c r="H350" s="51"/>
      <c r="I350" s="51"/>
      <c r="J350" s="51"/>
      <c r="K350" s="51"/>
    </row>
    <row r="351" ht="15.75" customHeight="1">
      <c r="E351" s="49"/>
      <c r="G351" s="50"/>
      <c r="H351" s="51"/>
      <c r="I351" s="51"/>
      <c r="J351" s="51"/>
      <c r="K351" s="51"/>
    </row>
    <row r="352" ht="15.75" customHeight="1">
      <c r="E352" s="49"/>
      <c r="G352" s="50"/>
      <c r="H352" s="51"/>
      <c r="I352" s="51"/>
      <c r="J352" s="51"/>
      <c r="K352" s="51"/>
    </row>
    <row r="353" ht="15.75" customHeight="1">
      <c r="E353" s="49"/>
      <c r="G353" s="50"/>
      <c r="H353" s="51"/>
      <c r="I353" s="51"/>
      <c r="J353" s="51"/>
      <c r="K353" s="51"/>
    </row>
    <row r="354" ht="15.75" customHeight="1">
      <c r="E354" s="49"/>
      <c r="G354" s="50"/>
      <c r="H354" s="51"/>
      <c r="I354" s="51"/>
      <c r="J354" s="51"/>
      <c r="K354" s="51"/>
    </row>
    <row r="355" ht="15.75" customHeight="1">
      <c r="E355" s="49"/>
      <c r="G355" s="50"/>
      <c r="H355" s="51"/>
      <c r="I355" s="51"/>
      <c r="J355" s="51"/>
      <c r="K355" s="51"/>
    </row>
    <row r="356" ht="15.75" customHeight="1">
      <c r="E356" s="49"/>
      <c r="G356" s="50"/>
      <c r="H356" s="51"/>
      <c r="I356" s="51"/>
      <c r="J356" s="51"/>
      <c r="K356" s="51"/>
    </row>
    <row r="357" ht="15.75" customHeight="1">
      <c r="E357" s="49"/>
      <c r="G357" s="50"/>
      <c r="H357" s="51"/>
      <c r="I357" s="51"/>
      <c r="J357" s="51"/>
      <c r="K357" s="51"/>
    </row>
    <row r="358" ht="15.75" customHeight="1">
      <c r="E358" s="49"/>
      <c r="G358" s="50"/>
      <c r="H358" s="51"/>
      <c r="I358" s="51"/>
      <c r="J358" s="51"/>
      <c r="K358" s="51"/>
    </row>
    <row r="359" ht="15.75" customHeight="1">
      <c r="E359" s="49"/>
      <c r="G359" s="50"/>
      <c r="H359" s="51"/>
      <c r="I359" s="51"/>
      <c r="J359" s="51"/>
      <c r="K359" s="51"/>
    </row>
    <row r="360" ht="15.75" customHeight="1">
      <c r="E360" s="49"/>
      <c r="G360" s="50"/>
      <c r="H360" s="51"/>
      <c r="I360" s="51"/>
      <c r="J360" s="51"/>
      <c r="K360" s="51"/>
    </row>
    <row r="361" ht="15.75" customHeight="1">
      <c r="E361" s="49"/>
      <c r="G361" s="50"/>
      <c r="H361" s="51"/>
      <c r="I361" s="51"/>
      <c r="J361" s="51"/>
      <c r="K361" s="51"/>
    </row>
    <row r="362" ht="15.75" customHeight="1">
      <c r="E362" s="49"/>
      <c r="G362" s="50"/>
      <c r="H362" s="51"/>
      <c r="I362" s="51"/>
      <c r="J362" s="51"/>
      <c r="K362" s="51"/>
    </row>
    <row r="363" ht="15.75" customHeight="1">
      <c r="E363" s="49"/>
      <c r="G363" s="50"/>
      <c r="H363" s="51"/>
      <c r="I363" s="51"/>
      <c r="J363" s="51"/>
      <c r="K363" s="51"/>
    </row>
    <row r="364" ht="15.75" customHeight="1">
      <c r="E364" s="49"/>
      <c r="G364" s="50"/>
      <c r="H364" s="51"/>
      <c r="I364" s="51"/>
      <c r="J364" s="51"/>
      <c r="K364" s="51"/>
    </row>
    <row r="365" ht="15.75" customHeight="1">
      <c r="E365" s="49"/>
      <c r="G365" s="50"/>
      <c r="H365" s="51"/>
      <c r="I365" s="51"/>
      <c r="J365" s="51"/>
      <c r="K365" s="51"/>
    </row>
    <row r="366" ht="15.75" customHeight="1">
      <c r="E366" s="49"/>
      <c r="G366" s="50"/>
      <c r="H366" s="51"/>
      <c r="I366" s="51"/>
      <c r="J366" s="51"/>
      <c r="K366" s="51"/>
    </row>
    <row r="367" ht="15.75" customHeight="1">
      <c r="E367" s="49"/>
      <c r="G367" s="50"/>
      <c r="H367" s="51"/>
      <c r="I367" s="51"/>
      <c r="J367" s="51"/>
      <c r="K367" s="51"/>
    </row>
    <row r="368" ht="15.75" customHeight="1">
      <c r="E368" s="49"/>
      <c r="G368" s="50"/>
      <c r="H368" s="51"/>
      <c r="I368" s="51"/>
      <c r="J368" s="51"/>
      <c r="K368" s="51"/>
    </row>
    <row r="369" ht="15.75" customHeight="1">
      <c r="E369" s="49"/>
      <c r="G369" s="50"/>
      <c r="H369" s="51"/>
      <c r="I369" s="51"/>
      <c r="J369" s="51"/>
      <c r="K369" s="51"/>
    </row>
    <row r="370" ht="15.75" customHeight="1">
      <c r="E370" s="49"/>
      <c r="G370" s="50"/>
      <c r="H370" s="51"/>
      <c r="I370" s="51"/>
      <c r="J370" s="51"/>
      <c r="K370" s="51"/>
    </row>
    <row r="371" ht="15.75" customHeight="1">
      <c r="E371" s="49"/>
      <c r="G371" s="50"/>
      <c r="H371" s="51"/>
      <c r="I371" s="51"/>
      <c r="J371" s="51"/>
      <c r="K371" s="51"/>
    </row>
    <row r="372" ht="15.75" customHeight="1">
      <c r="E372" s="49"/>
      <c r="G372" s="50"/>
      <c r="H372" s="51"/>
      <c r="I372" s="51"/>
      <c r="J372" s="51"/>
      <c r="K372" s="51"/>
    </row>
    <row r="373" ht="15.75" customHeight="1">
      <c r="E373" s="49"/>
      <c r="G373" s="50"/>
      <c r="H373" s="51"/>
      <c r="I373" s="51"/>
      <c r="J373" s="51"/>
      <c r="K373" s="51"/>
    </row>
    <row r="374" ht="15.75" customHeight="1">
      <c r="E374" s="49"/>
      <c r="G374" s="50"/>
      <c r="H374" s="51"/>
      <c r="I374" s="51"/>
      <c r="J374" s="51"/>
      <c r="K374" s="51"/>
    </row>
    <row r="375" ht="15.75" customHeight="1">
      <c r="E375" s="49"/>
      <c r="G375" s="50"/>
      <c r="H375" s="51"/>
      <c r="I375" s="51"/>
      <c r="J375" s="51"/>
      <c r="K375" s="51"/>
    </row>
    <row r="376" ht="15.75" customHeight="1">
      <c r="E376" s="49"/>
      <c r="G376" s="50"/>
      <c r="H376" s="51"/>
      <c r="I376" s="51"/>
      <c r="J376" s="51"/>
      <c r="K376" s="51"/>
    </row>
    <row r="377" ht="15.75" customHeight="1">
      <c r="E377" s="49"/>
      <c r="G377" s="50"/>
      <c r="H377" s="51"/>
      <c r="I377" s="51"/>
      <c r="J377" s="51"/>
      <c r="K377" s="51"/>
    </row>
    <row r="378" ht="15.75" customHeight="1">
      <c r="E378" s="49"/>
      <c r="G378" s="50"/>
      <c r="H378" s="51"/>
      <c r="I378" s="51"/>
      <c r="J378" s="51"/>
      <c r="K378" s="51"/>
    </row>
    <row r="379" ht="15.75" customHeight="1">
      <c r="E379" s="49"/>
      <c r="G379" s="50"/>
      <c r="H379" s="51"/>
      <c r="I379" s="51"/>
      <c r="J379" s="51"/>
      <c r="K379" s="51"/>
    </row>
    <row r="380" ht="15.75" customHeight="1">
      <c r="E380" s="49"/>
      <c r="G380" s="50"/>
      <c r="H380" s="51"/>
      <c r="I380" s="51"/>
      <c r="J380" s="51"/>
      <c r="K380" s="51"/>
    </row>
    <row r="381" ht="15.75" customHeight="1">
      <c r="E381" s="49"/>
      <c r="G381" s="50"/>
      <c r="H381" s="51"/>
      <c r="I381" s="51"/>
      <c r="J381" s="51"/>
      <c r="K381" s="51"/>
    </row>
    <row r="382" ht="15.75" customHeight="1">
      <c r="E382" s="49"/>
      <c r="G382" s="50"/>
      <c r="H382" s="51"/>
      <c r="I382" s="51"/>
      <c r="J382" s="51"/>
      <c r="K382" s="51"/>
    </row>
    <row r="383" ht="15.75" customHeight="1">
      <c r="E383" s="49"/>
      <c r="G383" s="50"/>
      <c r="H383" s="51"/>
      <c r="I383" s="51"/>
      <c r="J383" s="51"/>
      <c r="K383" s="51"/>
    </row>
    <row r="384" ht="15.75" customHeight="1">
      <c r="E384" s="49"/>
      <c r="G384" s="50"/>
      <c r="H384" s="51"/>
      <c r="I384" s="51"/>
      <c r="J384" s="51"/>
      <c r="K384" s="51"/>
    </row>
    <row r="385" ht="15.75" customHeight="1">
      <c r="E385" s="49"/>
      <c r="G385" s="50"/>
      <c r="H385" s="51"/>
      <c r="I385" s="51"/>
      <c r="J385" s="51"/>
      <c r="K385" s="51"/>
    </row>
    <row r="386" ht="15.75" customHeight="1">
      <c r="E386" s="49"/>
      <c r="G386" s="50"/>
      <c r="H386" s="51"/>
      <c r="I386" s="51"/>
      <c r="J386" s="51"/>
      <c r="K386" s="51"/>
    </row>
    <row r="387" ht="15.75" customHeight="1">
      <c r="E387" s="49"/>
      <c r="G387" s="50"/>
      <c r="H387" s="51"/>
      <c r="I387" s="51"/>
      <c r="J387" s="51"/>
      <c r="K387" s="51"/>
    </row>
    <row r="388" ht="15.75" customHeight="1">
      <c r="E388" s="49"/>
      <c r="G388" s="50"/>
      <c r="H388" s="51"/>
      <c r="I388" s="51"/>
      <c r="J388" s="51"/>
      <c r="K388" s="51"/>
    </row>
    <row r="389" ht="15.75" customHeight="1">
      <c r="E389" s="49"/>
      <c r="G389" s="50"/>
      <c r="H389" s="51"/>
      <c r="I389" s="51"/>
      <c r="J389" s="51"/>
      <c r="K389" s="51"/>
    </row>
    <row r="390" ht="15.75" customHeight="1">
      <c r="E390" s="49"/>
      <c r="G390" s="50"/>
      <c r="H390" s="51"/>
      <c r="I390" s="51"/>
      <c r="J390" s="51"/>
      <c r="K390" s="51"/>
    </row>
    <row r="391" ht="15.75" customHeight="1">
      <c r="E391" s="49"/>
      <c r="G391" s="50"/>
      <c r="H391" s="51"/>
      <c r="I391" s="51"/>
      <c r="J391" s="51"/>
      <c r="K391" s="51"/>
    </row>
    <row r="392" ht="15.75" customHeight="1">
      <c r="E392" s="49"/>
      <c r="G392" s="50"/>
      <c r="H392" s="51"/>
      <c r="I392" s="51"/>
      <c r="J392" s="51"/>
      <c r="K392" s="51"/>
    </row>
    <row r="393" ht="15.75" customHeight="1">
      <c r="E393" s="49"/>
      <c r="G393" s="50"/>
      <c r="H393" s="51"/>
      <c r="I393" s="51"/>
      <c r="J393" s="51"/>
      <c r="K393" s="51"/>
    </row>
    <row r="394" ht="15.75" customHeight="1">
      <c r="E394" s="49"/>
      <c r="G394" s="50"/>
      <c r="H394" s="51"/>
      <c r="I394" s="51"/>
      <c r="J394" s="51"/>
      <c r="K394" s="51"/>
    </row>
    <row r="395" ht="15.75" customHeight="1">
      <c r="E395" s="49"/>
      <c r="G395" s="50"/>
      <c r="H395" s="51"/>
      <c r="I395" s="51"/>
      <c r="J395" s="51"/>
      <c r="K395" s="51"/>
    </row>
    <row r="396" ht="15.75" customHeight="1">
      <c r="E396" s="49"/>
      <c r="G396" s="50"/>
      <c r="H396" s="51"/>
      <c r="I396" s="51"/>
      <c r="J396" s="51"/>
      <c r="K396" s="51"/>
    </row>
    <row r="397" ht="15.75" customHeight="1">
      <c r="E397" s="49"/>
      <c r="G397" s="50"/>
      <c r="H397" s="51"/>
      <c r="I397" s="51"/>
      <c r="J397" s="51"/>
      <c r="K397" s="51"/>
    </row>
    <row r="398" ht="15.75" customHeight="1">
      <c r="E398" s="49"/>
      <c r="G398" s="50"/>
      <c r="H398" s="51"/>
      <c r="I398" s="51"/>
      <c r="J398" s="51"/>
      <c r="K398" s="51"/>
    </row>
    <row r="399" ht="15.75" customHeight="1">
      <c r="E399" s="49"/>
      <c r="G399" s="50"/>
      <c r="H399" s="51"/>
      <c r="I399" s="51"/>
      <c r="J399" s="51"/>
      <c r="K399" s="51"/>
    </row>
    <row r="400" ht="15.75" customHeight="1">
      <c r="E400" s="49"/>
      <c r="G400" s="50"/>
      <c r="H400" s="51"/>
      <c r="I400" s="51"/>
      <c r="J400" s="51"/>
      <c r="K400" s="51"/>
    </row>
    <row r="401" ht="15.75" customHeight="1">
      <c r="E401" s="49"/>
      <c r="G401" s="50"/>
      <c r="H401" s="51"/>
      <c r="I401" s="51"/>
      <c r="J401" s="51"/>
      <c r="K401" s="51"/>
    </row>
    <row r="402" ht="15.75" customHeight="1">
      <c r="E402" s="49"/>
      <c r="G402" s="50"/>
      <c r="H402" s="51"/>
      <c r="I402" s="51"/>
      <c r="J402" s="51"/>
      <c r="K402" s="51"/>
    </row>
    <row r="403" ht="15.75" customHeight="1">
      <c r="E403" s="49"/>
      <c r="G403" s="50"/>
      <c r="H403" s="51"/>
      <c r="I403" s="51"/>
      <c r="J403" s="51"/>
      <c r="K403" s="51"/>
    </row>
    <row r="404" ht="15.75" customHeight="1">
      <c r="E404" s="49"/>
      <c r="G404" s="50"/>
      <c r="H404" s="51"/>
      <c r="I404" s="51"/>
      <c r="J404" s="51"/>
      <c r="K404" s="51"/>
    </row>
    <row r="405" ht="15.75" customHeight="1">
      <c r="E405" s="49"/>
      <c r="G405" s="50"/>
      <c r="H405" s="51"/>
      <c r="I405" s="51"/>
      <c r="J405" s="51"/>
      <c r="K405" s="51"/>
    </row>
    <row r="406" ht="15.75" customHeight="1">
      <c r="E406" s="49"/>
      <c r="G406" s="50"/>
      <c r="H406" s="51"/>
      <c r="I406" s="51"/>
      <c r="J406" s="51"/>
      <c r="K406" s="51"/>
    </row>
    <row r="407" ht="15.75" customHeight="1">
      <c r="E407" s="49"/>
      <c r="G407" s="50"/>
      <c r="H407" s="51"/>
      <c r="I407" s="51"/>
      <c r="J407" s="51"/>
      <c r="K407" s="51"/>
    </row>
    <row r="408" ht="15.75" customHeight="1">
      <c r="E408" s="49"/>
      <c r="G408" s="50"/>
      <c r="H408" s="51"/>
      <c r="I408" s="51"/>
      <c r="J408" s="51"/>
      <c r="K408" s="51"/>
    </row>
    <row r="409" ht="15.75" customHeight="1">
      <c r="E409" s="49"/>
      <c r="G409" s="50"/>
      <c r="H409" s="51"/>
      <c r="I409" s="51"/>
      <c r="J409" s="51"/>
      <c r="K409" s="51"/>
    </row>
    <row r="410" ht="15.75" customHeight="1">
      <c r="E410" s="49"/>
      <c r="G410" s="50"/>
      <c r="H410" s="51"/>
      <c r="I410" s="51"/>
      <c r="J410" s="51"/>
      <c r="K410" s="51"/>
    </row>
    <row r="411" ht="15.75" customHeight="1">
      <c r="E411" s="49"/>
      <c r="G411" s="50"/>
      <c r="H411" s="51"/>
      <c r="I411" s="51"/>
      <c r="J411" s="51"/>
      <c r="K411" s="51"/>
    </row>
    <row r="412" ht="15.75" customHeight="1">
      <c r="E412" s="49"/>
      <c r="G412" s="50"/>
      <c r="H412" s="51"/>
      <c r="I412" s="51"/>
      <c r="J412" s="51"/>
      <c r="K412" s="51"/>
    </row>
    <row r="413" ht="15.75" customHeight="1">
      <c r="E413" s="49"/>
      <c r="G413" s="50"/>
      <c r="H413" s="51"/>
      <c r="I413" s="51"/>
      <c r="J413" s="51"/>
      <c r="K413" s="51"/>
    </row>
    <row r="414" ht="15.75" customHeight="1">
      <c r="E414" s="49"/>
      <c r="G414" s="50"/>
      <c r="H414" s="51"/>
      <c r="I414" s="51"/>
      <c r="J414" s="51"/>
      <c r="K414" s="51"/>
    </row>
    <row r="415" ht="15.75" customHeight="1">
      <c r="E415" s="49"/>
      <c r="G415" s="50"/>
      <c r="H415" s="51"/>
      <c r="I415" s="51"/>
      <c r="J415" s="51"/>
      <c r="K415" s="51"/>
    </row>
    <row r="416" ht="15.75" customHeight="1">
      <c r="E416" s="49"/>
      <c r="G416" s="50"/>
      <c r="H416" s="51"/>
      <c r="I416" s="51"/>
      <c r="J416" s="51"/>
      <c r="K416" s="51"/>
    </row>
    <row r="417" ht="15.75" customHeight="1">
      <c r="E417" s="49"/>
      <c r="G417" s="50"/>
      <c r="H417" s="51"/>
      <c r="I417" s="51"/>
      <c r="J417" s="51"/>
      <c r="K417" s="51"/>
    </row>
    <row r="418" ht="15.75" customHeight="1">
      <c r="E418" s="49"/>
      <c r="G418" s="50"/>
      <c r="H418" s="51"/>
      <c r="I418" s="51"/>
      <c r="J418" s="51"/>
      <c r="K418" s="51"/>
    </row>
    <row r="419" ht="15.75" customHeight="1">
      <c r="E419" s="49"/>
      <c r="G419" s="50"/>
      <c r="H419" s="51"/>
      <c r="I419" s="51"/>
      <c r="J419" s="51"/>
      <c r="K419" s="51"/>
    </row>
    <row r="420" ht="15.75" customHeight="1">
      <c r="E420" s="49"/>
      <c r="G420" s="50"/>
      <c r="H420" s="51"/>
      <c r="I420" s="51"/>
      <c r="J420" s="51"/>
      <c r="K420" s="51"/>
    </row>
    <row r="421" ht="15.75" customHeight="1">
      <c r="E421" s="49"/>
      <c r="G421" s="50"/>
      <c r="H421" s="51"/>
      <c r="I421" s="51"/>
      <c r="J421" s="51"/>
      <c r="K421" s="51"/>
    </row>
    <row r="422" ht="15.75" customHeight="1">
      <c r="E422" s="49"/>
      <c r="G422" s="50"/>
      <c r="H422" s="51"/>
      <c r="I422" s="51"/>
      <c r="J422" s="51"/>
      <c r="K422" s="51"/>
    </row>
    <row r="423" ht="15.75" customHeight="1">
      <c r="E423" s="49"/>
      <c r="G423" s="50"/>
      <c r="H423" s="51"/>
      <c r="I423" s="51"/>
      <c r="J423" s="51"/>
      <c r="K423" s="51"/>
    </row>
    <row r="424" ht="15.75" customHeight="1">
      <c r="E424" s="49"/>
      <c r="G424" s="50"/>
      <c r="H424" s="51"/>
      <c r="I424" s="51"/>
      <c r="J424" s="51"/>
      <c r="K424" s="51"/>
    </row>
    <row r="425" ht="15.75" customHeight="1">
      <c r="E425" s="49"/>
      <c r="G425" s="50"/>
      <c r="H425" s="51"/>
      <c r="I425" s="51"/>
      <c r="J425" s="51"/>
      <c r="K425" s="51"/>
    </row>
    <row r="426" ht="15.75" customHeight="1">
      <c r="E426" s="49"/>
      <c r="G426" s="50"/>
      <c r="H426" s="51"/>
      <c r="I426" s="51"/>
      <c r="J426" s="51"/>
      <c r="K426" s="51"/>
    </row>
    <row r="427" ht="15.75" customHeight="1">
      <c r="E427" s="49"/>
      <c r="G427" s="50"/>
      <c r="H427" s="51"/>
      <c r="I427" s="51"/>
      <c r="J427" s="51"/>
      <c r="K427" s="51"/>
    </row>
    <row r="428" ht="15.75" customHeight="1">
      <c r="E428" s="49"/>
      <c r="G428" s="50"/>
      <c r="H428" s="51"/>
      <c r="I428" s="51"/>
      <c r="J428" s="51"/>
      <c r="K428" s="51"/>
    </row>
    <row r="429" ht="15.75" customHeight="1">
      <c r="E429" s="49"/>
      <c r="G429" s="50"/>
      <c r="H429" s="51"/>
      <c r="I429" s="51"/>
      <c r="J429" s="51"/>
      <c r="K429" s="51"/>
    </row>
    <row r="430" ht="15.75" customHeight="1">
      <c r="E430" s="49"/>
      <c r="G430" s="50"/>
      <c r="H430" s="51"/>
      <c r="I430" s="51"/>
      <c r="J430" s="51"/>
      <c r="K430" s="51"/>
    </row>
    <row r="431" ht="15.75" customHeight="1">
      <c r="E431" s="49"/>
      <c r="G431" s="50"/>
      <c r="H431" s="51"/>
      <c r="I431" s="51"/>
      <c r="J431" s="51"/>
      <c r="K431" s="51"/>
    </row>
    <row r="432" ht="15.75" customHeight="1">
      <c r="E432" s="49"/>
      <c r="G432" s="50"/>
      <c r="H432" s="51"/>
      <c r="I432" s="51"/>
      <c r="J432" s="51"/>
      <c r="K432" s="51"/>
    </row>
    <row r="433" ht="15.75" customHeight="1">
      <c r="E433" s="49"/>
      <c r="G433" s="50"/>
      <c r="H433" s="51"/>
      <c r="I433" s="51"/>
      <c r="J433" s="51"/>
      <c r="K433" s="51"/>
    </row>
    <row r="434" ht="15.75" customHeight="1">
      <c r="E434" s="49"/>
      <c r="G434" s="50"/>
      <c r="H434" s="51"/>
      <c r="I434" s="51"/>
      <c r="J434" s="51"/>
      <c r="K434" s="51"/>
    </row>
    <row r="435" ht="15.75" customHeight="1">
      <c r="E435" s="49"/>
      <c r="G435" s="50"/>
      <c r="H435" s="51"/>
      <c r="I435" s="51"/>
      <c r="J435" s="51"/>
      <c r="K435" s="51"/>
    </row>
    <row r="436" ht="15.75" customHeight="1">
      <c r="E436" s="49"/>
      <c r="G436" s="50"/>
      <c r="H436" s="51"/>
      <c r="I436" s="51"/>
      <c r="J436" s="51"/>
      <c r="K436" s="51"/>
    </row>
    <row r="437" ht="15.75" customHeight="1">
      <c r="E437" s="49"/>
      <c r="G437" s="50"/>
      <c r="H437" s="51"/>
      <c r="I437" s="51"/>
      <c r="J437" s="51"/>
      <c r="K437" s="51"/>
    </row>
    <row r="438" ht="15.75" customHeight="1">
      <c r="E438" s="49"/>
      <c r="G438" s="50"/>
      <c r="H438" s="51"/>
      <c r="I438" s="51"/>
      <c r="J438" s="51"/>
      <c r="K438" s="51"/>
    </row>
    <row r="439" ht="15.75" customHeight="1">
      <c r="E439" s="49"/>
      <c r="G439" s="50"/>
      <c r="H439" s="51"/>
      <c r="I439" s="51"/>
      <c r="J439" s="51"/>
      <c r="K439" s="51"/>
    </row>
    <row r="440" ht="15.75" customHeight="1">
      <c r="E440" s="49"/>
      <c r="G440" s="50"/>
      <c r="H440" s="51"/>
      <c r="I440" s="51"/>
      <c r="J440" s="51"/>
      <c r="K440" s="51"/>
    </row>
    <row r="441" ht="15.75" customHeight="1">
      <c r="E441" s="49"/>
      <c r="G441" s="50"/>
      <c r="H441" s="51"/>
      <c r="I441" s="51"/>
      <c r="J441" s="51"/>
      <c r="K441" s="51"/>
    </row>
    <row r="442" ht="15.75" customHeight="1">
      <c r="E442" s="49"/>
      <c r="G442" s="50"/>
      <c r="H442" s="51"/>
      <c r="I442" s="51"/>
      <c r="J442" s="51"/>
      <c r="K442" s="51"/>
    </row>
    <row r="443" ht="15.75" customHeight="1">
      <c r="E443" s="49"/>
      <c r="G443" s="50"/>
      <c r="H443" s="51"/>
      <c r="I443" s="51"/>
      <c r="J443" s="51"/>
      <c r="K443" s="51"/>
    </row>
    <row r="444" ht="15.75" customHeight="1">
      <c r="E444" s="49"/>
      <c r="G444" s="50"/>
      <c r="H444" s="51"/>
      <c r="I444" s="51"/>
      <c r="J444" s="51"/>
      <c r="K444" s="51"/>
    </row>
    <row r="445" ht="15.75" customHeight="1">
      <c r="E445" s="49"/>
      <c r="G445" s="50"/>
      <c r="H445" s="51"/>
      <c r="I445" s="51"/>
      <c r="J445" s="51"/>
      <c r="K445" s="51"/>
    </row>
    <row r="446" ht="15.75" customHeight="1">
      <c r="E446" s="49"/>
      <c r="G446" s="50"/>
      <c r="H446" s="51"/>
      <c r="I446" s="51"/>
      <c r="J446" s="51"/>
      <c r="K446" s="51"/>
    </row>
    <row r="447" ht="15.75" customHeight="1">
      <c r="E447" s="49"/>
      <c r="G447" s="50"/>
      <c r="H447" s="51"/>
      <c r="I447" s="51"/>
      <c r="J447" s="51"/>
      <c r="K447" s="51"/>
    </row>
    <row r="448" ht="15.75" customHeight="1">
      <c r="E448" s="49"/>
      <c r="G448" s="50"/>
      <c r="H448" s="51"/>
      <c r="I448" s="51"/>
      <c r="J448" s="51"/>
      <c r="K448" s="51"/>
    </row>
    <row r="449" ht="15.75" customHeight="1">
      <c r="E449" s="49"/>
      <c r="G449" s="50"/>
      <c r="H449" s="51"/>
      <c r="I449" s="51"/>
      <c r="J449" s="51"/>
      <c r="K449" s="51"/>
    </row>
    <row r="450" ht="15.75" customHeight="1">
      <c r="E450" s="49"/>
      <c r="G450" s="50"/>
      <c r="H450" s="51"/>
      <c r="I450" s="51"/>
      <c r="J450" s="51"/>
      <c r="K450" s="51"/>
    </row>
    <row r="451" ht="15.75" customHeight="1">
      <c r="E451" s="49"/>
      <c r="G451" s="50"/>
      <c r="H451" s="51"/>
      <c r="I451" s="51"/>
      <c r="J451" s="51"/>
      <c r="K451" s="51"/>
    </row>
    <row r="452" ht="15.75" customHeight="1">
      <c r="E452" s="49"/>
      <c r="G452" s="50"/>
      <c r="H452" s="51"/>
      <c r="I452" s="51"/>
      <c r="J452" s="51"/>
      <c r="K452" s="51"/>
    </row>
    <row r="453" ht="15.75" customHeight="1">
      <c r="E453" s="49"/>
      <c r="G453" s="50"/>
      <c r="H453" s="51"/>
      <c r="I453" s="51"/>
      <c r="J453" s="51"/>
      <c r="K453" s="51"/>
    </row>
    <row r="454" ht="15.75" customHeight="1">
      <c r="E454" s="49"/>
      <c r="G454" s="50"/>
      <c r="H454" s="51"/>
      <c r="I454" s="51"/>
      <c r="J454" s="51"/>
      <c r="K454" s="51"/>
    </row>
    <row r="455" ht="15.75" customHeight="1">
      <c r="E455" s="49"/>
      <c r="G455" s="50"/>
      <c r="H455" s="51"/>
      <c r="I455" s="51"/>
      <c r="J455" s="51"/>
      <c r="K455" s="51"/>
    </row>
    <row r="456" ht="15.75" customHeight="1">
      <c r="E456" s="49"/>
      <c r="G456" s="50"/>
      <c r="H456" s="51"/>
      <c r="I456" s="51"/>
      <c r="J456" s="51"/>
      <c r="K456" s="51"/>
    </row>
    <row r="457" ht="15.75" customHeight="1">
      <c r="E457" s="49"/>
      <c r="G457" s="50"/>
      <c r="H457" s="51"/>
      <c r="I457" s="51"/>
      <c r="J457" s="51"/>
      <c r="K457" s="51"/>
    </row>
    <row r="458" ht="15.75" customHeight="1">
      <c r="E458" s="49"/>
      <c r="G458" s="50"/>
      <c r="H458" s="51"/>
      <c r="I458" s="51"/>
      <c r="J458" s="51"/>
      <c r="K458" s="51"/>
    </row>
    <row r="459" ht="15.75" customHeight="1">
      <c r="E459" s="49"/>
      <c r="G459" s="50"/>
      <c r="H459" s="51"/>
      <c r="I459" s="51"/>
      <c r="J459" s="51"/>
      <c r="K459" s="51"/>
    </row>
    <row r="460" ht="15.75" customHeight="1">
      <c r="E460" s="49"/>
      <c r="G460" s="50"/>
      <c r="H460" s="51"/>
      <c r="I460" s="51"/>
      <c r="J460" s="51"/>
      <c r="K460" s="51"/>
    </row>
    <row r="461" ht="15.75" customHeight="1">
      <c r="E461" s="49"/>
      <c r="G461" s="50"/>
      <c r="H461" s="51"/>
      <c r="I461" s="51"/>
      <c r="J461" s="51"/>
      <c r="K461" s="51"/>
    </row>
    <row r="462" ht="15.75" customHeight="1">
      <c r="E462" s="49"/>
      <c r="G462" s="50"/>
      <c r="H462" s="51"/>
      <c r="I462" s="51"/>
      <c r="J462" s="51"/>
      <c r="K462" s="51"/>
    </row>
    <row r="463" ht="15.75" customHeight="1">
      <c r="E463" s="49"/>
      <c r="G463" s="50"/>
      <c r="H463" s="51"/>
      <c r="I463" s="51"/>
      <c r="J463" s="51"/>
      <c r="K463" s="51"/>
    </row>
    <row r="464" ht="15.75" customHeight="1">
      <c r="E464" s="49"/>
      <c r="G464" s="50"/>
      <c r="H464" s="51"/>
      <c r="I464" s="51"/>
      <c r="J464" s="51"/>
      <c r="K464" s="51"/>
    </row>
    <row r="465" ht="15.75" customHeight="1">
      <c r="E465" s="49"/>
      <c r="G465" s="50"/>
      <c r="H465" s="51"/>
      <c r="I465" s="51"/>
      <c r="J465" s="51"/>
      <c r="K465" s="51"/>
    </row>
    <row r="466" ht="15.75" customHeight="1">
      <c r="E466" s="49"/>
      <c r="G466" s="50"/>
      <c r="H466" s="51"/>
      <c r="I466" s="51"/>
      <c r="J466" s="51"/>
      <c r="K466" s="51"/>
    </row>
    <row r="467" ht="15.75" customHeight="1">
      <c r="E467" s="49"/>
      <c r="G467" s="50"/>
      <c r="H467" s="51"/>
      <c r="I467" s="51"/>
      <c r="J467" s="51"/>
      <c r="K467" s="51"/>
    </row>
    <row r="468" ht="15.75" customHeight="1">
      <c r="E468" s="49"/>
      <c r="G468" s="50"/>
      <c r="H468" s="51"/>
      <c r="I468" s="51"/>
      <c r="J468" s="51"/>
      <c r="K468" s="51"/>
    </row>
    <row r="469" ht="15.75" customHeight="1">
      <c r="E469" s="49"/>
      <c r="G469" s="50"/>
      <c r="H469" s="51"/>
      <c r="I469" s="51"/>
      <c r="J469" s="51"/>
      <c r="K469" s="51"/>
    </row>
    <row r="470" ht="15.75" customHeight="1">
      <c r="E470" s="49"/>
      <c r="G470" s="50"/>
      <c r="H470" s="51"/>
      <c r="I470" s="51"/>
      <c r="J470" s="51"/>
      <c r="K470" s="51"/>
    </row>
    <row r="471" ht="15.75" customHeight="1">
      <c r="E471" s="49"/>
      <c r="G471" s="50"/>
      <c r="H471" s="51"/>
      <c r="I471" s="51"/>
      <c r="J471" s="51"/>
      <c r="K471" s="51"/>
    </row>
    <row r="472" ht="15.75" customHeight="1">
      <c r="E472" s="49"/>
      <c r="G472" s="50"/>
      <c r="H472" s="51"/>
      <c r="I472" s="51"/>
      <c r="J472" s="51"/>
      <c r="K472" s="51"/>
    </row>
    <row r="473" ht="15.75" customHeight="1">
      <c r="E473" s="49"/>
      <c r="G473" s="50"/>
      <c r="H473" s="51"/>
      <c r="I473" s="51"/>
      <c r="J473" s="51"/>
      <c r="K473" s="51"/>
    </row>
    <row r="474" ht="15.75" customHeight="1">
      <c r="E474" s="49"/>
      <c r="G474" s="50"/>
      <c r="H474" s="51"/>
      <c r="I474" s="51"/>
      <c r="J474" s="51"/>
      <c r="K474" s="51"/>
    </row>
    <row r="475" ht="15.75" customHeight="1">
      <c r="E475" s="49"/>
      <c r="G475" s="50"/>
      <c r="H475" s="51"/>
      <c r="I475" s="51"/>
      <c r="J475" s="51"/>
      <c r="K475" s="51"/>
    </row>
    <row r="476" ht="15.75" customHeight="1">
      <c r="E476" s="49"/>
      <c r="G476" s="50"/>
      <c r="H476" s="51"/>
      <c r="I476" s="51"/>
      <c r="J476" s="51"/>
      <c r="K476" s="51"/>
    </row>
    <row r="477" ht="15.75" customHeight="1">
      <c r="E477" s="49"/>
      <c r="G477" s="50"/>
      <c r="H477" s="51"/>
      <c r="I477" s="51"/>
      <c r="J477" s="51"/>
      <c r="K477" s="51"/>
    </row>
    <row r="478" ht="15.75" customHeight="1">
      <c r="E478" s="49"/>
      <c r="G478" s="50"/>
      <c r="H478" s="51"/>
      <c r="I478" s="51"/>
      <c r="J478" s="51"/>
      <c r="K478" s="51"/>
    </row>
    <row r="479" ht="15.75" customHeight="1">
      <c r="E479" s="49"/>
      <c r="G479" s="50"/>
      <c r="H479" s="51"/>
      <c r="I479" s="51"/>
      <c r="J479" s="51"/>
      <c r="K479" s="51"/>
    </row>
    <row r="480" ht="15.75" customHeight="1">
      <c r="E480" s="49"/>
      <c r="G480" s="50"/>
      <c r="H480" s="51"/>
      <c r="I480" s="51"/>
      <c r="J480" s="51"/>
      <c r="K480" s="51"/>
    </row>
    <row r="481" ht="15.75" customHeight="1">
      <c r="E481" s="49"/>
      <c r="G481" s="50"/>
      <c r="H481" s="51"/>
      <c r="I481" s="51"/>
      <c r="J481" s="51"/>
      <c r="K481" s="51"/>
    </row>
    <row r="482" ht="15.75" customHeight="1">
      <c r="E482" s="49"/>
      <c r="G482" s="50"/>
      <c r="H482" s="51"/>
      <c r="I482" s="51"/>
      <c r="J482" s="51"/>
      <c r="K482" s="51"/>
    </row>
    <row r="483" ht="15.75" customHeight="1">
      <c r="E483" s="49"/>
      <c r="G483" s="50"/>
      <c r="H483" s="51"/>
      <c r="I483" s="51"/>
      <c r="J483" s="51"/>
      <c r="K483" s="51"/>
    </row>
    <row r="484" ht="15.75" customHeight="1">
      <c r="E484" s="49"/>
      <c r="G484" s="50"/>
      <c r="H484" s="51"/>
      <c r="I484" s="51"/>
      <c r="J484" s="51"/>
      <c r="K484" s="51"/>
    </row>
    <row r="485" ht="15.75" customHeight="1">
      <c r="E485" s="49"/>
      <c r="G485" s="50"/>
      <c r="H485" s="51"/>
      <c r="I485" s="51"/>
      <c r="J485" s="51"/>
      <c r="K485" s="51"/>
    </row>
    <row r="486" ht="15.75" customHeight="1">
      <c r="E486" s="49"/>
      <c r="G486" s="50"/>
      <c r="H486" s="51"/>
      <c r="I486" s="51"/>
      <c r="J486" s="51"/>
      <c r="K486" s="51"/>
    </row>
    <row r="487" ht="15.75" customHeight="1">
      <c r="E487" s="49"/>
      <c r="G487" s="50"/>
      <c r="H487" s="51"/>
      <c r="I487" s="51"/>
      <c r="J487" s="51"/>
      <c r="K487" s="51"/>
    </row>
    <row r="488" ht="15.75" customHeight="1">
      <c r="E488" s="49"/>
      <c r="G488" s="50"/>
      <c r="H488" s="51"/>
      <c r="I488" s="51"/>
      <c r="J488" s="51"/>
      <c r="K488" s="51"/>
    </row>
    <row r="489" ht="15.75" customHeight="1">
      <c r="E489" s="49"/>
      <c r="G489" s="50"/>
      <c r="H489" s="51"/>
      <c r="I489" s="51"/>
      <c r="J489" s="51"/>
      <c r="K489" s="51"/>
    </row>
    <row r="490" ht="15.75" customHeight="1">
      <c r="E490" s="49"/>
      <c r="G490" s="50"/>
      <c r="H490" s="51"/>
      <c r="I490" s="51"/>
      <c r="J490" s="51"/>
      <c r="K490" s="51"/>
    </row>
    <row r="491" ht="15.75" customHeight="1">
      <c r="E491" s="49"/>
      <c r="G491" s="50"/>
      <c r="H491" s="51"/>
      <c r="I491" s="51"/>
      <c r="J491" s="51"/>
      <c r="K491" s="51"/>
    </row>
    <row r="492" ht="15.75" customHeight="1">
      <c r="E492" s="49"/>
      <c r="G492" s="50"/>
      <c r="H492" s="51"/>
      <c r="I492" s="51"/>
      <c r="J492" s="51"/>
      <c r="K492" s="51"/>
    </row>
    <row r="493" ht="15.75" customHeight="1">
      <c r="E493" s="49"/>
      <c r="G493" s="50"/>
      <c r="H493" s="51"/>
      <c r="I493" s="51"/>
      <c r="J493" s="51"/>
      <c r="K493" s="51"/>
    </row>
    <row r="494" ht="15.75" customHeight="1">
      <c r="E494" s="49"/>
      <c r="G494" s="50"/>
      <c r="H494" s="51"/>
      <c r="I494" s="51"/>
      <c r="J494" s="51"/>
      <c r="K494" s="51"/>
    </row>
    <row r="495" ht="15.75" customHeight="1">
      <c r="E495" s="49"/>
      <c r="G495" s="50"/>
      <c r="H495" s="51"/>
      <c r="I495" s="51"/>
      <c r="J495" s="51"/>
      <c r="K495" s="51"/>
    </row>
    <row r="496" ht="15.75" customHeight="1">
      <c r="E496" s="49"/>
      <c r="G496" s="50"/>
      <c r="H496" s="51"/>
      <c r="I496" s="51"/>
      <c r="J496" s="51"/>
      <c r="K496" s="51"/>
    </row>
    <row r="497" ht="15.75" customHeight="1">
      <c r="E497" s="49"/>
      <c r="G497" s="50"/>
      <c r="H497" s="51"/>
      <c r="I497" s="51"/>
      <c r="J497" s="51"/>
      <c r="K497" s="51"/>
    </row>
    <row r="498" ht="15.75" customHeight="1">
      <c r="E498" s="49"/>
      <c r="G498" s="50"/>
      <c r="H498" s="51"/>
      <c r="I498" s="51"/>
      <c r="J498" s="51"/>
      <c r="K498" s="51"/>
    </row>
    <row r="499" ht="15.75" customHeight="1">
      <c r="E499" s="49"/>
      <c r="G499" s="50"/>
      <c r="H499" s="51"/>
      <c r="I499" s="51"/>
      <c r="J499" s="51"/>
      <c r="K499" s="51"/>
    </row>
    <row r="500" ht="15.75" customHeight="1">
      <c r="E500" s="49"/>
      <c r="G500" s="50"/>
      <c r="H500" s="51"/>
      <c r="I500" s="51"/>
      <c r="J500" s="51"/>
      <c r="K500" s="51"/>
    </row>
    <row r="501" ht="15.75" customHeight="1">
      <c r="E501" s="49"/>
      <c r="G501" s="50"/>
      <c r="H501" s="51"/>
      <c r="I501" s="51"/>
      <c r="J501" s="51"/>
      <c r="K501" s="51"/>
    </row>
    <row r="502" ht="15.75" customHeight="1">
      <c r="E502" s="49"/>
      <c r="G502" s="50"/>
      <c r="H502" s="51"/>
      <c r="I502" s="51"/>
      <c r="J502" s="51"/>
      <c r="K502" s="51"/>
    </row>
    <row r="503" ht="15.75" customHeight="1">
      <c r="E503" s="49"/>
      <c r="G503" s="50"/>
      <c r="H503" s="51"/>
      <c r="I503" s="51"/>
      <c r="J503" s="51"/>
      <c r="K503" s="51"/>
    </row>
    <row r="504" ht="15.75" customHeight="1">
      <c r="E504" s="49"/>
      <c r="G504" s="50"/>
      <c r="H504" s="51"/>
      <c r="I504" s="51"/>
      <c r="J504" s="51"/>
      <c r="K504" s="51"/>
    </row>
    <row r="505" ht="15.75" customHeight="1">
      <c r="E505" s="49"/>
      <c r="G505" s="50"/>
      <c r="H505" s="51"/>
      <c r="I505" s="51"/>
      <c r="J505" s="51"/>
      <c r="K505" s="51"/>
    </row>
    <row r="506" ht="15.75" customHeight="1">
      <c r="E506" s="49"/>
      <c r="G506" s="50"/>
      <c r="H506" s="51"/>
      <c r="I506" s="51"/>
      <c r="J506" s="51"/>
      <c r="K506" s="51"/>
    </row>
    <row r="507" ht="15.75" customHeight="1">
      <c r="E507" s="49"/>
      <c r="G507" s="50"/>
      <c r="H507" s="51"/>
      <c r="I507" s="51"/>
      <c r="J507" s="51"/>
      <c r="K507" s="51"/>
    </row>
    <row r="508" ht="15.75" customHeight="1">
      <c r="E508" s="49"/>
      <c r="G508" s="50"/>
      <c r="H508" s="51"/>
      <c r="I508" s="51"/>
      <c r="J508" s="51"/>
      <c r="K508" s="51"/>
    </row>
    <row r="509" ht="15.75" customHeight="1">
      <c r="E509" s="49"/>
      <c r="G509" s="50"/>
      <c r="H509" s="51"/>
      <c r="I509" s="51"/>
      <c r="J509" s="51"/>
      <c r="K509" s="51"/>
    </row>
    <row r="510" ht="15.75" customHeight="1">
      <c r="E510" s="49"/>
      <c r="G510" s="50"/>
      <c r="H510" s="51"/>
      <c r="I510" s="51"/>
      <c r="J510" s="51"/>
      <c r="K510" s="51"/>
    </row>
    <row r="511" ht="15.75" customHeight="1">
      <c r="E511" s="49"/>
      <c r="G511" s="50"/>
      <c r="H511" s="51"/>
      <c r="I511" s="51"/>
      <c r="J511" s="51"/>
      <c r="K511" s="51"/>
    </row>
    <row r="512" ht="15.75" customHeight="1">
      <c r="E512" s="49"/>
      <c r="G512" s="50"/>
      <c r="H512" s="51"/>
      <c r="I512" s="51"/>
      <c r="J512" s="51"/>
      <c r="K512" s="51"/>
    </row>
    <row r="513" ht="15.75" customHeight="1">
      <c r="E513" s="49"/>
      <c r="G513" s="50"/>
      <c r="H513" s="51"/>
      <c r="I513" s="51"/>
      <c r="J513" s="51"/>
      <c r="K513" s="51"/>
    </row>
    <row r="514" ht="15.75" customHeight="1">
      <c r="E514" s="49"/>
      <c r="G514" s="50"/>
      <c r="H514" s="51"/>
      <c r="I514" s="51"/>
      <c r="J514" s="51"/>
      <c r="K514" s="51"/>
    </row>
    <row r="515" ht="15.75" customHeight="1">
      <c r="E515" s="49"/>
      <c r="G515" s="50"/>
      <c r="H515" s="51"/>
      <c r="I515" s="51"/>
      <c r="J515" s="51"/>
      <c r="K515" s="51"/>
    </row>
    <row r="516" ht="15.75" customHeight="1">
      <c r="E516" s="49"/>
      <c r="G516" s="50"/>
      <c r="H516" s="51"/>
      <c r="I516" s="51"/>
      <c r="J516" s="51"/>
      <c r="K516" s="51"/>
    </row>
    <row r="517" ht="15.75" customHeight="1">
      <c r="E517" s="49"/>
      <c r="G517" s="50"/>
      <c r="H517" s="51"/>
      <c r="I517" s="51"/>
      <c r="J517" s="51"/>
      <c r="K517" s="51"/>
    </row>
    <row r="518" ht="15.75" customHeight="1">
      <c r="E518" s="49"/>
      <c r="G518" s="50"/>
      <c r="H518" s="51"/>
      <c r="I518" s="51"/>
      <c r="J518" s="51"/>
      <c r="K518" s="51"/>
    </row>
    <row r="519" ht="15.75" customHeight="1">
      <c r="E519" s="49"/>
      <c r="G519" s="50"/>
      <c r="H519" s="51"/>
      <c r="I519" s="51"/>
      <c r="J519" s="51"/>
      <c r="K519" s="51"/>
    </row>
    <row r="520" ht="15.75" customHeight="1">
      <c r="E520" s="49"/>
      <c r="G520" s="50"/>
      <c r="H520" s="51"/>
      <c r="I520" s="51"/>
      <c r="J520" s="51"/>
      <c r="K520" s="51"/>
    </row>
    <row r="521" ht="15.75" customHeight="1">
      <c r="E521" s="49"/>
      <c r="G521" s="50"/>
      <c r="H521" s="51"/>
      <c r="I521" s="51"/>
      <c r="J521" s="51"/>
      <c r="K521" s="51"/>
    </row>
    <row r="522" ht="15.75" customHeight="1">
      <c r="E522" s="49"/>
      <c r="G522" s="50"/>
      <c r="H522" s="51"/>
      <c r="I522" s="51"/>
      <c r="J522" s="51"/>
      <c r="K522" s="51"/>
    </row>
    <row r="523" ht="15.75" customHeight="1">
      <c r="E523" s="49"/>
      <c r="G523" s="50"/>
      <c r="H523" s="51"/>
      <c r="I523" s="51"/>
      <c r="J523" s="51"/>
      <c r="K523" s="51"/>
    </row>
    <row r="524" ht="15.75" customHeight="1">
      <c r="E524" s="49"/>
      <c r="G524" s="50"/>
      <c r="H524" s="51"/>
      <c r="I524" s="51"/>
      <c r="J524" s="51"/>
      <c r="K524" s="51"/>
    </row>
    <row r="525" ht="15.75" customHeight="1">
      <c r="E525" s="49"/>
      <c r="G525" s="50"/>
      <c r="H525" s="51"/>
      <c r="I525" s="51"/>
      <c r="J525" s="51"/>
      <c r="K525" s="51"/>
    </row>
    <row r="526" ht="15.75" customHeight="1">
      <c r="E526" s="49"/>
      <c r="G526" s="50"/>
      <c r="H526" s="51"/>
      <c r="I526" s="51"/>
      <c r="J526" s="51"/>
      <c r="K526" s="51"/>
    </row>
    <row r="527" ht="15.75" customHeight="1">
      <c r="E527" s="49"/>
      <c r="G527" s="50"/>
      <c r="H527" s="51"/>
      <c r="I527" s="51"/>
      <c r="J527" s="51"/>
      <c r="K527" s="51"/>
    </row>
    <row r="528" ht="15.75" customHeight="1">
      <c r="E528" s="49"/>
      <c r="G528" s="50"/>
      <c r="H528" s="51"/>
      <c r="I528" s="51"/>
      <c r="J528" s="51"/>
      <c r="K528" s="51"/>
    </row>
    <row r="529" ht="15.75" customHeight="1">
      <c r="E529" s="49"/>
      <c r="G529" s="50"/>
      <c r="H529" s="51"/>
      <c r="I529" s="51"/>
      <c r="J529" s="51"/>
      <c r="K529" s="51"/>
    </row>
    <row r="530" ht="15.75" customHeight="1">
      <c r="E530" s="49"/>
      <c r="G530" s="50"/>
      <c r="H530" s="51"/>
      <c r="I530" s="51"/>
      <c r="J530" s="51"/>
      <c r="K530" s="51"/>
    </row>
    <row r="531" ht="15.75" customHeight="1">
      <c r="E531" s="49"/>
      <c r="G531" s="50"/>
      <c r="H531" s="51"/>
      <c r="I531" s="51"/>
      <c r="J531" s="51"/>
      <c r="K531" s="51"/>
    </row>
    <row r="532" ht="15.75" customHeight="1">
      <c r="E532" s="49"/>
      <c r="G532" s="50"/>
      <c r="H532" s="51"/>
      <c r="I532" s="51"/>
      <c r="J532" s="51"/>
      <c r="K532" s="51"/>
    </row>
    <row r="533" ht="15.75" customHeight="1">
      <c r="E533" s="49"/>
      <c r="G533" s="50"/>
      <c r="H533" s="51"/>
      <c r="I533" s="51"/>
      <c r="J533" s="51"/>
      <c r="K533" s="51"/>
    </row>
    <row r="534" ht="15.75" customHeight="1">
      <c r="E534" s="49"/>
      <c r="G534" s="50"/>
      <c r="H534" s="51"/>
      <c r="I534" s="51"/>
      <c r="J534" s="51"/>
      <c r="K534" s="51"/>
    </row>
    <row r="535" ht="15.75" customHeight="1">
      <c r="E535" s="49"/>
      <c r="G535" s="50"/>
      <c r="H535" s="51"/>
      <c r="I535" s="51"/>
      <c r="J535" s="51"/>
      <c r="K535" s="51"/>
    </row>
    <row r="536" ht="15.75" customHeight="1">
      <c r="E536" s="49"/>
      <c r="G536" s="50"/>
      <c r="H536" s="51"/>
      <c r="I536" s="51"/>
      <c r="J536" s="51"/>
      <c r="K536" s="51"/>
    </row>
    <row r="537" ht="15.75" customHeight="1">
      <c r="E537" s="49"/>
      <c r="G537" s="50"/>
      <c r="H537" s="51"/>
      <c r="I537" s="51"/>
      <c r="J537" s="51"/>
      <c r="K537" s="51"/>
    </row>
    <row r="538" ht="15.75" customHeight="1">
      <c r="E538" s="49"/>
      <c r="G538" s="50"/>
      <c r="H538" s="51"/>
      <c r="I538" s="51"/>
      <c r="J538" s="51"/>
      <c r="K538" s="51"/>
    </row>
    <row r="539" ht="15.75" customHeight="1">
      <c r="E539" s="49"/>
      <c r="G539" s="50"/>
      <c r="H539" s="51"/>
      <c r="I539" s="51"/>
      <c r="J539" s="51"/>
      <c r="K539" s="51"/>
    </row>
    <row r="540" ht="15.75" customHeight="1">
      <c r="E540" s="49"/>
      <c r="G540" s="50"/>
      <c r="H540" s="51"/>
      <c r="I540" s="51"/>
      <c r="J540" s="51"/>
      <c r="K540" s="51"/>
    </row>
    <row r="541" ht="15.75" customHeight="1">
      <c r="E541" s="49"/>
      <c r="G541" s="50"/>
      <c r="H541" s="51"/>
      <c r="I541" s="51"/>
      <c r="J541" s="51"/>
      <c r="K541" s="51"/>
    </row>
    <row r="542" ht="15.75" customHeight="1">
      <c r="E542" s="49"/>
      <c r="G542" s="50"/>
      <c r="H542" s="51"/>
      <c r="I542" s="51"/>
      <c r="J542" s="51"/>
      <c r="K542" s="51"/>
    </row>
    <row r="543" ht="15.75" customHeight="1">
      <c r="E543" s="49"/>
      <c r="G543" s="50"/>
      <c r="H543" s="51"/>
      <c r="I543" s="51"/>
      <c r="J543" s="51"/>
      <c r="K543" s="51"/>
    </row>
    <row r="544" ht="15.75" customHeight="1">
      <c r="E544" s="49"/>
      <c r="G544" s="50"/>
      <c r="H544" s="51"/>
      <c r="I544" s="51"/>
      <c r="J544" s="51"/>
      <c r="K544" s="51"/>
    </row>
    <row r="545" ht="15.75" customHeight="1">
      <c r="E545" s="49"/>
      <c r="G545" s="50"/>
      <c r="H545" s="51"/>
      <c r="I545" s="51"/>
      <c r="J545" s="51"/>
      <c r="K545" s="51"/>
    </row>
    <row r="546" ht="15.75" customHeight="1">
      <c r="E546" s="49"/>
      <c r="G546" s="50"/>
      <c r="H546" s="51"/>
      <c r="I546" s="51"/>
      <c r="J546" s="51"/>
      <c r="K546" s="51"/>
    </row>
    <row r="547" ht="15.75" customHeight="1">
      <c r="E547" s="49"/>
      <c r="G547" s="50"/>
      <c r="H547" s="51"/>
      <c r="I547" s="51"/>
      <c r="J547" s="51"/>
      <c r="K547" s="51"/>
    </row>
    <row r="548" ht="15.75" customHeight="1">
      <c r="E548" s="49"/>
      <c r="G548" s="50"/>
      <c r="H548" s="51"/>
      <c r="I548" s="51"/>
      <c r="J548" s="51"/>
      <c r="K548" s="51"/>
    </row>
    <row r="549" ht="15.75" customHeight="1">
      <c r="E549" s="49"/>
      <c r="G549" s="50"/>
      <c r="H549" s="51"/>
      <c r="I549" s="51"/>
      <c r="J549" s="51"/>
      <c r="K549" s="51"/>
    </row>
    <row r="550" ht="15.75" customHeight="1">
      <c r="E550" s="49"/>
      <c r="G550" s="50"/>
      <c r="H550" s="51"/>
      <c r="I550" s="51"/>
      <c r="J550" s="51"/>
      <c r="K550" s="51"/>
    </row>
    <row r="551" ht="15.75" customHeight="1">
      <c r="E551" s="49"/>
      <c r="G551" s="50"/>
      <c r="H551" s="51"/>
      <c r="I551" s="51"/>
      <c r="J551" s="51"/>
      <c r="K551" s="51"/>
    </row>
    <row r="552" ht="15.75" customHeight="1">
      <c r="E552" s="49"/>
      <c r="G552" s="50"/>
      <c r="H552" s="51"/>
      <c r="I552" s="51"/>
      <c r="J552" s="51"/>
      <c r="K552" s="51"/>
    </row>
    <row r="553" ht="15.75" customHeight="1">
      <c r="E553" s="49"/>
      <c r="G553" s="50"/>
      <c r="H553" s="51"/>
      <c r="I553" s="51"/>
      <c r="J553" s="51"/>
      <c r="K553" s="51"/>
    </row>
    <row r="554" ht="15.75" customHeight="1">
      <c r="E554" s="49"/>
      <c r="G554" s="50"/>
      <c r="H554" s="51"/>
      <c r="I554" s="51"/>
      <c r="J554" s="51"/>
      <c r="K554" s="51"/>
    </row>
    <row r="555" ht="15.75" customHeight="1">
      <c r="E555" s="49"/>
      <c r="G555" s="50"/>
      <c r="H555" s="51"/>
      <c r="I555" s="51"/>
      <c r="J555" s="51"/>
      <c r="K555" s="51"/>
    </row>
    <row r="556" ht="15.75" customHeight="1">
      <c r="E556" s="49"/>
      <c r="G556" s="50"/>
      <c r="H556" s="51"/>
      <c r="I556" s="51"/>
      <c r="J556" s="51"/>
      <c r="K556" s="51"/>
    </row>
    <row r="557" ht="15.75" customHeight="1">
      <c r="E557" s="49"/>
      <c r="G557" s="50"/>
      <c r="H557" s="51"/>
      <c r="I557" s="51"/>
      <c r="J557" s="51"/>
      <c r="K557" s="51"/>
    </row>
    <row r="558" ht="15.75" customHeight="1">
      <c r="E558" s="49"/>
      <c r="G558" s="50"/>
      <c r="H558" s="51"/>
      <c r="I558" s="51"/>
      <c r="J558" s="51"/>
      <c r="K558" s="51"/>
    </row>
    <row r="559" ht="15.75" customHeight="1">
      <c r="E559" s="49"/>
      <c r="G559" s="50"/>
      <c r="H559" s="51"/>
      <c r="I559" s="51"/>
      <c r="J559" s="51"/>
      <c r="K559" s="51"/>
    </row>
    <row r="560" ht="15.75" customHeight="1">
      <c r="E560" s="49"/>
      <c r="G560" s="50"/>
      <c r="H560" s="51"/>
      <c r="I560" s="51"/>
      <c r="J560" s="51"/>
      <c r="K560" s="51"/>
    </row>
    <row r="561" ht="15.75" customHeight="1">
      <c r="E561" s="49"/>
      <c r="G561" s="50"/>
      <c r="H561" s="51"/>
      <c r="I561" s="51"/>
      <c r="J561" s="51"/>
      <c r="K561" s="51"/>
    </row>
    <row r="562" ht="15.75" customHeight="1">
      <c r="E562" s="49"/>
      <c r="G562" s="50"/>
      <c r="H562" s="51"/>
      <c r="I562" s="51"/>
      <c r="J562" s="51"/>
      <c r="K562" s="51"/>
    </row>
    <row r="563" ht="15.75" customHeight="1">
      <c r="E563" s="49"/>
      <c r="G563" s="50"/>
      <c r="H563" s="51"/>
      <c r="I563" s="51"/>
      <c r="J563" s="51"/>
      <c r="K563" s="51"/>
    </row>
    <row r="564" ht="15.75" customHeight="1">
      <c r="E564" s="49"/>
      <c r="G564" s="50"/>
      <c r="H564" s="51"/>
      <c r="I564" s="51"/>
      <c r="J564" s="51"/>
      <c r="K564" s="51"/>
    </row>
    <row r="565" ht="15.75" customHeight="1">
      <c r="E565" s="49"/>
      <c r="G565" s="50"/>
      <c r="H565" s="51"/>
      <c r="I565" s="51"/>
      <c r="J565" s="51"/>
      <c r="K565" s="51"/>
    </row>
    <row r="566" ht="15.75" customHeight="1">
      <c r="E566" s="49"/>
      <c r="G566" s="50"/>
      <c r="H566" s="51"/>
      <c r="I566" s="51"/>
      <c r="J566" s="51"/>
      <c r="K566" s="51"/>
    </row>
    <row r="567" ht="15.75" customHeight="1">
      <c r="E567" s="49"/>
      <c r="G567" s="50"/>
      <c r="H567" s="51"/>
      <c r="I567" s="51"/>
      <c r="J567" s="51"/>
      <c r="K567" s="51"/>
    </row>
    <row r="568" ht="15.75" customHeight="1">
      <c r="E568" s="49"/>
      <c r="G568" s="50"/>
      <c r="H568" s="51"/>
      <c r="I568" s="51"/>
      <c r="J568" s="51"/>
      <c r="K568" s="51"/>
    </row>
    <row r="569" ht="15.75" customHeight="1">
      <c r="E569" s="49"/>
      <c r="G569" s="50"/>
      <c r="H569" s="51"/>
      <c r="I569" s="51"/>
      <c r="J569" s="51"/>
      <c r="K569" s="51"/>
    </row>
    <row r="570" ht="15.75" customHeight="1">
      <c r="E570" s="49"/>
      <c r="G570" s="50"/>
      <c r="H570" s="51"/>
      <c r="I570" s="51"/>
      <c r="J570" s="51"/>
      <c r="K570" s="51"/>
    </row>
    <row r="571" ht="15.75" customHeight="1">
      <c r="E571" s="49"/>
      <c r="G571" s="50"/>
      <c r="H571" s="51"/>
      <c r="I571" s="51"/>
      <c r="J571" s="51"/>
      <c r="K571" s="51"/>
    </row>
    <row r="572" ht="15.75" customHeight="1">
      <c r="E572" s="49"/>
      <c r="G572" s="50"/>
      <c r="H572" s="51"/>
      <c r="I572" s="51"/>
      <c r="J572" s="51"/>
      <c r="K572" s="51"/>
    </row>
    <row r="573" ht="15.75" customHeight="1">
      <c r="E573" s="49"/>
      <c r="G573" s="50"/>
      <c r="H573" s="51"/>
      <c r="I573" s="51"/>
      <c r="J573" s="51"/>
      <c r="K573" s="51"/>
    </row>
    <row r="574" ht="15.75" customHeight="1">
      <c r="E574" s="49"/>
      <c r="G574" s="50"/>
      <c r="H574" s="51"/>
      <c r="I574" s="51"/>
      <c r="J574" s="51"/>
      <c r="K574" s="51"/>
    </row>
    <row r="575" ht="15.75" customHeight="1">
      <c r="E575" s="49"/>
      <c r="G575" s="50"/>
      <c r="H575" s="51"/>
      <c r="I575" s="51"/>
      <c r="J575" s="51"/>
      <c r="K575" s="51"/>
    </row>
    <row r="576" ht="15.75" customHeight="1">
      <c r="E576" s="49"/>
      <c r="G576" s="50"/>
      <c r="H576" s="51"/>
      <c r="I576" s="51"/>
      <c r="J576" s="51"/>
      <c r="K576" s="51"/>
    </row>
    <row r="577" ht="15.75" customHeight="1">
      <c r="E577" s="49"/>
      <c r="G577" s="50"/>
      <c r="H577" s="51"/>
      <c r="I577" s="51"/>
      <c r="J577" s="51"/>
      <c r="K577" s="51"/>
    </row>
    <row r="578" ht="15.75" customHeight="1">
      <c r="E578" s="49"/>
      <c r="G578" s="50"/>
      <c r="H578" s="51"/>
      <c r="I578" s="51"/>
      <c r="J578" s="51"/>
      <c r="K578" s="51"/>
    </row>
    <row r="579" ht="15.75" customHeight="1">
      <c r="E579" s="49"/>
      <c r="G579" s="50"/>
      <c r="H579" s="51"/>
      <c r="I579" s="51"/>
      <c r="J579" s="51"/>
      <c r="K579" s="51"/>
    </row>
    <row r="580" ht="15.75" customHeight="1">
      <c r="E580" s="49"/>
      <c r="G580" s="50"/>
      <c r="H580" s="51"/>
      <c r="I580" s="51"/>
      <c r="J580" s="51"/>
      <c r="K580" s="51"/>
    </row>
    <row r="581" ht="15.75" customHeight="1">
      <c r="E581" s="49"/>
      <c r="G581" s="50"/>
      <c r="H581" s="51"/>
      <c r="I581" s="51"/>
      <c r="J581" s="51"/>
      <c r="K581" s="51"/>
    </row>
    <row r="582" ht="15.75" customHeight="1">
      <c r="E582" s="49"/>
      <c r="G582" s="50"/>
      <c r="H582" s="51"/>
      <c r="I582" s="51"/>
      <c r="J582" s="51"/>
      <c r="K582" s="51"/>
    </row>
    <row r="583" ht="15.75" customHeight="1">
      <c r="E583" s="49"/>
      <c r="G583" s="50"/>
      <c r="H583" s="51"/>
      <c r="I583" s="51"/>
      <c r="J583" s="51"/>
      <c r="K583" s="51"/>
    </row>
    <row r="584" ht="15.75" customHeight="1">
      <c r="E584" s="49"/>
      <c r="G584" s="50"/>
      <c r="H584" s="51"/>
      <c r="I584" s="51"/>
      <c r="J584" s="51"/>
      <c r="K584" s="51"/>
    </row>
    <row r="585" ht="15.75" customHeight="1">
      <c r="E585" s="49"/>
      <c r="G585" s="50"/>
      <c r="H585" s="51"/>
      <c r="I585" s="51"/>
      <c r="J585" s="51"/>
      <c r="K585" s="51"/>
    </row>
    <row r="586" ht="15.75" customHeight="1">
      <c r="E586" s="49"/>
      <c r="G586" s="50"/>
      <c r="H586" s="51"/>
      <c r="I586" s="51"/>
      <c r="J586" s="51"/>
      <c r="K586" s="51"/>
    </row>
    <row r="587" ht="15.75" customHeight="1">
      <c r="E587" s="49"/>
      <c r="G587" s="50"/>
      <c r="H587" s="51"/>
      <c r="I587" s="51"/>
      <c r="J587" s="51"/>
      <c r="K587" s="51"/>
    </row>
    <row r="588" ht="15.75" customHeight="1">
      <c r="E588" s="49"/>
      <c r="G588" s="50"/>
      <c r="H588" s="51"/>
      <c r="I588" s="51"/>
      <c r="J588" s="51"/>
      <c r="K588" s="51"/>
    </row>
    <row r="589" ht="15.75" customHeight="1">
      <c r="E589" s="49"/>
      <c r="G589" s="50"/>
      <c r="H589" s="51"/>
      <c r="I589" s="51"/>
      <c r="J589" s="51"/>
      <c r="K589" s="51"/>
    </row>
    <row r="590" ht="15.75" customHeight="1">
      <c r="E590" s="49"/>
      <c r="G590" s="50"/>
      <c r="H590" s="51"/>
      <c r="I590" s="51"/>
      <c r="J590" s="51"/>
      <c r="K590" s="51"/>
    </row>
    <row r="591" ht="15.75" customHeight="1">
      <c r="E591" s="49"/>
      <c r="G591" s="50"/>
      <c r="H591" s="51"/>
      <c r="I591" s="51"/>
      <c r="J591" s="51"/>
      <c r="K591" s="51"/>
    </row>
    <row r="592" ht="15.75" customHeight="1">
      <c r="E592" s="49"/>
      <c r="G592" s="50"/>
      <c r="H592" s="51"/>
      <c r="I592" s="51"/>
      <c r="J592" s="51"/>
      <c r="K592" s="51"/>
    </row>
    <row r="593" ht="15.75" customHeight="1">
      <c r="E593" s="49"/>
      <c r="G593" s="50"/>
      <c r="H593" s="51"/>
      <c r="I593" s="51"/>
      <c r="J593" s="51"/>
      <c r="K593" s="51"/>
    </row>
    <row r="594" ht="15.75" customHeight="1">
      <c r="E594" s="49"/>
      <c r="G594" s="50"/>
      <c r="H594" s="51"/>
      <c r="I594" s="51"/>
      <c r="J594" s="51"/>
      <c r="K594" s="51"/>
    </row>
    <row r="595" ht="15.75" customHeight="1">
      <c r="E595" s="49"/>
      <c r="G595" s="50"/>
      <c r="H595" s="51"/>
      <c r="I595" s="51"/>
      <c r="J595" s="51"/>
      <c r="K595" s="51"/>
    </row>
    <row r="596" ht="15.75" customHeight="1">
      <c r="E596" s="49"/>
      <c r="G596" s="50"/>
      <c r="H596" s="51"/>
      <c r="I596" s="51"/>
      <c r="J596" s="51"/>
      <c r="K596" s="51"/>
    </row>
    <row r="597" ht="15.75" customHeight="1">
      <c r="E597" s="49"/>
      <c r="G597" s="50"/>
      <c r="H597" s="51"/>
      <c r="I597" s="51"/>
      <c r="J597" s="51"/>
      <c r="K597" s="51"/>
    </row>
    <row r="598" ht="15.75" customHeight="1">
      <c r="E598" s="49"/>
      <c r="G598" s="50"/>
      <c r="H598" s="51"/>
      <c r="I598" s="51"/>
      <c r="J598" s="51"/>
      <c r="K598" s="51"/>
    </row>
    <row r="599" ht="15.75" customHeight="1">
      <c r="E599" s="49"/>
      <c r="G599" s="50"/>
      <c r="H599" s="51"/>
      <c r="I599" s="51"/>
      <c r="J599" s="51"/>
      <c r="K599" s="51"/>
    </row>
    <row r="600" ht="15.75" customHeight="1">
      <c r="E600" s="49"/>
      <c r="G600" s="50"/>
      <c r="H600" s="51"/>
      <c r="I600" s="51"/>
      <c r="J600" s="51"/>
      <c r="K600" s="51"/>
    </row>
    <row r="601" ht="15.75" customHeight="1">
      <c r="E601" s="49"/>
      <c r="G601" s="50"/>
      <c r="H601" s="51"/>
      <c r="I601" s="51"/>
      <c r="J601" s="51"/>
      <c r="K601" s="51"/>
    </row>
    <row r="602" ht="15.75" customHeight="1">
      <c r="E602" s="49"/>
      <c r="G602" s="50"/>
      <c r="H602" s="51"/>
      <c r="I602" s="51"/>
      <c r="J602" s="51"/>
      <c r="K602" s="51"/>
    </row>
    <row r="603" ht="15.75" customHeight="1">
      <c r="E603" s="49"/>
      <c r="G603" s="50"/>
      <c r="H603" s="51"/>
      <c r="I603" s="51"/>
      <c r="J603" s="51"/>
      <c r="K603" s="51"/>
    </row>
    <row r="604" ht="15.75" customHeight="1">
      <c r="E604" s="49"/>
      <c r="G604" s="50"/>
      <c r="H604" s="51"/>
      <c r="I604" s="51"/>
      <c r="J604" s="51"/>
      <c r="K604" s="51"/>
    </row>
    <row r="605" ht="15.75" customHeight="1">
      <c r="E605" s="49"/>
      <c r="G605" s="50"/>
      <c r="H605" s="51"/>
      <c r="I605" s="51"/>
      <c r="J605" s="51"/>
      <c r="K605" s="51"/>
    </row>
    <row r="606" ht="15.75" customHeight="1">
      <c r="E606" s="49"/>
      <c r="G606" s="50"/>
      <c r="H606" s="51"/>
      <c r="I606" s="51"/>
      <c r="J606" s="51"/>
      <c r="K606" s="51"/>
    </row>
    <row r="607" ht="15.75" customHeight="1">
      <c r="E607" s="49"/>
      <c r="G607" s="50"/>
      <c r="H607" s="51"/>
      <c r="I607" s="51"/>
      <c r="J607" s="51"/>
      <c r="K607" s="51"/>
    </row>
    <row r="608" ht="15.75" customHeight="1">
      <c r="E608" s="49"/>
      <c r="G608" s="50"/>
      <c r="H608" s="51"/>
      <c r="I608" s="51"/>
      <c r="J608" s="51"/>
      <c r="K608" s="51"/>
    </row>
    <row r="609" ht="15.75" customHeight="1">
      <c r="E609" s="49"/>
      <c r="G609" s="50"/>
      <c r="H609" s="51"/>
      <c r="I609" s="51"/>
      <c r="J609" s="51"/>
      <c r="K609" s="51"/>
    </row>
    <row r="610" ht="15.75" customHeight="1">
      <c r="E610" s="49"/>
      <c r="G610" s="50"/>
      <c r="H610" s="51"/>
      <c r="I610" s="51"/>
      <c r="J610" s="51"/>
      <c r="K610" s="51"/>
    </row>
    <row r="611" ht="15.75" customHeight="1">
      <c r="E611" s="49"/>
      <c r="G611" s="50"/>
      <c r="H611" s="51"/>
      <c r="I611" s="51"/>
      <c r="J611" s="51"/>
      <c r="K611" s="51"/>
    </row>
    <row r="612" ht="15.75" customHeight="1">
      <c r="E612" s="49"/>
      <c r="G612" s="50"/>
      <c r="H612" s="51"/>
      <c r="I612" s="51"/>
      <c r="J612" s="51"/>
      <c r="K612" s="51"/>
    </row>
    <row r="613" ht="15.75" customHeight="1">
      <c r="E613" s="49"/>
      <c r="G613" s="50"/>
      <c r="H613" s="51"/>
      <c r="I613" s="51"/>
      <c r="J613" s="51"/>
      <c r="K613" s="51"/>
    </row>
    <row r="614" ht="15.75" customHeight="1">
      <c r="E614" s="49"/>
      <c r="G614" s="50"/>
      <c r="H614" s="51"/>
      <c r="I614" s="51"/>
      <c r="J614" s="51"/>
      <c r="K614" s="51"/>
    </row>
    <row r="615" ht="15.75" customHeight="1">
      <c r="E615" s="49"/>
      <c r="G615" s="50"/>
      <c r="H615" s="51"/>
      <c r="I615" s="51"/>
      <c r="J615" s="51"/>
      <c r="K615" s="51"/>
    </row>
    <row r="616" ht="15.75" customHeight="1">
      <c r="E616" s="49"/>
      <c r="G616" s="50"/>
      <c r="H616" s="51"/>
      <c r="I616" s="51"/>
      <c r="J616" s="51"/>
      <c r="K616" s="51"/>
    </row>
    <row r="617" ht="15.75" customHeight="1">
      <c r="E617" s="49"/>
      <c r="G617" s="50"/>
      <c r="H617" s="51"/>
      <c r="I617" s="51"/>
      <c r="J617" s="51"/>
      <c r="K617" s="51"/>
    </row>
    <row r="618" ht="15.75" customHeight="1">
      <c r="E618" s="49"/>
      <c r="G618" s="50"/>
      <c r="H618" s="51"/>
      <c r="I618" s="51"/>
      <c r="J618" s="51"/>
      <c r="K618" s="51"/>
    </row>
    <row r="619" ht="15.75" customHeight="1">
      <c r="E619" s="49"/>
      <c r="G619" s="50"/>
      <c r="H619" s="51"/>
      <c r="I619" s="51"/>
      <c r="J619" s="51"/>
      <c r="K619" s="51"/>
    </row>
    <row r="620" ht="15.75" customHeight="1">
      <c r="E620" s="49"/>
      <c r="G620" s="50"/>
      <c r="H620" s="51"/>
      <c r="I620" s="51"/>
      <c r="J620" s="51"/>
      <c r="K620" s="51"/>
    </row>
    <row r="621" ht="15.75" customHeight="1">
      <c r="E621" s="49"/>
      <c r="G621" s="50"/>
      <c r="H621" s="51"/>
      <c r="I621" s="51"/>
      <c r="J621" s="51"/>
      <c r="K621" s="51"/>
    </row>
    <row r="622" ht="15.75" customHeight="1">
      <c r="E622" s="49"/>
      <c r="G622" s="50"/>
      <c r="H622" s="51"/>
      <c r="I622" s="51"/>
      <c r="J622" s="51"/>
      <c r="K622" s="51"/>
    </row>
    <row r="623" ht="15.75" customHeight="1">
      <c r="E623" s="49"/>
      <c r="G623" s="50"/>
      <c r="H623" s="51"/>
      <c r="I623" s="51"/>
      <c r="J623" s="51"/>
      <c r="K623" s="51"/>
    </row>
    <row r="624" ht="15.75" customHeight="1">
      <c r="E624" s="49"/>
      <c r="G624" s="50"/>
      <c r="H624" s="51"/>
      <c r="I624" s="51"/>
      <c r="J624" s="51"/>
      <c r="K624" s="51"/>
    </row>
    <row r="625" ht="15.75" customHeight="1">
      <c r="E625" s="49"/>
      <c r="G625" s="50"/>
      <c r="H625" s="51"/>
      <c r="I625" s="51"/>
      <c r="J625" s="51"/>
      <c r="K625" s="51"/>
    </row>
    <row r="626" ht="15.75" customHeight="1">
      <c r="E626" s="49"/>
      <c r="G626" s="50"/>
      <c r="H626" s="51"/>
      <c r="I626" s="51"/>
      <c r="J626" s="51"/>
      <c r="K626" s="51"/>
    </row>
    <row r="627" ht="15.75" customHeight="1">
      <c r="E627" s="49"/>
      <c r="G627" s="50"/>
      <c r="H627" s="51"/>
      <c r="I627" s="51"/>
      <c r="J627" s="51"/>
      <c r="K627" s="51"/>
    </row>
    <row r="628" ht="15.75" customHeight="1">
      <c r="E628" s="49"/>
      <c r="G628" s="50"/>
      <c r="H628" s="51"/>
      <c r="I628" s="51"/>
      <c r="J628" s="51"/>
      <c r="K628" s="51"/>
    </row>
    <row r="629" ht="15.75" customHeight="1">
      <c r="E629" s="49"/>
      <c r="G629" s="50"/>
      <c r="H629" s="51"/>
      <c r="I629" s="51"/>
      <c r="J629" s="51"/>
      <c r="K629" s="51"/>
    </row>
    <row r="630" ht="15.75" customHeight="1">
      <c r="E630" s="49"/>
      <c r="G630" s="50"/>
      <c r="H630" s="51"/>
      <c r="I630" s="51"/>
      <c r="J630" s="51"/>
      <c r="K630" s="51"/>
    </row>
    <row r="631" ht="15.75" customHeight="1">
      <c r="E631" s="49"/>
      <c r="G631" s="50"/>
      <c r="H631" s="51"/>
      <c r="I631" s="51"/>
      <c r="J631" s="51"/>
      <c r="K631" s="51"/>
    </row>
    <row r="632" ht="15.75" customHeight="1">
      <c r="E632" s="49"/>
      <c r="G632" s="50"/>
      <c r="H632" s="51"/>
      <c r="I632" s="51"/>
      <c r="J632" s="51"/>
      <c r="K632" s="51"/>
    </row>
    <row r="633" ht="15.75" customHeight="1">
      <c r="E633" s="49"/>
      <c r="G633" s="50"/>
      <c r="H633" s="51"/>
      <c r="I633" s="51"/>
      <c r="J633" s="51"/>
      <c r="K633" s="51"/>
    </row>
    <row r="634" ht="15.75" customHeight="1">
      <c r="E634" s="49"/>
      <c r="G634" s="50"/>
      <c r="H634" s="51"/>
      <c r="I634" s="51"/>
      <c r="J634" s="51"/>
      <c r="K634" s="51"/>
    </row>
    <row r="635" ht="15.75" customHeight="1">
      <c r="E635" s="49"/>
      <c r="G635" s="50"/>
      <c r="H635" s="51"/>
      <c r="I635" s="51"/>
      <c r="J635" s="51"/>
      <c r="K635" s="51"/>
    </row>
    <row r="636" ht="15.75" customHeight="1">
      <c r="E636" s="49"/>
      <c r="G636" s="50"/>
      <c r="H636" s="51"/>
      <c r="I636" s="51"/>
      <c r="J636" s="51"/>
      <c r="K636" s="51"/>
    </row>
    <row r="637" ht="15.75" customHeight="1">
      <c r="E637" s="49"/>
      <c r="G637" s="50"/>
      <c r="H637" s="51"/>
      <c r="I637" s="51"/>
      <c r="J637" s="51"/>
      <c r="K637" s="51"/>
    </row>
    <row r="638" ht="15.75" customHeight="1">
      <c r="E638" s="49"/>
      <c r="G638" s="50"/>
      <c r="H638" s="51"/>
      <c r="I638" s="51"/>
      <c r="J638" s="51"/>
      <c r="K638" s="51"/>
    </row>
    <row r="639" ht="15.75" customHeight="1">
      <c r="E639" s="49"/>
      <c r="G639" s="50"/>
      <c r="H639" s="51"/>
      <c r="I639" s="51"/>
      <c r="J639" s="51"/>
      <c r="K639" s="51"/>
    </row>
    <row r="640" ht="15.75" customHeight="1">
      <c r="E640" s="49"/>
      <c r="G640" s="50"/>
      <c r="H640" s="51"/>
      <c r="I640" s="51"/>
      <c r="J640" s="51"/>
      <c r="K640" s="51"/>
    </row>
    <row r="641" ht="15.75" customHeight="1">
      <c r="E641" s="49"/>
      <c r="G641" s="50"/>
      <c r="H641" s="51"/>
      <c r="I641" s="51"/>
      <c r="J641" s="51"/>
      <c r="K641" s="51"/>
    </row>
    <row r="642" ht="15.75" customHeight="1">
      <c r="E642" s="49"/>
      <c r="G642" s="50"/>
      <c r="H642" s="51"/>
      <c r="I642" s="51"/>
      <c r="J642" s="51"/>
      <c r="K642" s="51"/>
    </row>
    <row r="643" ht="15.75" customHeight="1">
      <c r="E643" s="49"/>
      <c r="G643" s="50"/>
      <c r="H643" s="51"/>
      <c r="I643" s="51"/>
      <c r="J643" s="51"/>
      <c r="K643" s="51"/>
    </row>
    <row r="644" ht="15.75" customHeight="1">
      <c r="E644" s="49"/>
      <c r="G644" s="50"/>
      <c r="H644" s="51"/>
      <c r="I644" s="51"/>
      <c r="J644" s="51"/>
      <c r="K644" s="51"/>
    </row>
    <row r="645" ht="15.75" customHeight="1">
      <c r="E645" s="49"/>
      <c r="G645" s="50"/>
      <c r="H645" s="51"/>
      <c r="I645" s="51"/>
      <c r="J645" s="51"/>
      <c r="K645" s="51"/>
    </row>
    <row r="646" ht="15.75" customHeight="1">
      <c r="E646" s="49"/>
      <c r="G646" s="50"/>
      <c r="H646" s="51"/>
      <c r="I646" s="51"/>
      <c r="J646" s="51"/>
      <c r="K646" s="51"/>
    </row>
    <row r="647" ht="15.75" customHeight="1">
      <c r="E647" s="49"/>
      <c r="G647" s="50"/>
      <c r="H647" s="51"/>
      <c r="I647" s="51"/>
      <c r="J647" s="51"/>
      <c r="K647" s="51"/>
    </row>
    <row r="648" ht="15.75" customHeight="1">
      <c r="E648" s="49"/>
      <c r="G648" s="50"/>
      <c r="H648" s="51"/>
      <c r="I648" s="51"/>
      <c r="J648" s="51"/>
      <c r="K648" s="51"/>
    </row>
    <row r="649" ht="15.75" customHeight="1">
      <c r="E649" s="49"/>
      <c r="G649" s="50"/>
      <c r="H649" s="51"/>
      <c r="I649" s="51"/>
      <c r="J649" s="51"/>
      <c r="K649" s="51"/>
    </row>
    <row r="650" ht="15.75" customHeight="1">
      <c r="E650" s="49"/>
      <c r="G650" s="50"/>
      <c r="H650" s="51"/>
      <c r="I650" s="51"/>
      <c r="J650" s="51"/>
      <c r="K650" s="51"/>
    </row>
    <row r="651" ht="15.75" customHeight="1">
      <c r="E651" s="49"/>
      <c r="G651" s="50"/>
      <c r="H651" s="51"/>
      <c r="I651" s="51"/>
      <c r="J651" s="51"/>
      <c r="K651" s="51"/>
    </row>
    <row r="652" ht="15.75" customHeight="1">
      <c r="E652" s="49"/>
      <c r="G652" s="50"/>
      <c r="H652" s="51"/>
      <c r="I652" s="51"/>
      <c r="J652" s="51"/>
      <c r="K652" s="51"/>
    </row>
    <row r="653" ht="15.75" customHeight="1">
      <c r="E653" s="49"/>
      <c r="G653" s="50"/>
      <c r="H653" s="51"/>
      <c r="I653" s="51"/>
      <c r="J653" s="51"/>
      <c r="K653" s="51"/>
    </row>
    <row r="654" ht="15.75" customHeight="1">
      <c r="E654" s="49"/>
      <c r="G654" s="50"/>
      <c r="H654" s="51"/>
      <c r="I654" s="51"/>
      <c r="J654" s="51"/>
      <c r="K654" s="51"/>
    </row>
    <row r="655" ht="15.75" customHeight="1">
      <c r="E655" s="49"/>
      <c r="G655" s="50"/>
      <c r="H655" s="51"/>
      <c r="I655" s="51"/>
      <c r="J655" s="51"/>
      <c r="K655" s="51"/>
    </row>
    <row r="656" ht="15.75" customHeight="1">
      <c r="E656" s="49"/>
      <c r="G656" s="50"/>
      <c r="H656" s="51"/>
      <c r="I656" s="51"/>
      <c r="J656" s="51"/>
      <c r="K656" s="51"/>
    </row>
    <row r="657" ht="15.75" customHeight="1">
      <c r="E657" s="49"/>
      <c r="G657" s="50"/>
      <c r="H657" s="51"/>
      <c r="I657" s="51"/>
      <c r="J657" s="51"/>
      <c r="K657" s="51"/>
    </row>
    <row r="658" ht="15.75" customHeight="1">
      <c r="E658" s="49"/>
      <c r="G658" s="50"/>
      <c r="H658" s="51"/>
      <c r="I658" s="51"/>
      <c r="J658" s="51"/>
      <c r="K658" s="51"/>
    </row>
    <row r="659" ht="15.75" customHeight="1">
      <c r="E659" s="49"/>
      <c r="G659" s="50"/>
      <c r="H659" s="51"/>
      <c r="I659" s="51"/>
      <c r="J659" s="51"/>
      <c r="K659" s="51"/>
    </row>
    <row r="660" ht="15.75" customHeight="1">
      <c r="E660" s="49"/>
      <c r="G660" s="50"/>
      <c r="H660" s="51"/>
      <c r="I660" s="51"/>
      <c r="J660" s="51"/>
      <c r="K660" s="51"/>
    </row>
    <row r="661" ht="15.75" customHeight="1">
      <c r="E661" s="49"/>
      <c r="G661" s="50"/>
      <c r="H661" s="51"/>
      <c r="I661" s="51"/>
      <c r="J661" s="51"/>
      <c r="K661" s="51"/>
    </row>
    <row r="662" ht="15.75" customHeight="1">
      <c r="E662" s="49"/>
      <c r="G662" s="50"/>
      <c r="H662" s="51"/>
      <c r="I662" s="51"/>
      <c r="J662" s="51"/>
      <c r="K662" s="51"/>
    </row>
    <row r="663" ht="15.75" customHeight="1">
      <c r="E663" s="49"/>
      <c r="G663" s="50"/>
      <c r="H663" s="51"/>
      <c r="I663" s="51"/>
      <c r="J663" s="51"/>
      <c r="K663" s="51"/>
    </row>
    <row r="664" ht="15.75" customHeight="1">
      <c r="E664" s="49"/>
      <c r="G664" s="50"/>
      <c r="H664" s="51"/>
      <c r="I664" s="51"/>
      <c r="J664" s="51"/>
      <c r="K664" s="51"/>
    </row>
    <row r="665" ht="15.75" customHeight="1">
      <c r="E665" s="49"/>
      <c r="G665" s="50"/>
      <c r="H665" s="51"/>
      <c r="I665" s="51"/>
      <c r="J665" s="51"/>
      <c r="K665" s="51"/>
    </row>
    <row r="666" ht="15.75" customHeight="1">
      <c r="E666" s="49"/>
      <c r="G666" s="50"/>
      <c r="H666" s="51"/>
      <c r="I666" s="51"/>
      <c r="J666" s="51"/>
      <c r="K666" s="51"/>
    </row>
    <row r="667" ht="15.75" customHeight="1">
      <c r="E667" s="49"/>
      <c r="G667" s="50"/>
      <c r="H667" s="51"/>
      <c r="I667" s="51"/>
      <c r="J667" s="51"/>
      <c r="K667" s="51"/>
    </row>
    <row r="668" ht="15.75" customHeight="1">
      <c r="E668" s="49"/>
      <c r="G668" s="50"/>
      <c r="H668" s="51"/>
      <c r="I668" s="51"/>
      <c r="J668" s="51"/>
      <c r="K668" s="51"/>
    </row>
    <row r="669" ht="15.75" customHeight="1">
      <c r="E669" s="49"/>
      <c r="G669" s="50"/>
      <c r="H669" s="51"/>
      <c r="I669" s="51"/>
      <c r="J669" s="51"/>
      <c r="K669" s="51"/>
    </row>
    <row r="670" ht="15.75" customHeight="1">
      <c r="E670" s="49"/>
      <c r="G670" s="50"/>
      <c r="H670" s="51"/>
      <c r="I670" s="51"/>
      <c r="J670" s="51"/>
      <c r="K670" s="51"/>
    </row>
    <row r="671" ht="15.75" customHeight="1">
      <c r="E671" s="49"/>
      <c r="G671" s="50"/>
      <c r="H671" s="51"/>
      <c r="I671" s="51"/>
      <c r="J671" s="51"/>
      <c r="K671" s="51"/>
    </row>
    <row r="672" ht="15.75" customHeight="1">
      <c r="E672" s="49"/>
      <c r="G672" s="50"/>
      <c r="H672" s="51"/>
      <c r="I672" s="51"/>
      <c r="J672" s="51"/>
      <c r="K672" s="51"/>
    </row>
    <row r="673" ht="15.75" customHeight="1">
      <c r="E673" s="49"/>
      <c r="G673" s="50"/>
      <c r="H673" s="51"/>
      <c r="I673" s="51"/>
      <c r="J673" s="51"/>
      <c r="K673" s="51"/>
    </row>
    <row r="674" ht="15.75" customHeight="1">
      <c r="E674" s="49"/>
      <c r="G674" s="50"/>
      <c r="H674" s="51"/>
      <c r="I674" s="51"/>
      <c r="J674" s="51"/>
      <c r="K674" s="51"/>
    </row>
    <row r="675" ht="15.75" customHeight="1">
      <c r="E675" s="49"/>
      <c r="G675" s="50"/>
      <c r="H675" s="51"/>
      <c r="I675" s="51"/>
      <c r="J675" s="51"/>
      <c r="K675" s="51"/>
    </row>
    <row r="676" ht="15.75" customHeight="1">
      <c r="E676" s="49"/>
      <c r="G676" s="50"/>
      <c r="H676" s="51"/>
      <c r="I676" s="51"/>
      <c r="J676" s="51"/>
      <c r="K676" s="51"/>
    </row>
    <row r="677" ht="15.75" customHeight="1">
      <c r="E677" s="49"/>
      <c r="G677" s="50"/>
      <c r="H677" s="51"/>
      <c r="I677" s="51"/>
      <c r="J677" s="51"/>
      <c r="K677" s="51"/>
    </row>
    <row r="678" ht="15.75" customHeight="1">
      <c r="E678" s="49"/>
      <c r="G678" s="50"/>
      <c r="H678" s="51"/>
      <c r="I678" s="51"/>
      <c r="J678" s="51"/>
      <c r="K678" s="51"/>
    </row>
    <row r="679" ht="15.75" customHeight="1">
      <c r="E679" s="49"/>
      <c r="G679" s="50"/>
      <c r="H679" s="51"/>
      <c r="I679" s="51"/>
      <c r="J679" s="51"/>
      <c r="K679" s="51"/>
    </row>
    <row r="680" ht="15.75" customHeight="1">
      <c r="E680" s="49"/>
      <c r="G680" s="50"/>
      <c r="H680" s="51"/>
      <c r="I680" s="51"/>
      <c r="J680" s="51"/>
      <c r="K680" s="51"/>
    </row>
    <row r="681" ht="15.75" customHeight="1">
      <c r="E681" s="49"/>
      <c r="G681" s="50"/>
      <c r="H681" s="51"/>
      <c r="I681" s="51"/>
      <c r="J681" s="51"/>
      <c r="K681" s="51"/>
    </row>
    <row r="682" ht="15.75" customHeight="1">
      <c r="E682" s="49"/>
      <c r="G682" s="50"/>
      <c r="H682" s="51"/>
      <c r="I682" s="51"/>
      <c r="J682" s="51"/>
      <c r="K682" s="51"/>
    </row>
    <row r="683" ht="15.75" customHeight="1">
      <c r="E683" s="49"/>
      <c r="G683" s="50"/>
      <c r="H683" s="51"/>
      <c r="I683" s="51"/>
      <c r="J683" s="51"/>
      <c r="K683" s="51"/>
    </row>
    <row r="684" ht="15.75" customHeight="1">
      <c r="E684" s="49"/>
      <c r="G684" s="50"/>
      <c r="H684" s="51"/>
      <c r="I684" s="51"/>
      <c r="J684" s="51"/>
      <c r="K684" s="51"/>
    </row>
    <row r="685" ht="15.75" customHeight="1">
      <c r="E685" s="49"/>
      <c r="G685" s="50"/>
      <c r="H685" s="51"/>
      <c r="I685" s="51"/>
      <c r="J685" s="51"/>
      <c r="K685" s="51"/>
    </row>
    <row r="686" ht="15.75" customHeight="1">
      <c r="E686" s="49"/>
      <c r="G686" s="50"/>
      <c r="H686" s="51"/>
      <c r="I686" s="51"/>
      <c r="J686" s="51"/>
      <c r="K686" s="51"/>
    </row>
    <row r="687" ht="15.75" customHeight="1">
      <c r="E687" s="49"/>
      <c r="G687" s="50"/>
      <c r="H687" s="51"/>
      <c r="I687" s="51"/>
      <c r="J687" s="51"/>
      <c r="K687" s="51"/>
    </row>
    <row r="688" ht="15.75" customHeight="1">
      <c r="E688" s="49"/>
      <c r="G688" s="50"/>
      <c r="H688" s="51"/>
      <c r="I688" s="51"/>
      <c r="J688" s="51"/>
      <c r="K688" s="51"/>
    </row>
    <row r="689" ht="15.75" customHeight="1">
      <c r="E689" s="49"/>
      <c r="G689" s="50"/>
      <c r="H689" s="51"/>
      <c r="I689" s="51"/>
      <c r="J689" s="51"/>
      <c r="K689" s="51"/>
    </row>
    <row r="690" ht="15.75" customHeight="1">
      <c r="E690" s="49"/>
      <c r="G690" s="50"/>
      <c r="H690" s="51"/>
      <c r="I690" s="51"/>
      <c r="J690" s="51"/>
      <c r="K690" s="51"/>
    </row>
    <row r="691" ht="15.75" customHeight="1">
      <c r="E691" s="49"/>
      <c r="G691" s="50"/>
      <c r="H691" s="51"/>
      <c r="I691" s="51"/>
      <c r="J691" s="51"/>
      <c r="K691" s="51"/>
    </row>
    <row r="692" ht="15.75" customHeight="1">
      <c r="E692" s="49"/>
      <c r="G692" s="50"/>
      <c r="H692" s="51"/>
      <c r="I692" s="51"/>
      <c r="J692" s="51"/>
      <c r="K692" s="51"/>
    </row>
    <row r="693" ht="15.75" customHeight="1">
      <c r="E693" s="49"/>
      <c r="G693" s="50"/>
      <c r="H693" s="51"/>
      <c r="I693" s="51"/>
      <c r="J693" s="51"/>
      <c r="K693" s="51"/>
    </row>
    <row r="694" ht="15.75" customHeight="1">
      <c r="E694" s="49"/>
      <c r="G694" s="50"/>
      <c r="H694" s="51"/>
      <c r="I694" s="51"/>
      <c r="J694" s="51"/>
      <c r="K694" s="51"/>
    </row>
    <row r="695" ht="15.75" customHeight="1">
      <c r="E695" s="49"/>
      <c r="G695" s="50"/>
      <c r="H695" s="51"/>
      <c r="I695" s="51"/>
      <c r="J695" s="51"/>
      <c r="K695" s="51"/>
    </row>
    <row r="696" ht="15.75" customHeight="1">
      <c r="E696" s="49"/>
      <c r="G696" s="50"/>
      <c r="H696" s="51"/>
      <c r="I696" s="51"/>
      <c r="J696" s="51"/>
      <c r="K696" s="51"/>
    </row>
    <row r="697" ht="15.75" customHeight="1">
      <c r="E697" s="49"/>
      <c r="G697" s="50"/>
      <c r="H697" s="51"/>
      <c r="I697" s="51"/>
      <c r="J697" s="51"/>
      <c r="K697" s="51"/>
    </row>
    <row r="698" ht="15.75" customHeight="1">
      <c r="E698" s="49"/>
      <c r="G698" s="50"/>
      <c r="H698" s="51"/>
      <c r="I698" s="51"/>
      <c r="J698" s="51"/>
      <c r="K698" s="51"/>
    </row>
    <row r="699" ht="15.75" customHeight="1">
      <c r="E699" s="49"/>
      <c r="G699" s="50"/>
      <c r="H699" s="51"/>
      <c r="I699" s="51"/>
      <c r="J699" s="51"/>
      <c r="K699" s="51"/>
    </row>
    <row r="700" ht="15.75" customHeight="1">
      <c r="E700" s="49"/>
      <c r="G700" s="50"/>
      <c r="H700" s="51"/>
      <c r="I700" s="51"/>
      <c r="J700" s="51"/>
      <c r="K700" s="51"/>
    </row>
    <row r="701" ht="15.75" customHeight="1">
      <c r="E701" s="49"/>
      <c r="G701" s="50"/>
      <c r="H701" s="51"/>
      <c r="I701" s="51"/>
      <c r="J701" s="51"/>
      <c r="K701" s="51"/>
    </row>
    <row r="702" ht="15.75" customHeight="1">
      <c r="E702" s="49"/>
      <c r="G702" s="50"/>
      <c r="H702" s="51"/>
      <c r="I702" s="51"/>
      <c r="J702" s="51"/>
      <c r="K702" s="51"/>
    </row>
    <row r="703" ht="15.75" customHeight="1">
      <c r="E703" s="49"/>
      <c r="G703" s="50"/>
      <c r="H703" s="51"/>
      <c r="I703" s="51"/>
      <c r="J703" s="51"/>
      <c r="K703" s="51"/>
    </row>
    <row r="704" ht="15.75" customHeight="1">
      <c r="E704" s="49"/>
      <c r="G704" s="50"/>
      <c r="H704" s="51"/>
      <c r="I704" s="51"/>
      <c r="J704" s="51"/>
      <c r="K704" s="51"/>
    </row>
    <row r="705" ht="15.75" customHeight="1">
      <c r="E705" s="49"/>
      <c r="G705" s="50"/>
      <c r="H705" s="51"/>
      <c r="I705" s="51"/>
      <c r="J705" s="51"/>
      <c r="K705" s="51"/>
    </row>
    <row r="706" ht="15.75" customHeight="1">
      <c r="E706" s="49"/>
      <c r="G706" s="50"/>
      <c r="H706" s="51"/>
      <c r="I706" s="51"/>
      <c r="J706" s="51"/>
      <c r="K706" s="51"/>
    </row>
    <row r="707" ht="15.75" customHeight="1">
      <c r="E707" s="49"/>
      <c r="G707" s="50"/>
      <c r="H707" s="51"/>
      <c r="I707" s="51"/>
      <c r="J707" s="51"/>
      <c r="K707" s="51"/>
    </row>
    <row r="708" ht="15.75" customHeight="1">
      <c r="E708" s="49"/>
      <c r="G708" s="50"/>
      <c r="H708" s="51"/>
      <c r="I708" s="51"/>
      <c r="J708" s="51"/>
      <c r="K708" s="51"/>
    </row>
    <row r="709" ht="15.75" customHeight="1">
      <c r="E709" s="49"/>
      <c r="G709" s="50"/>
      <c r="H709" s="51"/>
      <c r="I709" s="51"/>
      <c r="J709" s="51"/>
      <c r="K709" s="51"/>
    </row>
    <row r="710" ht="15.75" customHeight="1">
      <c r="E710" s="49"/>
      <c r="G710" s="50"/>
      <c r="H710" s="51"/>
      <c r="I710" s="51"/>
      <c r="J710" s="51"/>
      <c r="K710" s="51"/>
    </row>
    <row r="711" ht="15.75" customHeight="1">
      <c r="E711" s="49"/>
      <c r="G711" s="50"/>
      <c r="H711" s="51"/>
      <c r="I711" s="51"/>
      <c r="J711" s="51"/>
      <c r="K711" s="51"/>
    </row>
    <row r="712" ht="15.75" customHeight="1">
      <c r="E712" s="49"/>
      <c r="G712" s="50"/>
      <c r="H712" s="51"/>
      <c r="I712" s="51"/>
      <c r="J712" s="51"/>
      <c r="K712" s="51"/>
    </row>
    <row r="713" ht="15.75" customHeight="1">
      <c r="E713" s="49"/>
      <c r="G713" s="50"/>
      <c r="H713" s="51"/>
      <c r="I713" s="51"/>
      <c r="J713" s="51"/>
      <c r="K713" s="51"/>
    </row>
    <row r="714" ht="15.75" customHeight="1">
      <c r="E714" s="49"/>
      <c r="G714" s="50"/>
      <c r="H714" s="51"/>
      <c r="I714" s="51"/>
      <c r="J714" s="51"/>
      <c r="K714" s="51"/>
    </row>
    <row r="715" ht="15.75" customHeight="1">
      <c r="E715" s="49"/>
      <c r="G715" s="50"/>
      <c r="H715" s="51"/>
      <c r="I715" s="51"/>
      <c r="J715" s="51"/>
      <c r="K715" s="51"/>
    </row>
    <row r="716" ht="15.75" customHeight="1">
      <c r="E716" s="49"/>
      <c r="G716" s="50"/>
      <c r="H716" s="51"/>
      <c r="I716" s="51"/>
      <c r="J716" s="51"/>
      <c r="K716" s="51"/>
    </row>
    <row r="717" ht="15.75" customHeight="1">
      <c r="E717" s="49"/>
      <c r="G717" s="50"/>
      <c r="H717" s="51"/>
      <c r="I717" s="51"/>
      <c r="J717" s="51"/>
      <c r="K717" s="51"/>
    </row>
    <row r="718" ht="15.75" customHeight="1">
      <c r="E718" s="49"/>
      <c r="G718" s="50"/>
      <c r="H718" s="51"/>
      <c r="I718" s="51"/>
      <c r="J718" s="51"/>
      <c r="K718" s="51"/>
    </row>
    <row r="719" ht="15.75" customHeight="1">
      <c r="E719" s="49"/>
      <c r="G719" s="50"/>
      <c r="H719" s="51"/>
      <c r="I719" s="51"/>
      <c r="J719" s="51"/>
      <c r="K719" s="51"/>
    </row>
    <row r="720" ht="15.75" customHeight="1">
      <c r="E720" s="49"/>
      <c r="G720" s="50"/>
      <c r="H720" s="51"/>
      <c r="I720" s="51"/>
      <c r="J720" s="51"/>
      <c r="K720" s="51"/>
    </row>
    <row r="721" ht="15.75" customHeight="1">
      <c r="E721" s="49"/>
      <c r="G721" s="50"/>
      <c r="H721" s="51"/>
      <c r="I721" s="51"/>
      <c r="J721" s="51"/>
      <c r="K721" s="51"/>
    </row>
    <row r="722" ht="15.75" customHeight="1">
      <c r="E722" s="49"/>
      <c r="G722" s="50"/>
      <c r="H722" s="51"/>
      <c r="I722" s="51"/>
      <c r="J722" s="51"/>
      <c r="K722" s="51"/>
    </row>
    <row r="723" ht="15.75" customHeight="1">
      <c r="E723" s="49"/>
      <c r="G723" s="50"/>
      <c r="H723" s="51"/>
      <c r="I723" s="51"/>
      <c r="J723" s="51"/>
      <c r="K723" s="51"/>
    </row>
    <row r="724" ht="15.75" customHeight="1">
      <c r="E724" s="49"/>
      <c r="G724" s="50"/>
      <c r="H724" s="51"/>
      <c r="I724" s="51"/>
      <c r="J724" s="51"/>
      <c r="K724" s="51"/>
    </row>
    <row r="725" ht="15.75" customHeight="1">
      <c r="E725" s="49"/>
      <c r="G725" s="50"/>
      <c r="H725" s="51"/>
      <c r="I725" s="51"/>
      <c r="J725" s="51"/>
      <c r="K725" s="51"/>
    </row>
    <row r="726" ht="15.75" customHeight="1">
      <c r="E726" s="49"/>
      <c r="G726" s="50"/>
      <c r="H726" s="51"/>
      <c r="I726" s="51"/>
      <c r="J726" s="51"/>
      <c r="K726" s="51"/>
    </row>
    <row r="727" ht="15.75" customHeight="1">
      <c r="E727" s="49"/>
      <c r="G727" s="50"/>
      <c r="H727" s="51"/>
      <c r="I727" s="51"/>
      <c r="J727" s="51"/>
      <c r="K727" s="51"/>
    </row>
    <row r="728" ht="15.75" customHeight="1">
      <c r="E728" s="49"/>
      <c r="G728" s="50"/>
      <c r="H728" s="51"/>
      <c r="I728" s="51"/>
      <c r="J728" s="51"/>
      <c r="K728" s="51"/>
    </row>
    <row r="729" ht="15.75" customHeight="1">
      <c r="E729" s="49"/>
      <c r="G729" s="50"/>
      <c r="H729" s="51"/>
      <c r="I729" s="51"/>
      <c r="J729" s="51"/>
      <c r="K729" s="51"/>
    </row>
    <row r="730" ht="15.75" customHeight="1">
      <c r="E730" s="49"/>
      <c r="G730" s="50"/>
      <c r="H730" s="51"/>
      <c r="I730" s="51"/>
      <c r="J730" s="51"/>
      <c r="K730" s="51"/>
    </row>
    <row r="731" ht="15.75" customHeight="1">
      <c r="E731" s="49"/>
      <c r="G731" s="50"/>
      <c r="H731" s="51"/>
      <c r="I731" s="51"/>
      <c r="J731" s="51"/>
      <c r="K731" s="51"/>
    </row>
    <row r="732" ht="15.75" customHeight="1">
      <c r="E732" s="49"/>
      <c r="G732" s="50"/>
      <c r="H732" s="51"/>
      <c r="I732" s="51"/>
      <c r="J732" s="51"/>
      <c r="K732" s="51"/>
    </row>
    <row r="733" ht="15.75" customHeight="1">
      <c r="E733" s="49"/>
      <c r="G733" s="50"/>
      <c r="H733" s="51"/>
      <c r="I733" s="51"/>
      <c r="J733" s="51"/>
      <c r="K733" s="51"/>
    </row>
    <row r="734" ht="15.75" customHeight="1">
      <c r="E734" s="49"/>
      <c r="G734" s="50"/>
      <c r="H734" s="51"/>
      <c r="I734" s="51"/>
      <c r="J734" s="51"/>
      <c r="K734" s="51"/>
    </row>
    <row r="735" ht="15.75" customHeight="1">
      <c r="E735" s="49"/>
      <c r="G735" s="50"/>
      <c r="H735" s="51"/>
      <c r="I735" s="51"/>
      <c r="J735" s="51"/>
      <c r="K735" s="51"/>
    </row>
    <row r="736" ht="15.75" customHeight="1">
      <c r="E736" s="49"/>
      <c r="G736" s="50"/>
      <c r="H736" s="51"/>
      <c r="I736" s="51"/>
      <c r="J736" s="51"/>
      <c r="K736" s="51"/>
    </row>
    <row r="737" ht="15.75" customHeight="1">
      <c r="E737" s="49"/>
      <c r="G737" s="50"/>
      <c r="H737" s="51"/>
      <c r="I737" s="51"/>
      <c r="J737" s="51"/>
      <c r="K737" s="51"/>
    </row>
    <row r="738" ht="15.75" customHeight="1">
      <c r="E738" s="49"/>
      <c r="G738" s="50"/>
      <c r="H738" s="51"/>
      <c r="I738" s="51"/>
      <c r="J738" s="51"/>
      <c r="K738" s="51"/>
    </row>
    <row r="739" ht="15.75" customHeight="1">
      <c r="E739" s="49"/>
      <c r="G739" s="50"/>
      <c r="H739" s="51"/>
      <c r="I739" s="51"/>
      <c r="J739" s="51"/>
      <c r="K739" s="51"/>
    </row>
    <row r="740" ht="15.75" customHeight="1">
      <c r="E740" s="49"/>
      <c r="G740" s="50"/>
      <c r="H740" s="51"/>
      <c r="I740" s="51"/>
      <c r="J740" s="51"/>
      <c r="K740" s="51"/>
    </row>
    <row r="741" ht="15.75" customHeight="1">
      <c r="E741" s="49"/>
      <c r="G741" s="50"/>
      <c r="H741" s="51"/>
      <c r="I741" s="51"/>
      <c r="J741" s="51"/>
      <c r="K741" s="51"/>
    </row>
    <row r="742" ht="15.75" customHeight="1">
      <c r="E742" s="49"/>
      <c r="G742" s="50"/>
      <c r="H742" s="51"/>
      <c r="I742" s="51"/>
      <c r="J742" s="51"/>
      <c r="K742" s="51"/>
    </row>
    <row r="743" ht="15.75" customHeight="1">
      <c r="E743" s="49"/>
      <c r="G743" s="50"/>
      <c r="H743" s="51"/>
      <c r="I743" s="51"/>
      <c r="J743" s="51"/>
      <c r="K743" s="51"/>
    </row>
    <row r="744" ht="15.75" customHeight="1">
      <c r="E744" s="49"/>
      <c r="G744" s="50"/>
      <c r="H744" s="51"/>
      <c r="I744" s="51"/>
      <c r="J744" s="51"/>
      <c r="K744" s="51"/>
    </row>
    <row r="745" ht="15.75" customHeight="1">
      <c r="E745" s="49"/>
      <c r="G745" s="50"/>
      <c r="H745" s="51"/>
      <c r="I745" s="51"/>
      <c r="J745" s="51"/>
      <c r="K745" s="51"/>
    </row>
    <row r="746" ht="15.75" customHeight="1">
      <c r="E746" s="49"/>
      <c r="G746" s="50"/>
      <c r="H746" s="51"/>
      <c r="I746" s="51"/>
      <c r="J746" s="51"/>
      <c r="K746" s="51"/>
    </row>
    <row r="747" ht="15.75" customHeight="1">
      <c r="E747" s="49"/>
      <c r="G747" s="50"/>
      <c r="H747" s="51"/>
      <c r="I747" s="51"/>
      <c r="J747" s="51"/>
      <c r="K747" s="51"/>
    </row>
    <row r="748" ht="15.75" customHeight="1">
      <c r="E748" s="49"/>
      <c r="G748" s="50"/>
      <c r="H748" s="51"/>
      <c r="I748" s="51"/>
      <c r="J748" s="51"/>
      <c r="K748" s="51"/>
    </row>
    <row r="749" ht="15.75" customHeight="1">
      <c r="E749" s="49"/>
      <c r="G749" s="50"/>
      <c r="H749" s="51"/>
      <c r="I749" s="51"/>
      <c r="J749" s="51"/>
      <c r="K749" s="51"/>
    </row>
    <row r="750" ht="15.75" customHeight="1">
      <c r="E750" s="49"/>
      <c r="G750" s="50"/>
      <c r="H750" s="51"/>
      <c r="I750" s="51"/>
      <c r="J750" s="51"/>
      <c r="K750" s="51"/>
    </row>
    <row r="751" ht="15.75" customHeight="1">
      <c r="E751" s="49"/>
      <c r="G751" s="50"/>
      <c r="H751" s="51"/>
      <c r="I751" s="51"/>
      <c r="J751" s="51"/>
      <c r="K751" s="51"/>
    </row>
    <row r="752" ht="15.75" customHeight="1">
      <c r="E752" s="49"/>
      <c r="G752" s="50"/>
      <c r="H752" s="51"/>
      <c r="I752" s="51"/>
      <c r="J752" s="51"/>
      <c r="K752" s="51"/>
    </row>
    <row r="753" ht="15.75" customHeight="1">
      <c r="E753" s="49"/>
      <c r="G753" s="50"/>
      <c r="H753" s="51"/>
      <c r="I753" s="51"/>
      <c r="J753" s="51"/>
      <c r="K753" s="51"/>
    </row>
    <row r="754" ht="15.75" customHeight="1">
      <c r="E754" s="49"/>
      <c r="G754" s="50"/>
      <c r="H754" s="51"/>
      <c r="I754" s="51"/>
      <c r="J754" s="51"/>
      <c r="K754" s="51"/>
    </row>
    <row r="755" ht="15.75" customHeight="1">
      <c r="E755" s="49"/>
      <c r="G755" s="50"/>
      <c r="H755" s="51"/>
      <c r="I755" s="51"/>
      <c r="J755" s="51"/>
      <c r="K755" s="51"/>
    </row>
    <row r="756" ht="15.75" customHeight="1">
      <c r="E756" s="49"/>
      <c r="G756" s="50"/>
      <c r="H756" s="51"/>
      <c r="I756" s="51"/>
      <c r="J756" s="51"/>
      <c r="K756" s="51"/>
    </row>
    <row r="757" ht="15.75" customHeight="1">
      <c r="E757" s="49"/>
      <c r="G757" s="50"/>
      <c r="H757" s="51"/>
      <c r="I757" s="51"/>
      <c r="J757" s="51"/>
      <c r="K757" s="51"/>
    </row>
    <row r="758" ht="15.75" customHeight="1">
      <c r="E758" s="49"/>
      <c r="G758" s="50"/>
      <c r="H758" s="51"/>
      <c r="I758" s="51"/>
      <c r="J758" s="51"/>
      <c r="K758" s="51"/>
    </row>
    <row r="759" ht="15.75" customHeight="1">
      <c r="E759" s="49"/>
      <c r="G759" s="50"/>
      <c r="H759" s="51"/>
      <c r="I759" s="51"/>
      <c r="J759" s="51"/>
      <c r="K759" s="51"/>
    </row>
    <row r="760" ht="15.75" customHeight="1">
      <c r="E760" s="49"/>
      <c r="G760" s="50"/>
      <c r="H760" s="51"/>
      <c r="I760" s="51"/>
      <c r="J760" s="51"/>
      <c r="K760" s="51"/>
    </row>
    <row r="761" ht="15.75" customHeight="1">
      <c r="E761" s="49"/>
      <c r="G761" s="50"/>
      <c r="H761" s="51"/>
      <c r="I761" s="51"/>
      <c r="J761" s="51"/>
      <c r="K761" s="51"/>
    </row>
    <row r="762" ht="15.75" customHeight="1">
      <c r="E762" s="49"/>
      <c r="G762" s="50"/>
      <c r="H762" s="51"/>
      <c r="I762" s="51"/>
      <c r="J762" s="51"/>
      <c r="K762" s="51"/>
    </row>
    <row r="763" ht="15.75" customHeight="1">
      <c r="E763" s="49"/>
      <c r="G763" s="50"/>
      <c r="H763" s="51"/>
      <c r="I763" s="51"/>
      <c r="J763" s="51"/>
      <c r="K763" s="51"/>
    </row>
    <row r="764" ht="15.75" customHeight="1">
      <c r="E764" s="49"/>
      <c r="G764" s="50"/>
      <c r="H764" s="51"/>
      <c r="I764" s="51"/>
      <c r="J764" s="51"/>
      <c r="K764" s="51"/>
    </row>
    <row r="765" ht="15.75" customHeight="1">
      <c r="E765" s="49"/>
      <c r="G765" s="50"/>
      <c r="H765" s="51"/>
      <c r="I765" s="51"/>
      <c r="J765" s="51"/>
      <c r="K765" s="51"/>
    </row>
    <row r="766" ht="15.75" customHeight="1">
      <c r="E766" s="49"/>
      <c r="G766" s="50"/>
      <c r="H766" s="51"/>
      <c r="I766" s="51"/>
      <c r="J766" s="51"/>
      <c r="K766" s="51"/>
    </row>
    <row r="767" ht="15.75" customHeight="1">
      <c r="E767" s="49"/>
      <c r="G767" s="50"/>
      <c r="H767" s="51"/>
      <c r="I767" s="51"/>
      <c r="J767" s="51"/>
      <c r="K767" s="51"/>
    </row>
    <row r="768" ht="15.75" customHeight="1">
      <c r="E768" s="49"/>
      <c r="G768" s="50"/>
      <c r="H768" s="51"/>
      <c r="I768" s="51"/>
      <c r="J768" s="51"/>
      <c r="K768" s="51"/>
    </row>
    <row r="769" ht="15.75" customHeight="1">
      <c r="E769" s="49"/>
      <c r="G769" s="50"/>
      <c r="H769" s="51"/>
      <c r="I769" s="51"/>
      <c r="J769" s="51"/>
      <c r="K769" s="51"/>
    </row>
    <row r="770" ht="15.75" customHeight="1">
      <c r="E770" s="49"/>
      <c r="G770" s="50"/>
      <c r="H770" s="51"/>
      <c r="I770" s="51"/>
      <c r="J770" s="51"/>
      <c r="K770" s="51"/>
    </row>
    <row r="771" ht="15.75" customHeight="1">
      <c r="E771" s="49"/>
      <c r="G771" s="50"/>
      <c r="H771" s="51"/>
      <c r="I771" s="51"/>
      <c r="J771" s="51"/>
      <c r="K771" s="51"/>
    </row>
    <row r="772" ht="15.75" customHeight="1">
      <c r="E772" s="49"/>
      <c r="G772" s="50"/>
      <c r="H772" s="51"/>
      <c r="I772" s="51"/>
      <c r="J772" s="51"/>
      <c r="K772" s="51"/>
    </row>
    <row r="773" ht="15.75" customHeight="1">
      <c r="E773" s="49"/>
      <c r="G773" s="50"/>
      <c r="H773" s="51"/>
      <c r="I773" s="51"/>
      <c r="J773" s="51"/>
      <c r="K773" s="51"/>
    </row>
    <row r="774" ht="15.75" customHeight="1">
      <c r="E774" s="49"/>
      <c r="G774" s="50"/>
      <c r="H774" s="51"/>
      <c r="I774" s="51"/>
      <c r="J774" s="51"/>
      <c r="K774" s="51"/>
    </row>
    <row r="775" ht="15.75" customHeight="1">
      <c r="E775" s="49"/>
      <c r="G775" s="50"/>
      <c r="H775" s="51"/>
      <c r="I775" s="51"/>
      <c r="J775" s="51"/>
      <c r="K775" s="51"/>
    </row>
    <row r="776" ht="15.75" customHeight="1">
      <c r="E776" s="49"/>
      <c r="G776" s="50"/>
      <c r="H776" s="51"/>
      <c r="I776" s="51"/>
      <c r="J776" s="51"/>
      <c r="K776" s="51"/>
    </row>
    <row r="777" ht="15.75" customHeight="1">
      <c r="E777" s="49"/>
      <c r="G777" s="50"/>
      <c r="H777" s="51"/>
      <c r="I777" s="51"/>
      <c r="J777" s="51"/>
      <c r="K777" s="51"/>
    </row>
    <row r="778" ht="15.75" customHeight="1">
      <c r="E778" s="49"/>
      <c r="G778" s="50"/>
      <c r="H778" s="51"/>
      <c r="I778" s="51"/>
      <c r="J778" s="51"/>
      <c r="K778" s="51"/>
    </row>
    <row r="779" ht="15.75" customHeight="1">
      <c r="E779" s="49"/>
      <c r="G779" s="50"/>
      <c r="H779" s="51"/>
      <c r="I779" s="51"/>
      <c r="J779" s="51"/>
      <c r="K779" s="51"/>
    </row>
    <row r="780" ht="15.75" customHeight="1">
      <c r="E780" s="49"/>
      <c r="G780" s="50"/>
      <c r="H780" s="51"/>
      <c r="I780" s="51"/>
      <c r="J780" s="51"/>
      <c r="K780" s="51"/>
    </row>
    <row r="781" ht="15.75" customHeight="1">
      <c r="E781" s="49"/>
      <c r="G781" s="50"/>
      <c r="H781" s="51"/>
      <c r="I781" s="51"/>
      <c r="J781" s="51"/>
      <c r="K781" s="51"/>
    </row>
    <row r="782" ht="15.75" customHeight="1">
      <c r="E782" s="49"/>
      <c r="G782" s="50"/>
      <c r="H782" s="51"/>
      <c r="I782" s="51"/>
      <c r="J782" s="51"/>
      <c r="K782" s="51"/>
    </row>
    <row r="783" ht="15.75" customHeight="1">
      <c r="E783" s="49"/>
      <c r="G783" s="50"/>
      <c r="H783" s="51"/>
      <c r="I783" s="51"/>
      <c r="J783" s="51"/>
      <c r="K783" s="51"/>
    </row>
    <row r="784" ht="15.75" customHeight="1">
      <c r="E784" s="49"/>
      <c r="G784" s="50"/>
      <c r="H784" s="51"/>
      <c r="I784" s="51"/>
      <c r="J784" s="51"/>
      <c r="K784" s="51"/>
    </row>
    <row r="785" ht="15.75" customHeight="1">
      <c r="E785" s="49"/>
      <c r="G785" s="50"/>
      <c r="H785" s="51"/>
      <c r="I785" s="51"/>
      <c r="J785" s="51"/>
      <c r="K785" s="51"/>
    </row>
    <row r="786" ht="15.75" customHeight="1">
      <c r="E786" s="49"/>
      <c r="G786" s="50"/>
      <c r="H786" s="51"/>
      <c r="I786" s="51"/>
      <c r="J786" s="51"/>
      <c r="K786" s="51"/>
    </row>
    <row r="787" ht="15.75" customHeight="1">
      <c r="E787" s="49"/>
      <c r="G787" s="50"/>
      <c r="H787" s="51"/>
      <c r="I787" s="51"/>
      <c r="J787" s="51"/>
      <c r="K787" s="51"/>
    </row>
    <row r="788" ht="15.75" customHeight="1">
      <c r="E788" s="49"/>
      <c r="G788" s="50"/>
      <c r="H788" s="51"/>
      <c r="I788" s="51"/>
      <c r="J788" s="51"/>
      <c r="K788" s="51"/>
    </row>
    <row r="789" ht="15.75" customHeight="1">
      <c r="E789" s="49"/>
      <c r="G789" s="50"/>
      <c r="H789" s="51"/>
      <c r="I789" s="51"/>
      <c r="J789" s="51"/>
      <c r="K789" s="51"/>
    </row>
    <row r="790" ht="15.75" customHeight="1">
      <c r="E790" s="49"/>
      <c r="G790" s="50"/>
      <c r="H790" s="51"/>
      <c r="I790" s="51"/>
      <c r="J790" s="51"/>
      <c r="K790" s="51"/>
    </row>
    <row r="791" ht="15.75" customHeight="1">
      <c r="E791" s="49"/>
      <c r="G791" s="50"/>
      <c r="H791" s="51"/>
      <c r="I791" s="51"/>
      <c r="J791" s="51"/>
      <c r="K791" s="51"/>
    </row>
    <row r="792" ht="15.75" customHeight="1">
      <c r="E792" s="49"/>
      <c r="G792" s="50"/>
      <c r="H792" s="51"/>
      <c r="I792" s="51"/>
      <c r="J792" s="51"/>
      <c r="K792" s="51"/>
    </row>
    <row r="793" ht="15.75" customHeight="1">
      <c r="E793" s="49"/>
      <c r="G793" s="50"/>
      <c r="H793" s="51"/>
      <c r="I793" s="51"/>
      <c r="J793" s="51"/>
      <c r="K793" s="51"/>
    </row>
    <row r="794" ht="15.75" customHeight="1">
      <c r="E794" s="49"/>
      <c r="G794" s="50"/>
      <c r="H794" s="51"/>
      <c r="I794" s="51"/>
      <c r="J794" s="51"/>
      <c r="K794" s="51"/>
    </row>
    <row r="795" ht="15.75" customHeight="1">
      <c r="E795" s="49"/>
      <c r="G795" s="50"/>
      <c r="H795" s="51"/>
      <c r="I795" s="51"/>
      <c r="J795" s="51"/>
      <c r="K795" s="51"/>
    </row>
    <row r="796" ht="15.75" customHeight="1">
      <c r="E796" s="49"/>
      <c r="G796" s="50"/>
      <c r="H796" s="51"/>
      <c r="I796" s="51"/>
      <c r="J796" s="51"/>
      <c r="K796" s="51"/>
    </row>
    <row r="797" ht="15.75" customHeight="1">
      <c r="E797" s="49"/>
      <c r="G797" s="50"/>
      <c r="H797" s="51"/>
      <c r="I797" s="51"/>
      <c r="J797" s="51"/>
      <c r="K797" s="51"/>
    </row>
    <row r="798" ht="15.75" customHeight="1">
      <c r="E798" s="49"/>
      <c r="G798" s="50"/>
      <c r="H798" s="51"/>
      <c r="I798" s="51"/>
      <c r="J798" s="51"/>
      <c r="K798" s="51"/>
    </row>
    <row r="799" ht="15.75" customHeight="1">
      <c r="E799" s="49"/>
      <c r="G799" s="50"/>
      <c r="H799" s="51"/>
      <c r="I799" s="51"/>
      <c r="J799" s="51"/>
      <c r="K799" s="51"/>
    </row>
    <row r="800" ht="15.75" customHeight="1">
      <c r="E800" s="49"/>
      <c r="G800" s="50"/>
      <c r="H800" s="51"/>
      <c r="I800" s="51"/>
      <c r="J800" s="51"/>
      <c r="K800" s="51"/>
    </row>
    <row r="801" ht="15.75" customHeight="1">
      <c r="E801" s="49"/>
      <c r="G801" s="50"/>
      <c r="H801" s="51"/>
      <c r="I801" s="51"/>
      <c r="J801" s="51"/>
      <c r="K801" s="51"/>
    </row>
    <row r="802" ht="15.75" customHeight="1">
      <c r="E802" s="49"/>
      <c r="G802" s="50"/>
      <c r="H802" s="51"/>
      <c r="I802" s="51"/>
      <c r="J802" s="51"/>
      <c r="K802" s="51"/>
    </row>
    <row r="803" ht="15.75" customHeight="1">
      <c r="E803" s="49"/>
      <c r="G803" s="50"/>
      <c r="H803" s="51"/>
      <c r="I803" s="51"/>
      <c r="J803" s="51"/>
      <c r="K803" s="51"/>
    </row>
    <row r="804" ht="15.75" customHeight="1">
      <c r="E804" s="49"/>
      <c r="G804" s="50"/>
      <c r="H804" s="51"/>
      <c r="I804" s="51"/>
      <c r="J804" s="51"/>
      <c r="K804" s="51"/>
    </row>
    <row r="805" ht="15.75" customHeight="1">
      <c r="E805" s="49"/>
      <c r="G805" s="50"/>
      <c r="H805" s="51"/>
      <c r="I805" s="51"/>
      <c r="J805" s="51"/>
      <c r="K805" s="51"/>
    </row>
    <row r="806" ht="15.75" customHeight="1">
      <c r="E806" s="49"/>
      <c r="G806" s="50"/>
      <c r="H806" s="51"/>
      <c r="I806" s="51"/>
      <c r="J806" s="51"/>
      <c r="K806" s="51"/>
    </row>
    <row r="807" ht="15.75" customHeight="1">
      <c r="E807" s="49"/>
      <c r="G807" s="50"/>
      <c r="H807" s="51"/>
      <c r="I807" s="51"/>
      <c r="J807" s="51"/>
      <c r="K807" s="51"/>
    </row>
    <row r="808" ht="15.75" customHeight="1">
      <c r="E808" s="49"/>
      <c r="G808" s="50"/>
      <c r="H808" s="51"/>
      <c r="I808" s="51"/>
      <c r="J808" s="51"/>
      <c r="K808" s="51"/>
    </row>
    <row r="809" ht="15.75" customHeight="1">
      <c r="E809" s="49"/>
      <c r="G809" s="50"/>
      <c r="H809" s="51"/>
      <c r="I809" s="51"/>
      <c r="J809" s="51"/>
      <c r="K809" s="51"/>
    </row>
    <row r="810" ht="15.75" customHeight="1">
      <c r="E810" s="49"/>
      <c r="G810" s="50"/>
      <c r="H810" s="51"/>
      <c r="I810" s="51"/>
      <c r="J810" s="51"/>
      <c r="K810" s="51"/>
    </row>
    <row r="811" ht="15.75" customHeight="1">
      <c r="E811" s="49"/>
      <c r="G811" s="50"/>
      <c r="H811" s="51"/>
      <c r="I811" s="51"/>
      <c r="J811" s="51"/>
      <c r="K811" s="51"/>
    </row>
    <row r="812" ht="15.75" customHeight="1">
      <c r="E812" s="49"/>
      <c r="G812" s="50"/>
      <c r="H812" s="51"/>
      <c r="I812" s="51"/>
      <c r="J812" s="51"/>
      <c r="K812" s="51"/>
    </row>
    <row r="813" ht="15.75" customHeight="1">
      <c r="E813" s="49"/>
      <c r="G813" s="50"/>
      <c r="H813" s="51"/>
      <c r="I813" s="51"/>
      <c r="J813" s="51"/>
      <c r="K813" s="51"/>
    </row>
    <row r="814" ht="15.75" customHeight="1">
      <c r="E814" s="49"/>
      <c r="G814" s="50"/>
      <c r="H814" s="51"/>
      <c r="I814" s="51"/>
      <c r="J814" s="51"/>
      <c r="K814" s="51"/>
    </row>
    <row r="815" ht="15.75" customHeight="1">
      <c r="E815" s="49"/>
      <c r="G815" s="50"/>
      <c r="H815" s="51"/>
      <c r="I815" s="51"/>
      <c r="J815" s="51"/>
      <c r="K815" s="51"/>
    </row>
    <row r="816" ht="15.75" customHeight="1">
      <c r="E816" s="49"/>
      <c r="G816" s="50"/>
      <c r="H816" s="51"/>
      <c r="I816" s="51"/>
      <c r="J816" s="51"/>
      <c r="K816" s="51"/>
    </row>
    <row r="817" ht="15.75" customHeight="1">
      <c r="E817" s="49"/>
      <c r="G817" s="50"/>
      <c r="H817" s="51"/>
      <c r="I817" s="51"/>
      <c r="J817" s="51"/>
      <c r="K817" s="51"/>
    </row>
    <row r="818" ht="15.75" customHeight="1">
      <c r="E818" s="49"/>
      <c r="G818" s="50"/>
      <c r="H818" s="51"/>
      <c r="I818" s="51"/>
      <c r="J818" s="51"/>
      <c r="K818" s="51"/>
    </row>
    <row r="819" ht="15.75" customHeight="1">
      <c r="E819" s="49"/>
      <c r="G819" s="50"/>
      <c r="H819" s="51"/>
      <c r="I819" s="51"/>
      <c r="J819" s="51"/>
      <c r="K819" s="51"/>
    </row>
    <row r="820" ht="15.75" customHeight="1">
      <c r="E820" s="49"/>
      <c r="G820" s="50"/>
      <c r="H820" s="51"/>
      <c r="I820" s="51"/>
      <c r="J820" s="51"/>
      <c r="K820" s="51"/>
    </row>
    <row r="821" ht="15.75" customHeight="1">
      <c r="E821" s="49"/>
      <c r="G821" s="50"/>
      <c r="H821" s="51"/>
      <c r="I821" s="51"/>
      <c r="J821" s="51"/>
      <c r="K821" s="51"/>
    </row>
    <row r="822" ht="15.75" customHeight="1">
      <c r="E822" s="49"/>
      <c r="G822" s="50"/>
      <c r="H822" s="51"/>
      <c r="I822" s="51"/>
      <c r="J822" s="51"/>
      <c r="K822" s="51"/>
    </row>
    <row r="823" ht="15.75" customHeight="1">
      <c r="E823" s="49"/>
      <c r="G823" s="50"/>
      <c r="H823" s="51"/>
      <c r="I823" s="51"/>
      <c r="J823" s="51"/>
      <c r="K823" s="51"/>
    </row>
    <row r="824" ht="15.75" customHeight="1">
      <c r="E824" s="49"/>
      <c r="G824" s="50"/>
      <c r="H824" s="51"/>
      <c r="I824" s="51"/>
      <c r="J824" s="51"/>
      <c r="K824" s="51"/>
    </row>
    <row r="825" ht="15.75" customHeight="1">
      <c r="E825" s="49"/>
      <c r="G825" s="50"/>
      <c r="H825" s="51"/>
      <c r="I825" s="51"/>
      <c r="J825" s="51"/>
      <c r="K825" s="51"/>
    </row>
    <row r="826" ht="15.75" customHeight="1">
      <c r="E826" s="49"/>
      <c r="G826" s="50"/>
      <c r="H826" s="51"/>
      <c r="I826" s="51"/>
      <c r="J826" s="51"/>
      <c r="K826" s="51"/>
    </row>
    <row r="827" ht="15.75" customHeight="1">
      <c r="E827" s="49"/>
      <c r="G827" s="50"/>
      <c r="H827" s="51"/>
      <c r="I827" s="51"/>
      <c r="J827" s="51"/>
      <c r="K827" s="51"/>
    </row>
    <row r="828" ht="15.75" customHeight="1">
      <c r="E828" s="49"/>
      <c r="G828" s="50"/>
      <c r="H828" s="51"/>
      <c r="I828" s="51"/>
      <c r="J828" s="51"/>
      <c r="K828" s="51"/>
    </row>
    <row r="829" ht="15.75" customHeight="1">
      <c r="E829" s="49"/>
      <c r="G829" s="50"/>
      <c r="H829" s="51"/>
      <c r="I829" s="51"/>
      <c r="J829" s="51"/>
      <c r="K829" s="51"/>
    </row>
    <row r="830" ht="15.75" customHeight="1">
      <c r="E830" s="49"/>
      <c r="G830" s="50"/>
      <c r="H830" s="51"/>
      <c r="I830" s="51"/>
      <c r="J830" s="51"/>
      <c r="K830" s="51"/>
    </row>
    <row r="831" ht="15.75" customHeight="1">
      <c r="E831" s="49"/>
      <c r="G831" s="50"/>
      <c r="H831" s="51"/>
      <c r="I831" s="51"/>
      <c r="J831" s="51"/>
      <c r="K831" s="51"/>
    </row>
    <row r="832" ht="15.75" customHeight="1">
      <c r="E832" s="49"/>
      <c r="G832" s="50"/>
      <c r="H832" s="51"/>
      <c r="I832" s="51"/>
      <c r="J832" s="51"/>
      <c r="K832" s="51"/>
    </row>
    <row r="833" ht="15.75" customHeight="1">
      <c r="E833" s="49"/>
      <c r="G833" s="50"/>
      <c r="H833" s="51"/>
      <c r="I833" s="51"/>
      <c r="J833" s="51"/>
      <c r="K833" s="51"/>
    </row>
    <row r="834" ht="15.75" customHeight="1">
      <c r="E834" s="49"/>
      <c r="G834" s="50"/>
      <c r="H834" s="51"/>
      <c r="I834" s="51"/>
      <c r="J834" s="51"/>
      <c r="K834" s="51"/>
    </row>
    <row r="835" ht="15.75" customHeight="1">
      <c r="E835" s="49"/>
      <c r="G835" s="50"/>
      <c r="H835" s="51"/>
      <c r="I835" s="51"/>
      <c r="J835" s="51"/>
      <c r="K835" s="51"/>
    </row>
    <row r="836" ht="15.75" customHeight="1">
      <c r="E836" s="49"/>
      <c r="G836" s="50"/>
      <c r="H836" s="51"/>
      <c r="I836" s="51"/>
      <c r="J836" s="51"/>
      <c r="K836" s="51"/>
    </row>
    <row r="837" ht="15.75" customHeight="1">
      <c r="E837" s="49"/>
      <c r="G837" s="50"/>
      <c r="H837" s="51"/>
      <c r="I837" s="51"/>
      <c r="J837" s="51"/>
      <c r="K837" s="51"/>
    </row>
    <row r="838" ht="15.75" customHeight="1">
      <c r="E838" s="49"/>
      <c r="G838" s="50"/>
      <c r="H838" s="51"/>
      <c r="I838" s="51"/>
      <c r="J838" s="51"/>
      <c r="K838" s="51"/>
    </row>
    <row r="839" ht="15.75" customHeight="1">
      <c r="E839" s="49"/>
      <c r="G839" s="50"/>
      <c r="H839" s="51"/>
      <c r="I839" s="51"/>
      <c r="J839" s="51"/>
      <c r="K839" s="51"/>
    </row>
    <row r="840" ht="15.75" customHeight="1">
      <c r="E840" s="49"/>
      <c r="G840" s="50"/>
      <c r="H840" s="51"/>
      <c r="I840" s="51"/>
      <c r="J840" s="51"/>
      <c r="K840" s="51"/>
    </row>
    <row r="841" ht="15.75" customHeight="1">
      <c r="E841" s="49"/>
      <c r="G841" s="50"/>
      <c r="H841" s="51"/>
      <c r="I841" s="51"/>
      <c r="J841" s="51"/>
      <c r="K841" s="51"/>
    </row>
    <row r="842" ht="15.75" customHeight="1">
      <c r="E842" s="49"/>
      <c r="G842" s="50"/>
      <c r="H842" s="51"/>
      <c r="I842" s="51"/>
      <c r="J842" s="51"/>
      <c r="K842" s="51"/>
    </row>
    <row r="843" ht="15.75" customHeight="1">
      <c r="E843" s="49"/>
      <c r="G843" s="50"/>
      <c r="H843" s="51"/>
      <c r="I843" s="51"/>
      <c r="J843" s="51"/>
      <c r="K843" s="51"/>
    </row>
    <row r="844" ht="15.75" customHeight="1">
      <c r="E844" s="49"/>
      <c r="G844" s="50"/>
      <c r="H844" s="51"/>
      <c r="I844" s="51"/>
      <c r="J844" s="51"/>
      <c r="K844" s="51"/>
    </row>
    <row r="845" ht="15.75" customHeight="1">
      <c r="E845" s="49"/>
      <c r="G845" s="50"/>
      <c r="H845" s="51"/>
      <c r="I845" s="51"/>
      <c r="J845" s="51"/>
      <c r="K845" s="51"/>
    </row>
    <row r="846" ht="15.75" customHeight="1">
      <c r="E846" s="49"/>
      <c r="G846" s="50"/>
      <c r="H846" s="51"/>
      <c r="I846" s="51"/>
      <c r="J846" s="51"/>
      <c r="K846" s="51"/>
    </row>
    <row r="847" ht="15.75" customHeight="1">
      <c r="E847" s="49"/>
      <c r="G847" s="50"/>
      <c r="H847" s="51"/>
      <c r="I847" s="51"/>
      <c r="J847" s="51"/>
      <c r="K847" s="51"/>
    </row>
    <row r="848" ht="15.75" customHeight="1">
      <c r="E848" s="49"/>
      <c r="G848" s="50"/>
      <c r="H848" s="51"/>
      <c r="I848" s="51"/>
      <c r="J848" s="51"/>
      <c r="K848" s="51"/>
    </row>
    <row r="849" ht="15.75" customHeight="1">
      <c r="E849" s="49"/>
      <c r="G849" s="50"/>
      <c r="H849" s="51"/>
      <c r="I849" s="51"/>
      <c r="J849" s="51"/>
      <c r="K849" s="51"/>
    </row>
    <row r="850" ht="15.75" customHeight="1">
      <c r="E850" s="49"/>
      <c r="G850" s="50"/>
      <c r="H850" s="51"/>
      <c r="I850" s="51"/>
      <c r="J850" s="51"/>
      <c r="K850" s="51"/>
    </row>
    <row r="851" ht="15.75" customHeight="1">
      <c r="E851" s="49"/>
      <c r="G851" s="50"/>
      <c r="H851" s="51"/>
      <c r="I851" s="51"/>
      <c r="J851" s="51"/>
      <c r="K851" s="51"/>
    </row>
    <row r="852" ht="15.75" customHeight="1">
      <c r="E852" s="49"/>
      <c r="G852" s="50"/>
      <c r="H852" s="51"/>
      <c r="I852" s="51"/>
      <c r="J852" s="51"/>
      <c r="K852" s="51"/>
    </row>
    <row r="853" ht="15.75" customHeight="1">
      <c r="E853" s="49"/>
      <c r="G853" s="50"/>
      <c r="H853" s="51"/>
      <c r="I853" s="51"/>
      <c r="J853" s="51"/>
      <c r="K853" s="51"/>
    </row>
    <row r="854" ht="15.75" customHeight="1">
      <c r="E854" s="49"/>
      <c r="G854" s="50"/>
      <c r="H854" s="51"/>
      <c r="I854" s="51"/>
      <c r="J854" s="51"/>
      <c r="K854" s="51"/>
    </row>
    <row r="855" ht="15.75" customHeight="1">
      <c r="E855" s="49"/>
      <c r="G855" s="50"/>
      <c r="H855" s="51"/>
      <c r="I855" s="51"/>
      <c r="J855" s="51"/>
      <c r="K855" s="51"/>
    </row>
    <row r="856" ht="15.75" customHeight="1">
      <c r="E856" s="49"/>
      <c r="G856" s="50"/>
      <c r="H856" s="51"/>
      <c r="I856" s="51"/>
      <c r="J856" s="51"/>
      <c r="K856" s="51"/>
    </row>
    <row r="857" ht="15.75" customHeight="1">
      <c r="E857" s="49"/>
      <c r="G857" s="50"/>
      <c r="H857" s="51"/>
      <c r="I857" s="51"/>
      <c r="J857" s="51"/>
      <c r="K857" s="51"/>
    </row>
    <row r="858" ht="15.75" customHeight="1">
      <c r="E858" s="49"/>
      <c r="G858" s="50"/>
      <c r="H858" s="51"/>
      <c r="I858" s="51"/>
      <c r="J858" s="51"/>
      <c r="K858" s="51"/>
    </row>
    <row r="859" ht="15.75" customHeight="1">
      <c r="E859" s="49"/>
      <c r="G859" s="50"/>
      <c r="H859" s="51"/>
      <c r="I859" s="51"/>
      <c r="J859" s="51"/>
      <c r="K859" s="51"/>
    </row>
    <row r="860" ht="15.75" customHeight="1">
      <c r="E860" s="49"/>
      <c r="G860" s="50"/>
      <c r="H860" s="51"/>
      <c r="I860" s="51"/>
      <c r="J860" s="51"/>
      <c r="K860" s="51"/>
    </row>
    <row r="861" ht="15.75" customHeight="1">
      <c r="E861" s="49"/>
      <c r="G861" s="50"/>
      <c r="H861" s="51"/>
      <c r="I861" s="51"/>
      <c r="J861" s="51"/>
      <c r="K861" s="51"/>
    </row>
    <row r="862" ht="15.75" customHeight="1">
      <c r="E862" s="49"/>
      <c r="G862" s="50"/>
      <c r="H862" s="51"/>
      <c r="I862" s="51"/>
      <c r="J862" s="51"/>
      <c r="K862" s="51"/>
    </row>
    <row r="863" ht="15.75" customHeight="1">
      <c r="E863" s="49"/>
      <c r="G863" s="50"/>
      <c r="H863" s="51"/>
      <c r="I863" s="51"/>
      <c r="J863" s="51"/>
      <c r="K863" s="51"/>
    </row>
    <row r="864" ht="15.75" customHeight="1">
      <c r="E864" s="49"/>
      <c r="G864" s="50"/>
      <c r="H864" s="51"/>
      <c r="I864" s="51"/>
      <c r="J864" s="51"/>
      <c r="K864" s="51"/>
    </row>
    <row r="865" ht="15.75" customHeight="1">
      <c r="E865" s="49"/>
      <c r="G865" s="50"/>
      <c r="H865" s="51"/>
      <c r="I865" s="51"/>
      <c r="J865" s="51"/>
      <c r="K865" s="51"/>
    </row>
    <row r="866" ht="15.75" customHeight="1">
      <c r="E866" s="49"/>
      <c r="G866" s="50"/>
      <c r="H866" s="51"/>
      <c r="I866" s="51"/>
      <c r="J866" s="51"/>
      <c r="K866" s="51"/>
    </row>
    <row r="867" ht="15.75" customHeight="1">
      <c r="E867" s="49"/>
      <c r="G867" s="50"/>
      <c r="H867" s="51"/>
      <c r="I867" s="51"/>
      <c r="J867" s="51"/>
      <c r="K867" s="51"/>
    </row>
    <row r="868" ht="15.75" customHeight="1">
      <c r="E868" s="49"/>
      <c r="G868" s="50"/>
      <c r="H868" s="51"/>
      <c r="I868" s="51"/>
      <c r="J868" s="51"/>
      <c r="K868" s="51"/>
    </row>
    <row r="869" ht="15.75" customHeight="1">
      <c r="E869" s="49"/>
      <c r="G869" s="50"/>
      <c r="H869" s="51"/>
      <c r="I869" s="51"/>
      <c r="J869" s="51"/>
      <c r="K869" s="51"/>
    </row>
    <row r="870" ht="15.75" customHeight="1">
      <c r="E870" s="49"/>
      <c r="G870" s="50"/>
      <c r="H870" s="51"/>
      <c r="I870" s="51"/>
      <c r="J870" s="51"/>
      <c r="K870" s="51"/>
    </row>
    <row r="871" ht="15.75" customHeight="1">
      <c r="E871" s="49"/>
      <c r="G871" s="50"/>
      <c r="H871" s="51"/>
      <c r="I871" s="51"/>
      <c r="J871" s="51"/>
      <c r="K871" s="51"/>
    </row>
    <row r="872" ht="15.75" customHeight="1">
      <c r="E872" s="49"/>
      <c r="G872" s="50"/>
      <c r="H872" s="51"/>
      <c r="I872" s="51"/>
      <c r="J872" s="51"/>
      <c r="K872" s="51"/>
    </row>
    <row r="873" ht="15.75" customHeight="1">
      <c r="E873" s="49"/>
      <c r="G873" s="50"/>
      <c r="H873" s="51"/>
      <c r="I873" s="51"/>
      <c r="J873" s="51"/>
      <c r="K873" s="51"/>
    </row>
    <row r="874" ht="15.75" customHeight="1">
      <c r="E874" s="49"/>
      <c r="G874" s="50"/>
      <c r="H874" s="51"/>
      <c r="I874" s="51"/>
      <c r="J874" s="51"/>
      <c r="K874" s="51"/>
    </row>
    <row r="875" ht="15.75" customHeight="1">
      <c r="E875" s="49"/>
      <c r="G875" s="50"/>
      <c r="H875" s="51"/>
      <c r="I875" s="51"/>
      <c r="J875" s="51"/>
      <c r="K875" s="51"/>
    </row>
    <row r="876" ht="15.75" customHeight="1">
      <c r="E876" s="49"/>
      <c r="G876" s="50"/>
      <c r="H876" s="51"/>
      <c r="I876" s="51"/>
      <c r="J876" s="51"/>
      <c r="K876" s="51"/>
    </row>
    <row r="877" ht="15.75" customHeight="1">
      <c r="E877" s="49"/>
      <c r="G877" s="50"/>
      <c r="H877" s="51"/>
      <c r="I877" s="51"/>
      <c r="J877" s="51"/>
      <c r="K877" s="51"/>
    </row>
    <row r="878" ht="15.75" customHeight="1">
      <c r="E878" s="49"/>
      <c r="G878" s="50"/>
      <c r="H878" s="51"/>
      <c r="I878" s="51"/>
      <c r="J878" s="51"/>
      <c r="K878" s="51"/>
    </row>
    <row r="879" ht="15.75" customHeight="1">
      <c r="E879" s="49"/>
      <c r="G879" s="50"/>
      <c r="H879" s="51"/>
      <c r="I879" s="51"/>
      <c r="J879" s="51"/>
      <c r="K879" s="51"/>
    </row>
    <row r="880" ht="15.75" customHeight="1">
      <c r="E880" s="49"/>
      <c r="G880" s="50"/>
      <c r="H880" s="51"/>
      <c r="I880" s="51"/>
      <c r="J880" s="51"/>
      <c r="K880" s="51"/>
    </row>
    <row r="881" ht="15.75" customHeight="1">
      <c r="E881" s="49"/>
      <c r="G881" s="50"/>
      <c r="H881" s="51"/>
      <c r="I881" s="51"/>
      <c r="J881" s="51"/>
      <c r="K881" s="51"/>
    </row>
    <row r="882" ht="15.75" customHeight="1">
      <c r="E882" s="49"/>
      <c r="G882" s="50"/>
      <c r="H882" s="51"/>
      <c r="I882" s="51"/>
      <c r="J882" s="51"/>
      <c r="K882" s="51"/>
    </row>
    <row r="883" ht="15.75" customHeight="1">
      <c r="E883" s="49"/>
      <c r="G883" s="50"/>
      <c r="H883" s="51"/>
      <c r="I883" s="51"/>
      <c r="J883" s="51"/>
      <c r="K883" s="51"/>
    </row>
    <row r="884" ht="15.75" customHeight="1">
      <c r="E884" s="49"/>
      <c r="G884" s="50"/>
      <c r="H884" s="51"/>
      <c r="I884" s="51"/>
      <c r="J884" s="51"/>
      <c r="K884" s="51"/>
    </row>
    <row r="885" ht="15.75" customHeight="1">
      <c r="E885" s="49"/>
      <c r="G885" s="50"/>
      <c r="H885" s="51"/>
      <c r="I885" s="51"/>
      <c r="J885" s="51"/>
      <c r="K885" s="51"/>
    </row>
    <row r="886" ht="15.75" customHeight="1">
      <c r="E886" s="49"/>
      <c r="G886" s="50"/>
      <c r="H886" s="51"/>
      <c r="I886" s="51"/>
      <c r="J886" s="51"/>
      <c r="K886" s="51"/>
    </row>
    <row r="887" ht="15.75" customHeight="1">
      <c r="E887" s="49"/>
      <c r="G887" s="50"/>
      <c r="H887" s="51"/>
      <c r="I887" s="51"/>
      <c r="J887" s="51"/>
      <c r="K887" s="51"/>
    </row>
    <row r="888" ht="15.75" customHeight="1">
      <c r="E888" s="49"/>
      <c r="G888" s="50"/>
      <c r="H888" s="51"/>
      <c r="I888" s="51"/>
      <c r="J888" s="51"/>
      <c r="K888" s="51"/>
    </row>
    <row r="889" ht="15.75" customHeight="1">
      <c r="E889" s="49"/>
      <c r="G889" s="50"/>
      <c r="H889" s="51"/>
      <c r="I889" s="51"/>
      <c r="J889" s="51"/>
      <c r="K889" s="51"/>
    </row>
    <row r="890" ht="15.75" customHeight="1">
      <c r="E890" s="49"/>
      <c r="G890" s="50"/>
      <c r="H890" s="51"/>
      <c r="I890" s="51"/>
      <c r="J890" s="51"/>
      <c r="K890" s="51"/>
    </row>
    <row r="891" ht="15.75" customHeight="1">
      <c r="E891" s="49"/>
      <c r="G891" s="50"/>
      <c r="H891" s="51"/>
      <c r="I891" s="51"/>
      <c r="J891" s="51"/>
      <c r="K891" s="51"/>
    </row>
    <row r="892" ht="15.75" customHeight="1">
      <c r="E892" s="49"/>
      <c r="G892" s="50"/>
      <c r="H892" s="51"/>
      <c r="I892" s="51"/>
      <c r="J892" s="51"/>
      <c r="K892" s="51"/>
    </row>
    <row r="893" ht="15.75" customHeight="1">
      <c r="E893" s="49"/>
      <c r="G893" s="50"/>
      <c r="H893" s="51"/>
      <c r="I893" s="51"/>
      <c r="J893" s="51"/>
      <c r="K893" s="51"/>
    </row>
    <row r="894" ht="15.75" customHeight="1">
      <c r="E894" s="49"/>
      <c r="G894" s="50"/>
      <c r="H894" s="51"/>
      <c r="I894" s="51"/>
      <c r="J894" s="51"/>
      <c r="K894" s="51"/>
    </row>
    <row r="895" ht="15.75" customHeight="1">
      <c r="E895" s="49"/>
      <c r="G895" s="50"/>
      <c r="H895" s="51"/>
      <c r="I895" s="51"/>
      <c r="J895" s="51"/>
      <c r="K895" s="51"/>
    </row>
    <row r="896" ht="15.75" customHeight="1">
      <c r="E896" s="49"/>
      <c r="G896" s="50"/>
      <c r="H896" s="51"/>
      <c r="I896" s="51"/>
      <c r="J896" s="51"/>
      <c r="K896" s="51"/>
    </row>
    <row r="897" ht="15.75" customHeight="1">
      <c r="E897" s="49"/>
      <c r="G897" s="50"/>
      <c r="H897" s="51"/>
      <c r="I897" s="51"/>
      <c r="J897" s="51"/>
      <c r="K897" s="51"/>
    </row>
    <row r="898" ht="15.75" customHeight="1">
      <c r="E898" s="49"/>
      <c r="G898" s="50"/>
      <c r="H898" s="51"/>
      <c r="I898" s="51"/>
      <c r="J898" s="51"/>
      <c r="K898" s="51"/>
    </row>
    <row r="899" ht="15.75" customHeight="1">
      <c r="E899" s="49"/>
      <c r="G899" s="50"/>
      <c r="H899" s="51"/>
      <c r="I899" s="51"/>
      <c r="J899" s="51"/>
      <c r="K899" s="51"/>
    </row>
    <row r="900" ht="15.75" customHeight="1">
      <c r="E900" s="49"/>
      <c r="G900" s="50"/>
      <c r="H900" s="51"/>
      <c r="I900" s="51"/>
      <c r="J900" s="51"/>
      <c r="K900" s="51"/>
    </row>
    <row r="901" ht="15.75" customHeight="1">
      <c r="E901" s="49"/>
      <c r="G901" s="50"/>
      <c r="H901" s="51"/>
      <c r="I901" s="51"/>
      <c r="J901" s="51"/>
      <c r="K901" s="51"/>
    </row>
    <row r="902" ht="15.75" customHeight="1">
      <c r="E902" s="49"/>
      <c r="G902" s="50"/>
      <c r="H902" s="51"/>
      <c r="I902" s="51"/>
      <c r="J902" s="51"/>
      <c r="K902" s="51"/>
    </row>
    <row r="903" ht="15.75" customHeight="1">
      <c r="E903" s="49"/>
      <c r="G903" s="50"/>
      <c r="H903" s="51"/>
      <c r="I903" s="51"/>
      <c r="J903" s="51"/>
      <c r="K903" s="51"/>
    </row>
    <row r="904" ht="15.75" customHeight="1">
      <c r="E904" s="49"/>
      <c r="G904" s="50"/>
      <c r="H904" s="51"/>
      <c r="I904" s="51"/>
      <c r="J904" s="51"/>
      <c r="K904" s="51"/>
    </row>
    <row r="905" ht="15.75" customHeight="1">
      <c r="E905" s="49"/>
      <c r="G905" s="50"/>
      <c r="H905" s="51"/>
      <c r="I905" s="51"/>
      <c r="J905" s="51"/>
      <c r="K905" s="51"/>
    </row>
    <row r="906" ht="15.75" customHeight="1">
      <c r="E906" s="49"/>
      <c r="G906" s="50"/>
      <c r="H906" s="51"/>
      <c r="I906" s="51"/>
      <c r="J906" s="51"/>
      <c r="K906" s="51"/>
    </row>
    <row r="907" ht="15.75" customHeight="1">
      <c r="E907" s="49"/>
      <c r="G907" s="50"/>
      <c r="H907" s="51"/>
      <c r="I907" s="51"/>
      <c r="J907" s="51"/>
      <c r="K907" s="51"/>
    </row>
    <row r="908" ht="15.75" customHeight="1">
      <c r="E908" s="49"/>
      <c r="G908" s="50"/>
      <c r="H908" s="51"/>
      <c r="I908" s="51"/>
      <c r="J908" s="51"/>
      <c r="K908" s="51"/>
    </row>
    <row r="909" ht="15.75" customHeight="1">
      <c r="E909" s="49"/>
      <c r="G909" s="50"/>
      <c r="H909" s="51"/>
      <c r="I909" s="51"/>
      <c r="J909" s="51"/>
      <c r="K909" s="51"/>
    </row>
    <row r="910" ht="15.75" customHeight="1">
      <c r="E910" s="49"/>
      <c r="G910" s="50"/>
      <c r="H910" s="51"/>
      <c r="I910" s="51"/>
      <c r="J910" s="51"/>
      <c r="K910" s="51"/>
    </row>
    <row r="911" ht="15.75" customHeight="1">
      <c r="E911" s="49"/>
      <c r="G911" s="50"/>
      <c r="H911" s="51"/>
      <c r="I911" s="51"/>
      <c r="J911" s="51"/>
      <c r="K911" s="51"/>
    </row>
    <row r="912" ht="15.75" customHeight="1">
      <c r="E912" s="49"/>
      <c r="G912" s="50"/>
      <c r="H912" s="51"/>
      <c r="I912" s="51"/>
      <c r="J912" s="51"/>
      <c r="K912" s="51"/>
    </row>
    <row r="913" ht="15.75" customHeight="1">
      <c r="E913" s="49"/>
      <c r="G913" s="50"/>
      <c r="H913" s="51"/>
      <c r="I913" s="51"/>
      <c r="J913" s="51"/>
      <c r="K913" s="51"/>
    </row>
    <row r="914" ht="15.75" customHeight="1">
      <c r="E914" s="49"/>
      <c r="G914" s="50"/>
      <c r="H914" s="51"/>
      <c r="I914" s="51"/>
      <c r="J914" s="51"/>
      <c r="K914" s="51"/>
    </row>
    <row r="915" ht="15.75" customHeight="1">
      <c r="E915" s="49"/>
      <c r="G915" s="50"/>
      <c r="H915" s="51"/>
      <c r="I915" s="51"/>
      <c r="J915" s="51"/>
      <c r="K915" s="51"/>
    </row>
    <row r="916" ht="15.75" customHeight="1">
      <c r="E916" s="49"/>
      <c r="G916" s="50"/>
      <c r="H916" s="51"/>
      <c r="I916" s="51"/>
      <c r="J916" s="51"/>
      <c r="K916" s="51"/>
    </row>
    <row r="917" ht="15.75" customHeight="1">
      <c r="E917" s="49"/>
      <c r="G917" s="50"/>
      <c r="H917" s="51"/>
      <c r="I917" s="51"/>
      <c r="J917" s="51"/>
      <c r="K917" s="51"/>
    </row>
    <row r="918" ht="15.75" customHeight="1">
      <c r="E918" s="49"/>
      <c r="G918" s="50"/>
      <c r="H918" s="51"/>
      <c r="I918" s="51"/>
      <c r="J918" s="51"/>
      <c r="K918" s="51"/>
    </row>
    <row r="919" ht="15.75" customHeight="1">
      <c r="E919" s="49"/>
      <c r="G919" s="50"/>
      <c r="H919" s="51"/>
      <c r="I919" s="51"/>
      <c r="J919" s="51"/>
      <c r="K919" s="51"/>
    </row>
    <row r="920" ht="15.75" customHeight="1">
      <c r="E920" s="49"/>
      <c r="G920" s="50"/>
      <c r="H920" s="51"/>
      <c r="I920" s="51"/>
      <c r="J920" s="51"/>
      <c r="K920" s="51"/>
    </row>
    <row r="921" ht="15.75" customHeight="1">
      <c r="E921" s="49"/>
      <c r="G921" s="50"/>
      <c r="H921" s="51"/>
      <c r="I921" s="51"/>
      <c r="J921" s="51"/>
      <c r="K921" s="51"/>
    </row>
    <row r="922" ht="15.75" customHeight="1">
      <c r="E922" s="49"/>
      <c r="G922" s="50"/>
      <c r="H922" s="51"/>
      <c r="I922" s="51"/>
      <c r="J922" s="51"/>
      <c r="K922" s="51"/>
    </row>
    <row r="923" ht="15.75" customHeight="1">
      <c r="E923" s="49"/>
      <c r="G923" s="50"/>
      <c r="H923" s="51"/>
      <c r="I923" s="51"/>
      <c r="J923" s="51"/>
      <c r="K923" s="51"/>
    </row>
    <row r="924" ht="15.75" customHeight="1">
      <c r="E924" s="49"/>
      <c r="G924" s="50"/>
      <c r="H924" s="51"/>
      <c r="I924" s="51"/>
      <c r="J924" s="51"/>
      <c r="K924" s="51"/>
    </row>
    <row r="925" ht="15.75" customHeight="1">
      <c r="E925" s="49"/>
      <c r="G925" s="50"/>
      <c r="H925" s="51"/>
      <c r="I925" s="51"/>
      <c r="J925" s="51"/>
      <c r="K925" s="51"/>
    </row>
    <row r="926" ht="15.75" customHeight="1">
      <c r="E926" s="49"/>
      <c r="G926" s="50"/>
      <c r="H926" s="51"/>
      <c r="I926" s="51"/>
      <c r="J926" s="51"/>
      <c r="K926" s="51"/>
    </row>
    <row r="927" ht="15.75" customHeight="1">
      <c r="E927" s="49"/>
      <c r="G927" s="50"/>
      <c r="H927" s="51"/>
      <c r="I927" s="51"/>
      <c r="J927" s="51"/>
      <c r="K927" s="51"/>
    </row>
    <row r="928" ht="15.75" customHeight="1">
      <c r="E928" s="49"/>
      <c r="G928" s="50"/>
      <c r="H928" s="51"/>
      <c r="I928" s="51"/>
      <c r="J928" s="51"/>
      <c r="K928" s="51"/>
    </row>
  </sheetData>
  <autoFilter ref="$A$1:$L$318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.29"/>
    <col customWidth="1" min="3" max="4" width="4.14"/>
    <col customWidth="1" min="5" max="5" width="3.14"/>
    <col customWidth="1" min="6" max="6" width="31.29"/>
    <col customWidth="1" min="7" max="7" width="21.14"/>
    <col customWidth="1" hidden="1" min="8" max="8" width="4.57"/>
    <col customWidth="1" hidden="1" min="9" max="9" width="10.57"/>
    <col customWidth="1" hidden="1" min="10" max="12" width="4.86"/>
    <col customWidth="1" hidden="1" min="13" max="14" width="17.14"/>
    <col customWidth="1" hidden="1" min="15" max="15" width="13.71"/>
    <col customWidth="1" hidden="1" min="16" max="16" width="8.71"/>
    <col customWidth="1" min="17" max="31" width="8.71"/>
  </cols>
  <sheetData>
    <row r="1" ht="14.25" customHeight="1">
      <c r="A1" s="64" t="s">
        <v>0</v>
      </c>
      <c r="B1" s="65" t="s">
        <v>1</v>
      </c>
      <c r="C1" s="66" t="s">
        <v>2</v>
      </c>
      <c r="D1" s="67" t="s">
        <v>3</v>
      </c>
      <c r="E1" s="68" t="s">
        <v>4</v>
      </c>
      <c r="F1" s="69" t="s">
        <v>5</v>
      </c>
      <c r="G1" s="70" t="s">
        <v>6</v>
      </c>
      <c r="H1" s="5" t="s">
        <v>7</v>
      </c>
      <c r="I1" s="6" t="s">
        <v>8</v>
      </c>
      <c r="J1" s="71" t="s">
        <v>9</v>
      </c>
      <c r="K1" s="71" t="s">
        <v>10</v>
      </c>
      <c r="L1" s="71" t="s">
        <v>11</v>
      </c>
      <c r="M1" s="7" t="s">
        <v>12</v>
      </c>
      <c r="N1" s="7" t="s">
        <v>13</v>
      </c>
      <c r="O1" s="7" t="s">
        <v>14</v>
      </c>
      <c r="P1" s="72" t="s">
        <v>15</v>
      </c>
    </row>
    <row r="2">
      <c r="A2" s="21" t="s">
        <v>860</v>
      </c>
      <c r="B2" s="9" t="str">
        <f t="shared" ref="B2:B483" si="1">LEFT(A2,FIND(".",A2))</f>
        <v>Ів.</v>
      </c>
      <c r="C2" s="10" t="s">
        <v>861</v>
      </c>
      <c r="D2" s="11" t="str">
        <f t="shared" ref="D2:D483" si="2">MID(A2,FIND(".",A2)+2,FIND(" ",RIGHT(A2,LEN(A2)-FIND(".",A2)-1))-1)</f>
        <v>1</v>
      </c>
      <c r="E2" s="9"/>
      <c r="F2" s="13" t="s">
        <v>862</v>
      </c>
      <c r="G2" s="14"/>
      <c r="H2" s="15"/>
      <c r="I2" s="16" t="s">
        <v>20</v>
      </c>
      <c r="J2" s="55">
        <v>7.0</v>
      </c>
      <c r="K2" s="54"/>
      <c r="L2" s="55">
        <v>7.0</v>
      </c>
      <c r="M2" s="18" t="str">
        <f>IFNA( VLOOKUP(LEFT(F2, IFERROR(FIND(" ", F2, 1),1) - 1), lists!$A$31:$B$37, 2, FALSE),"")</f>
        <v/>
      </c>
      <c r="N2" s="18" t="str">
        <f>IFERROR(__xludf.DUMMYFUNCTION("IFNA(VLOOKUP(IFNA(REGEXEXTRACT(F2, ""(Пасхи|50-ці|посту)""),""""),lists!$A$39:$B$41,2,FALSE),"""")"),"pascha")</f>
        <v>pascha</v>
      </c>
      <c r="O2" s="19" t="str">
        <f>IFERROR(__xludf.DUMMYFUNCTION("IFNA(REGEXEXTRACT(F2, ""\d{1,2}""),"""")"),"")</f>
        <v/>
      </c>
      <c r="P2" s="14" t="b">
        <f t="shared" ref="P2:P25" si="3">AND(OR(I2="",J2="",L2=""),H2="")</f>
        <v>0</v>
      </c>
    </row>
    <row r="3">
      <c r="A3" s="21" t="s">
        <v>863</v>
      </c>
      <c r="B3" s="9" t="str">
        <f t="shared" si="1"/>
        <v>Ів.</v>
      </c>
      <c r="C3" s="10" t="s">
        <v>861</v>
      </c>
      <c r="D3" s="11" t="str">
        <f t="shared" si="2"/>
        <v>2</v>
      </c>
      <c r="E3" s="9"/>
      <c r="F3" s="13" t="s">
        <v>846</v>
      </c>
      <c r="G3" s="14"/>
      <c r="H3" s="15"/>
      <c r="I3" s="16" t="s">
        <v>24</v>
      </c>
      <c r="J3" s="55">
        <v>1.0</v>
      </c>
      <c r="K3" s="54"/>
      <c r="L3" s="55">
        <v>1.0</v>
      </c>
      <c r="M3" s="18">
        <f>IFNA( VLOOKUP(LEFT(F3, IFERROR(FIND(" ", F3, 1),1) - 1), lists!$A$31:$B$37, 2, FALSE),"")</f>
        <v>1</v>
      </c>
      <c r="N3" s="18" t="str">
        <f>IFERROR(__xludf.DUMMYFUNCTION("IFNA(VLOOKUP(IFNA(REGEXEXTRACT(F3, ""(Пасхи|50-ці|посту)""),""""),lists!$A$39:$B$41,2,FALSE),"""")"),"")</f>
        <v/>
      </c>
      <c r="O3" s="19" t="str">
        <f>IFERROR(__xludf.DUMMYFUNCTION("IFNA(REGEXEXTRACT(F3, ""\d{1,2}""),"""")"),"")</f>
        <v/>
      </c>
      <c r="P3" s="14" t="b">
        <f t="shared" si="3"/>
        <v>0</v>
      </c>
    </row>
    <row r="4">
      <c r="A4" s="21" t="s">
        <v>864</v>
      </c>
      <c r="B4" s="9" t="str">
        <f t="shared" si="1"/>
        <v>Ів.</v>
      </c>
      <c r="C4" s="10" t="s">
        <v>861</v>
      </c>
      <c r="D4" s="11" t="str">
        <f t="shared" si="2"/>
        <v>3</v>
      </c>
      <c r="E4" s="9"/>
      <c r="F4" s="13" t="s">
        <v>865</v>
      </c>
      <c r="G4" s="14"/>
      <c r="H4" s="15" t="s">
        <v>70</v>
      </c>
      <c r="I4" s="16" t="s">
        <v>71</v>
      </c>
      <c r="J4" s="54" t="s">
        <v>71</v>
      </c>
      <c r="K4" s="54"/>
      <c r="L4" s="55" t="s">
        <v>71</v>
      </c>
      <c r="M4" s="18" t="str">
        <f>IFNA( VLOOKUP(LEFT(F4, IFERROR(FIND(" ", F4, 1),1) - 1), lists!$A$31:$B$37, 2, FALSE),"")</f>
        <v/>
      </c>
      <c r="N4" s="18" t="str">
        <f>IFERROR(__xludf.DUMMYFUNCTION("IFNA(VLOOKUP(IFNA(REGEXEXTRACT(F4, ""(Пасхи|50-ці|посту)""),""""),lists!$A$39:$B$41,2,FALSE),"""")"),"")</f>
        <v/>
      </c>
      <c r="O4" s="19" t="str">
        <f>IFERROR(__xludf.DUMMYFUNCTION("IFNA(REGEXEXTRACT(F4, ""\d{1,2}""),"""")"),"")</f>
        <v/>
      </c>
      <c r="P4" s="14" t="b">
        <f t="shared" si="3"/>
        <v>0</v>
      </c>
    </row>
    <row r="5">
      <c r="A5" s="21" t="s">
        <v>866</v>
      </c>
      <c r="B5" s="9" t="str">
        <f t="shared" si="1"/>
        <v>Ів.</v>
      </c>
      <c r="C5" s="10" t="s">
        <v>861</v>
      </c>
      <c r="D5" s="11" t="str">
        <f t="shared" si="2"/>
        <v>4</v>
      </c>
      <c r="E5" s="9"/>
      <c r="F5" s="13" t="s">
        <v>867</v>
      </c>
      <c r="G5" s="14"/>
      <c r="H5" s="15" t="s">
        <v>70</v>
      </c>
      <c r="I5" s="16" t="s">
        <v>24</v>
      </c>
      <c r="J5" s="55">
        <v>1.0</v>
      </c>
      <c r="K5" s="54"/>
      <c r="L5" s="55">
        <v>3.0</v>
      </c>
      <c r="M5" s="18">
        <f>IFNA( VLOOKUP(LEFT(F5, IFERROR(FIND(" ", F5, 1),1) - 1), lists!$A$31:$B$37, 2, FALSE),"")</f>
        <v>3</v>
      </c>
      <c r="N5" s="18" t="str">
        <f>IFERROR(__xludf.DUMMYFUNCTION("IFNA(VLOOKUP(IFNA(REGEXEXTRACT(F5, ""(Пасхи|50-ці|посту)""),""""),lists!$A$39:$B$41,2,FALSE),"""")"),"")</f>
        <v/>
      </c>
      <c r="O5" s="19" t="str">
        <f>IFERROR(__xludf.DUMMYFUNCTION("IFNA(REGEXEXTRACT(F5, ""\d{1,2}""),"""")"),"")</f>
        <v/>
      </c>
      <c r="P5" s="14" t="b">
        <f t="shared" si="3"/>
        <v>0</v>
      </c>
    </row>
    <row r="6">
      <c r="A6" s="21" t="s">
        <v>868</v>
      </c>
      <c r="B6" s="9" t="str">
        <f t="shared" si="1"/>
        <v>Ів.</v>
      </c>
      <c r="C6" s="10" t="s">
        <v>861</v>
      </c>
      <c r="D6" s="11" t="str">
        <f t="shared" si="2"/>
        <v>5</v>
      </c>
      <c r="E6" s="9"/>
      <c r="F6" s="13" t="s">
        <v>869</v>
      </c>
      <c r="G6" s="14"/>
      <c r="H6" s="15" t="s">
        <v>70</v>
      </c>
      <c r="I6" s="16" t="s">
        <v>20</v>
      </c>
      <c r="J6" s="54">
        <v>1.0</v>
      </c>
      <c r="K6" s="54"/>
      <c r="L6" s="55">
        <v>7.0</v>
      </c>
      <c r="M6" s="18">
        <f>IFNA( VLOOKUP(LEFT(F6, IFERROR(FIND(" ", F6, 1),1) - 1), lists!$A$31:$B$37, 2, FALSE),"")</f>
        <v>7</v>
      </c>
      <c r="N6" s="18" t="str">
        <f>IFERROR(__xludf.DUMMYFUNCTION("IFNA(VLOOKUP(IFNA(REGEXEXTRACT(F6, ""(Пасхи|50-ці|посту)""),""""),lists!$A$39:$B$41,2,FALSE),"""")"),"lent")</f>
        <v>lent</v>
      </c>
      <c r="O6" s="19" t="str">
        <f>IFERROR(__xludf.DUMMYFUNCTION("IFNA(REGEXEXTRACT(F6, ""\d{1,2}""),"""")"),"1")</f>
        <v>1</v>
      </c>
      <c r="P6" s="14" t="b">
        <f t="shared" si="3"/>
        <v>0</v>
      </c>
    </row>
    <row r="7">
      <c r="A7" s="21" t="s">
        <v>870</v>
      </c>
      <c r="B7" s="9" t="str">
        <f t="shared" si="1"/>
        <v>Ів.</v>
      </c>
      <c r="C7" s="10" t="s">
        <v>861</v>
      </c>
      <c r="D7" s="11" t="str">
        <f t="shared" si="2"/>
        <v>6</v>
      </c>
      <c r="E7" s="9"/>
      <c r="F7" s="13" t="s">
        <v>871</v>
      </c>
      <c r="G7" s="14"/>
      <c r="H7" s="15"/>
      <c r="I7" s="16" t="s">
        <v>24</v>
      </c>
      <c r="J7" s="54">
        <v>2.0</v>
      </c>
      <c r="K7" s="54"/>
      <c r="L7" s="55">
        <v>1.0</v>
      </c>
      <c r="M7" s="18">
        <f>IFNA( VLOOKUP(LEFT(F7, IFERROR(FIND(" ", F7, 1),1) - 1), lists!$A$31:$B$37, 2, FALSE),"")</f>
        <v>1</v>
      </c>
      <c r="N7" s="18" t="str">
        <f>IFERROR(__xludf.DUMMYFUNCTION("IFNA(VLOOKUP(IFNA(REGEXEXTRACT(F7, ""(Пасхи|50-ці|посту)""),""""),lists!$A$39:$B$41,2,FALSE),"""")"),"")</f>
        <v/>
      </c>
      <c r="O7" s="19" t="str">
        <f>IFERROR(__xludf.DUMMYFUNCTION("IFNA(REGEXEXTRACT(F7, ""\d{1,2}""),"""")"),"2")</f>
        <v>2</v>
      </c>
      <c r="P7" s="14" t="b">
        <f t="shared" si="3"/>
        <v>0</v>
      </c>
    </row>
    <row r="8">
      <c r="A8" s="21" t="s">
        <v>872</v>
      </c>
      <c r="B8" s="9" t="str">
        <f t="shared" si="1"/>
        <v>Ів.</v>
      </c>
      <c r="C8" s="10" t="s">
        <v>861</v>
      </c>
      <c r="D8" s="11" t="str">
        <f t="shared" si="2"/>
        <v>7</v>
      </c>
      <c r="E8" s="9"/>
      <c r="F8" s="13" t="s">
        <v>37</v>
      </c>
      <c r="G8" s="14"/>
      <c r="H8" s="15"/>
      <c r="I8" s="16" t="s">
        <v>24</v>
      </c>
      <c r="J8" s="55">
        <v>1.0</v>
      </c>
      <c r="K8" s="54"/>
      <c r="L8" s="55">
        <v>5.0</v>
      </c>
      <c r="M8" s="18">
        <f>IFNA( VLOOKUP(LEFT(F8, IFERROR(FIND(" ", F8, 1),1) - 1), lists!$A$31:$B$37, 2, FALSE),"")</f>
        <v>5</v>
      </c>
      <c r="N8" s="18" t="str">
        <f>IFERROR(__xludf.DUMMYFUNCTION("IFNA(VLOOKUP(IFNA(REGEXEXTRACT(F8, ""(Пасхи|50-ці|посту)""),""""),lists!$A$39:$B$41,2,FALSE),"""")"),"")</f>
        <v/>
      </c>
      <c r="O8" s="19" t="str">
        <f>IFERROR(__xludf.DUMMYFUNCTION("IFNA(REGEXEXTRACT(F8, ""\d{1,2}""),"""")"),"")</f>
        <v/>
      </c>
      <c r="P8" s="14" t="b">
        <f t="shared" si="3"/>
        <v>0</v>
      </c>
    </row>
    <row r="9">
      <c r="A9" s="21" t="s">
        <v>873</v>
      </c>
      <c r="B9" s="9" t="str">
        <f t="shared" si="1"/>
        <v>Ів.</v>
      </c>
      <c r="C9" s="10" t="s">
        <v>861</v>
      </c>
      <c r="D9" s="11" t="str">
        <f t="shared" si="2"/>
        <v>8</v>
      </c>
      <c r="E9" s="9"/>
      <c r="F9" s="13" t="s">
        <v>35</v>
      </c>
      <c r="G9" s="14"/>
      <c r="H9" s="15"/>
      <c r="I9" s="16" t="s">
        <v>24</v>
      </c>
      <c r="J9" s="55">
        <v>1.0</v>
      </c>
      <c r="K9" s="54"/>
      <c r="L9" s="55">
        <v>4.0</v>
      </c>
      <c r="M9" s="18">
        <f>IFNA( VLOOKUP(LEFT(F9, IFERROR(FIND(" ", F9, 1),1) - 1), lists!$A$31:$B$37, 2, FALSE),"")</f>
        <v>4</v>
      </c>
      <c r="N9" s="18" t="str">
        <f>IFERROR(__xludf.DUMMYFUNCTION("IFNA(VLOOKUP(IFNA(REGEXEXTRACT(F9, ""(Пасхи|50-ці|посту)""),""""),lists!$A$39:$B$41,2,FALSE),"""")"),"")</f>
        <v/>
      </c>
      <c r="O9" s="19" t="str">
        <f>IFERROR(__xludf.DUMMYFUNCTION("IFNA(REGEXEXTRACT(F9, ""\d{1,2}""),"""")"),"")</f>
        <v/>
      </c>
      <c r="P9" s="14" t="b">
        <f t="shared" si="3"/>
        <v>0</v>
      </c>
    </row>
    <row r="10">
      <c r="A10" s="21" t="s">
        <v>874</v>
      </c>
      <c r="B10" s="9" t="str">
        <f t="shared" si="1"/>
        <v>Ів.</v>
      </c>
      <c r="C10" s="10" t="s">
        <v>861</v>
      </c>
      <c r="D10" s="11" t="str">
        <f t="shared" si="2"/>
        <v>9</v>
      </c>
      <c r="E10" s="9"/>
      <c r="F10" s="21" t="s">
        <v>875</v>
      </c>
      <c r="G10" s="14"/>
      <c r="H10" s="15" t="s">
        <v>70</v>
      </c>
      <c r="I10" s="16" t="s">
        <v>71</v>
      </c>
      <c r="J10" s="54" t="s">
        <v>71</v>
      </c>
      <c r="K10" s="54"/>
      <c r="L10" s="55">
        <v>7.0</v>
      </c>
      <c r="M10" s="18">
        <f>IFNA( VLOOKUP(LEFT(F10, IFERROR(FIND(" ", F10, 1),1) - 1), lists!$A$31:$B$37, 2, FALSE),"")</f>
        <v>7</v>
      </c>
      <c r="N10" s="18" t="str">
        <f>IFERROR(__xludf.DUMMYFUNCTION("IFNA(VLOOKUP(IFNA(REGEXEXTRACT(F10, ""(Пасхи|50-ці|посту)""),""""),lists!$A$39:$B$41,2,FALSE),"""")"),"")</f>
        <v/>
      </c>
      <c r="O10" s="19" t="str">
        <f>IFERROR(__xludf.DUMMYFUNCTION("IFNA(REGEXEXTRACT(F10, ""\d{1,2}""),"""")"),"")</f>
        <v/>
      </c>
      <c r="P10" s="14" t="b">
        <f t="shared" si="3"/>
        <v>0</v>
      </c>
    </row>
    <row r="11">
      <c r="A11" s="21" t="s">
        <v>876</v>
      </c>
      <c r="B11" s="9" t="str">
        <f t="shared" si="1"/>
        <v>Ів.</v>
      </c>
      <c r="C11" s="10" t="s">
        <v>861</v>
      </c>
      <c r="D11" s="11" t="str">
        <f t="shared" si="2"/>
        <v>10</v>
      </c>
      <c r="E11" s="9"/>
      <c r="F11" s="13" t="s">
        <v>877</v>
      </c>
      <c r="G11" s="14"/>
      <c r="H11" s="22"/>
      <c r="I11" s="16" t="s">
        <v>24</v>
      </c>
      <c r="J11" s="54">
        <v>2.0</v>
      </c>
      <c r="K11" s="54"/>
      <c r="L11" s="55">
        <v>2.0</v>
      </c>
      <c r="M11" s="18">
        <f>IFNA( VLOOKUP(LEFT(F11, IFERROR(FIND(" ", F11, 1),1) - 1), lists!$A$31:$B$37, 2, FALSE),"")</f>
        <v>2</v>
      </c>
      <c r="N11" s="18" t="str">
        <f>IFERROR(__xludf.DUMMYFUNCTION("IFNA(VLOOKUP(IFNA(REGEXEXTRACT(F11, ""(Пасхи|50-ці|посту)""),""""),lists!$A$39:$B$41,2,FALSE),"""")"),"")</f>
        <v/>
      </c>
      <c r="O11" s="19" t="str">
        <f>IFERROR(__xludf.DUMMYFUNCTION("IFNA(REGEXEXTRACT(F11, ""\d{1,2}""),"""")"),"2")</f>
        <v>2</v>
      </c>
      <c r="P11" s="14" t="b">
        <f t="shared" si="3"/>
        <v>0</v>
      </c>
    </row>
    <row r="12">
      <c r="A12" s="21" t="s">
        <v>878</v>
      </c>
      <c r="B12" s="9" t="str">
        <f t="shared" si="1"/>
        <v>Ів.</v>
      </c>
      <c r="C12" s="10" t="s">
        <v>861</v>
      </c>
      <c r="D12" s="11" t="str">
        <f t="shared" si="2"/>
        <v>11</v>
      </c>
      <c r="E12" s="9"/>
      <c r="F12" s="13" t="s">
        <v>39</v>
      </c>
      <c r="G12" s="14"/>
      <c r="H12" s="22"/>
      <c r="I12" s="16" t="s">
        <v>24</v>
      </c>
      <c r="J12" s="55">
        <v>1.0</v>
      </c>
      <c r="K12" s="54"/>
      <c r="L12" s="55">
        <v>6.0</v>
      </c>
      <c r="M12" s="18">
        <f>IFNA( VLOOKUP(LEFT(F12, IFERROR(FIND(" ", F12, 1),1) - 1), lists!$A$31:$B$37, 2, FALSE),"")</f>
        <v>6</v>
      </c>
      <c r="N12" s="18" t="str">
        <f>IFERROR(__xludf.DUMMYFUNCTION("IFNA(VLOOKUP(IFNA(REGEXEXTRACT(F12, ""(Пасхи|50-ці|посту)""),""""),lists!$A$39:$B$41,2,FALSE),"""")"),"")</f>
        <v/>
      </c>
      <c r="O12" s="19" t="str">
        <f>IFERROR(__xludf.DUMMYFUNCTION("IFNA(REGEXEXTRACT(F12, ""\d{1,2}""),"""")"),"")</f>
        <v/>
      </c>
      <c r="P12" s="14" t="b">
        <f t="shared" si="3"/>
        <v>0</v>
      </c>
    </row>
    <row r="13">
      <c r="A13" s="21" t="s">
        <v>879</v>
      </c>
      <c r="B13" s="9" t="str">
        <f t="shared" si="1"/>
        <v>Ів.</v>
      </c>
      <c r="C13" s="10" t="s">
        <v>861</v>
      </c>
      <c r="D13" s="11" t="str">
        <f t="shared" si="2"/>
        <v>12</v>
      </c>
      <c r="E13" s="9"/>
      <c r="F13" s="13" t="s">
        <v>880</v>
      </c>
      <c r="G13" s="14"/>
      <c r="H13" s="22"/>
      <c r="I13" s="16" t="s">
        <v>24</v>
      </c>
      <c r="J13" s="54">
        <v>5.0</v>
      </c>
      <c r="K13" s="54"/>
      <c r="L13" s="55">
        <v>7.0</v>
      </c>
      <c r="M13" s="18">
        <f>IFNA( VLOOKUP(LEFT(F13, IFERROR(FIND(" ", F13, 1),1) - 1), lists!$A$31:$B$37, 2, FALSE),"")</f>
        <v>7</v>
      </c>
      <c r="N13" s="18" t="str">
        <f>IFERROR(__xludf.DUMMYFUNCTION("IFNA(VLOOKUP(IFNA(REGEXEXTRACT(F13, ""(Пасхи|50-ці|посту)""),""""),lists!$A$39:$B$41,2,FALSE),"""")"),"pascha")</f>
        <v>pascha</v>
      </c>
      <c r="O13" s="19" t="str">
        <f>IFERROR(__xludf.DUMMYFUNCTION("IFNA(REGEXEXTRACT(F13, ""\d{1,2}""),"""")"),"5")</f>
        <v>5</v>
      </c>
      <c r="P13" s="14" t="b">
        <f t="shared" si="3"/>
        <v>0</v>
      </c>
    </row>
    <row r="14">
      <c r="A14" s="21" t="s">
        <v>881</v>
      </c>
      <c r="B14" s="9" t="str">
        <f t="shared" si="1"/>
        <v>Ів.</v>
      </c>
      <c r="C14" s="10" t="s">
        <v>861</v>
      </c>
      <c r="D14" s="11" t="str">
        <f t="shared" si="2"/>
        <v>13</v>
      </c>
      <c r="E14" s="9"/>
      <c r="F14" s="13" t="s">
        <v>882</v>
      </c>
      <c r="G14" s="14"/>
      <c r="H14" s="22"/>
      <c r="I14" s="16" t="s">
        <v>24</v>
      </c>
      <c r="J14" s="54">
        <v>3.0</v>
      </c>
      <c r="K14" s="54"/>
      <c r="L14" s="55">
        <v>1.0</v>
      </c>
      <c r="M14" s="18">
        <f>IFNA( VLOOKUP(LEFT(F14, IFERROR(FIND(" ", F14, 1),1) - 1), lists!$A$31:$B$37, 2, FALSE),"")</f>
        <v>1</v>
      </c>
      <c r="N14" s="18" t="str">
        <f>IFERROR(__xludf.DUMMYFUNCTION("IFNA(VLOOKUP(IFNA(REGEXEXTRACT(F14, ""(Пасхи|50-ці|посту)""),""""),lists!$A$39:$B$41,2,FALSE),"""")"),"")</f>
        <v/>
      </c>
      <c r="O14" s="19" t="str">
        <f>IFERROR(__xludf.DUMMYFUNCTION("IFNA(REGEXEXTRACT(F14, ""\d{1,2}""),"""")"),"3")</f>
        <v>3</v>
      </c>
      <c r="P14" s="14" t="b">
        <f t="shared" si="3"/>
        <v>0</v>
      </c>
    </row>
    <row r="15">
      <c r="A15" s="21" t="s">
        <v>883</v>
      </c>
      <c r="B15" s="9" t="str">
        <f t="shared" si="1"/>
        <v>Ів.</v>
      </c>
      <c r="C15" s="10" t="s">
        <v>861</v>
      </c>
      <c r="D15" s="11" t="str">
        <f t="shared" si="2"/>
        <v>14</v>
      </c>
      <c r="E15" s="26" t="s">
        <v>18</v>
      </c>
      <c r="F15" s="13" t="s">
        <v>75</v>
      </c>
      <c r="G15" s="14"/>
      <c r="H15" s="22"/>
      <c r="I15" s="16" t="s">
        <v>24</v>
      </c>
      <c r="J15" s="54">
        <v>4.0</v>
      </c>
      <c r="K15" s="54"/>
      <c r="L15" s="55">
        <v>7.0</v>
      </c>
      <c r="M15" s="18">
        <f>IFNA( VLOOKUP(LEFT(F15, IFERROR(FIND(" ", F15, 1),1) - 1), lists!$A$31:$B$37, 2, FALSE),"")</f>
        <v>7</v>
      </c>
      <c r="N15" s="18" t="str">
        <f>IFERROR(__xludf.DUMMYFUNCTION("IFNA(VLOOKUP(IFNA(REGEXEXTRACT(F15, ""(Пасхи|50-ці|посту)""),""""),lists!$A$39:$B$41,2,FALSE),"""")"),"")</f>
        <v/>
      </c>
      <c r="O15" s="19" t="str">
        <f>IFERROR(__xludf.DUMMYFUNCTION("IFNA(REGEXEXTRACT(F15, ""\d{1,2}""),"""")"),"4")</f>
        <v>4</v>
      </c>
      <c r="P15" s="14" t="b">
        <f t="shared" si="3"/>
        <v>0</v>
      </c>
    </row>
    <row r="16">
      <c r="A16" s="21" t="s">
        <v>884</v>
      </c>
      <c r="B16" s="9" t="str">
        <f t="shared" si="1"/>
        <v>Ів.</v>
      </c>
      <c r="C16" s="10" t="s">
        <v>861</v>
      </c>
      <c r="D16" s="11" t="str">
        <f t="shared" si="2"/>
        <v>14</v>
      </c>
      <c r="E16" s="26" t="s">
        <v>22</v>
      </c>
      <c r="F16" s="13" t="s">
        <v>392</v>
      </c>
      <c r="G16" s="14"/>
      <c r="H16" s="15" t="s">
        <v>70</v>
      </c>
      <c r="I16" s="16" t="s">
        <v>71</v>
      </c>
      <c r="J16" s="54" t="s">
        <v>71</v>
      </c>
      <c r="K16" s="54"/>
      <c r="L16" s="55" t="s">
        <v>71</v>
      </c>
      <c r="M16" s="18" t="str">
        <f>IFNA( VLOOKUP(LEFT(F16, IFERROR(FIND(" ", F16, 1),1) - 1), lists!$A$31:$B$37, 2, FALSE),"")</f>
        <v/>
      </c>
      <c r="N16" s="18" t="str">
        <f>IFERROR(__xludf.DUMMYFUNCTION("IFNA(VLOOKUP(IFNA(REGEXEXTRACT(F16, ""(Пасхи|50-ці|посту)""),""""),lists!$A$39:$B$41,2,FALSE),"""")"),"")</f>
        <v/>
      </c>
      <c r="O16" s="19" t="str">
        <f>IFERROR(__xludf.DUMMYFUNCTION("IFNA(REGEXEXTRACT(F16, ""\d{1,2}""),"""")"),"")</f>
        <v/>
      </c>
      <c r="P16" s="14" t="b">
        <f t="shared" si="3"/>
        <v>0</v>
      </c>
    </row>
    <row r="17">
      <c r="A17" s="21" t="s">
        <v>885</v>
      </c>
      <c r="B17" s="9" t="str">
        <f t="shared" si="1"/>
        <v>Ів.</v>
      </c>
      <c r="C17" s="10" t="s">
        <v>861</v>
      </c>
      <c r="D17" s="11" t="str">
        <f t="shared" si="2"/>
        <v>15</v>
      </c>
      <c r="E17" s="9"/>
      <c r="F17" s="13" t="s">
        <v>886</v>
      </c>
      <c r="G17" s="14"/>
      <c r="H17" s="15" t="s">
        <v>70</v>
      </c>
      <c r="I17" s="16" t="s">
        <v>24</v>
      </c>
      <c r="J17" s="73">
        <v>2.0</v>
      </c>
      <c r="K17" s="54"/>
      <c r="L17" s="55">
        <v>3.0</v>
      </c>
      <c r="M17" s="18">
        <f>IFNA( VLOOKUP(LEFT(F17, IFERROR(FIND(" ", F17, 1),1) - 1), lists!$A$31:$B$37, 2, FALSE),"")</f>
        <v>3</v>
      </c>
      <c r="N17" s="18" t="str">
        <f>IFERROR(__xludf.DUMMYFUNCTION("IFNA(VLOOKUP(IFNA(REGEXEXTRACT(F17, ""(Пасхи|50-ці|посту)""),""""),lists!$A$39:$B$41,2,FALSE),"""")"),"")</f>
        <v/>
      </c>
      <c r="O17" s="19" t="str">
        <f>IFERROR(__xludf.DUMMYFUNCTION("IFNA(REGEXEXTRACT(F17, ""\d{1,2}""),"""")"),"2")</f>
        <v>2</v>
      </c>
      <c r="P17" s="14" t="b">
        <f t="shared" si="3"/>
        <v>0</v>
      </c>
    </row>
    <row r="18">
      <c r="A18" s="21" t="s">
        <v>887</v>
      </c>
      <c r="B18" s="9" t="str">
        <f t="shared" si="1"/>
        <v>Ів.</v>
      </c>
      <c r="C18" s="10" t="s">
        <v>861</v>
      </c>
      <c r="D18" s="11" t="str">
        <f t="shared" si="2"/>
        <v>16</v>
      </c>
      <c r="E18" s="9"/>
      <c r="F18" s="13" t="s">
        <v>888</v>
      </c>
      <c r="G18" s="14"/>
      <c r="H18" s="15" t="s">
        <v>70</v>
      </c>
      <c r="I18" s="16" t="s">
        <v>24</v>
      </c>
      <c r="J18" s="73">
        <v>2.0</v>
      </c>
      <c r="K18" s="54"/>
      <c r="L18" s="55">
        <v>4.0</v>
      </c>
      <c r="M18" s="18">
        <f>IFNA( VLOOKUP(LEFT(F18, IFERROR(FIND(" ", F18, 1),1) - 1), lists!$A$31:$B$37, 2, FALSE),"")</f>
        <v>4</v>
      </c>
      <c r="N18" s="18" t="str">
        <f>IFERROR(__xludf.DUMMYFUNCTION("IFNA(VLOOKUP(IFNA(REGEXEXTRACT(F18, ""(Пасхи|50-ці|посту)""),""""),lists!$A$39:$B$41,2,FALSE),"""")"),"")</f>
        <v/>
      </c>
      <c r="O18" s="19" t="str">
        <f>IFERROR(__xludf.DUMMYFUNCTION("IFNA(REGEXEXTRACT(F18, ""\d{1,2}""),"""")"),"2")</f>
        <v>2</v>
      </c>
      <c r="P18" s="14" t="b">
        <f t="shared" si="3"/>
        <v>0</v>
      </c>
    </row>
    <row r="19">
      <c r="A19" s="21" t="s">
        <v>889</v>
      </c>
      <c r="B19" s="9" t="str">
        <f t="shared" si="1"/>
        <v>Ів.</v>
      </c>
      <c r="C19" s="10" t="s">
        <v>861</v>
      </c>
      <c r="D19" s="11" t="str">
        <f t="shared" si="2"/>
        <v>17</v>
      </c>
      <c r="E19" s="9"/>
      <c r="F19" s="13" t="s">
        <v>890</v>
      </c>
      <c r="G19" s="14"/>
      <c r="H19" s="22"/>
      <c r="I19" s="16" t="s">
        <v>24</v>
      </c>
      <c r="J19" s="73">
        <v>2.0</v>
      </c>
      <c r="K19" s="54"/>
      <c r="L19" s="55">
        <v>5.0</v>
      </c>
      <c r="M19" s="18">
        <f>IFNA( VLOOKUP(LEFT(F19, IFERROR(FIND(" ", F19, 1),1) - 1), lists!$A$31:$B$37, 2, FALSE),"")</f>
        <v>5</v>
      </c>
      <c r="N19" s="18" t="str">
        <f>IFERROR(__xludf.DUMMYFUNCTION("IFNA(VLOOKUP(IFNA(REGEXEXTRACT(F19, ""(Пасхи|50-ці|посту)""),""""),lists!$A$39:$B$41,2,FALSE),"""")"),"")</f>
        <v/>
      </c>
      <c r="O19" s="19" t="str">
        <f>IFERROR(__xludf.DUMMYFUNCTION("IFNA(REGEXEXTRACT(F19, ""\d{1,2}""),"""")"),"2")</f>
        <v>2</v>
      </c>
      <c r="P19" s="14" t="b">
        <f t="shared" si="3"/>
        <v>0</v>
      </c>
    </row>
    <row r="20">
      <c r="A20" s="21" t="s">
        <v>891</v>
      </c>
      <c r="B20" s="9" t="str">
        <f t="shared" si="1"/>
        <v>Ів.</v>
      </c>
      <c r="C20" s="10" t="s">
        <v>861</v>
      </c>
      <c r="D20" s="11" t="str">
        <f t="shared" si="2"/>
        <v>18</v>
      </c>
      <c r="E20" s="9"/>
      <c r="F20" s="13" t="s">
        <v>892</v>
      </c>
      <c r="G20" s="14"/>
      <c r="H20" s="22"/>
      <c r="I20" s="16" t="s">
        <v>24</v>
      </c>
      <c r="J20" s="73">
        <v>5.0</v>
      </c>
      <c r="K20" s="54"/>
      <c r="L20" s="55">
        <v>3.0</v>
      </c>
      <c r="M20" s="18">
        <f>IFNA( VLOOKUP(LEFT(F20, IFERROR(FIND(" ", F20, 1),1) - 1), lists!$A$31:$B$37, 2, FALSE),"")</f>
        <v>3</v>
      </c>
      <c r="N20" s="18" t="str">
        <f>IFERROR(__xludf.DUMMYFUNCTION("IFNA(VLOOKUP(IFNA(REGEXEXTRACT(F20, ""(Пасхи|50-ці|посту)""),""""),lists!$A$39:$B$41,2,FALSE),"""")"),"")</f>
        <v/>
      </c>
      <c r="O20" s="19" t="str">
        <f>IFERROR(__xludf.DUMMYFUNCTION("IFNA(REGEXEXTRACT(F20, ""\d{1,2}""),"""")"),"5")</f>
        <v>5</v>
      </c>
      <c r="P20" s="14" t="b">
        <f t="shared" si="3"/>
        <v>0</v>
      </c>
    </row>
    <row r="21">
      <c r="A21" s="21" t="s">
        <v>893</v>
      </c>
      <c r="B21" s="9" t="str">
        <f t="shared" si="1"/>
        <v>Ів.</v>
      </c>
      <c r="C21" s="10" t="s">
        <v>861</v>
      </c>
      <c r="D21" s="11" t="str">
        <f t="shared" si="2"/>
        <v>19</v>
      </c>
      <c r="E21" s="9"/>
      <c r="F21" s="13" t="s">
        <v>894</v>
      </c>
      <c r="G21" s="14"/>
      <c r="H21" s="22"/>
      <c r="I21" s="16" t="s">
        <v>24</v>
      </c>
      <c r="J21" s="73">
        <v>2.0</v>
      </c>
      <c r="K21" s="54"/>
      <c r="L21" s="55">
        <v>6.0</v>
      </c>
      <c r="M21" s="18">
        <f>IFNA( VLOOKUP(LEFT(F21, IFERROR(FIND(" ", F21, 1),1) - 1), lists!$A$31:$B$37, 2, FALSE),"")</f>
        <v>6</v>
      </c>
      <c r="N21" s="18" t="str">
        <f>IFERROR(__xludf.DUMMYFUNCTION("IFNA(VLOOKUP(IFNA(REGEXEXTRACT(F21, ""(Пасхи|50-ці|посту)""),""""),lists!$A$39:$B$41,2,FALSE),"""")"),"pascha")</f>
        <v>pascha</v>
      </c>
      <c r="O21" s="19" t="str">
        <f>IFERROR(__xludf.DUMMYFUNCTION("IFNA(REGEXEXTRACT(F21, ""\d{1,2}""),"""")"),"2")</f>
        <v>2</v>
      </c>
      <c r="P21" s="14" t="b">
        <f t="shared" si="3"/>
        <v>0</v>
      </c>
    </row>
    <row r="22">
      <c r="A22" s="21" t="s">
        <v>895</v>
      </c>
      <c r="B22" s="9" t="str">
        <f t="shared" si="1"/>
        <v>Ів.</v>
      </c>
      <c r="C22" s="10" t="s">
        <v>861</v>
      </c>
      <c r="D22" s="11" t="str">
        <f t="shared" si="2"/>
        <v>20</v>
      </c>
      <c r="E22" s="9"/>
      <c r="F22" s="13" t="s">
        <v>896</v>
      </c>
      <c r="G22" s="14"/>
      <c r="H22" s="22"/>
      <c r="I22" s="16" t="s">
        <v>24</v>
      </c>
      <c r="J22" s="73">
        <v>3.0</v>
      </c>
      <c r="K22" s="54"/>
      <c r="L22" s="55">
        <v>2.0</v>
      </c>
      <c r="M22" s="18">
        <f>IFNA( VLOOKUP(LEFT(F22, IFERROR(FIND(" ", F22, 1),1) - 1), lists!$A$31:$B$37, 2, FALSE),"")</f>
        <v>2</v>
      </c>
      <c r="N22" s="18" t="str">
        <f>IFERROR(__xludf.DUMMYFUNCTION("IFNA(VLOOKUP(IFNA(REGEXEXTRACT(F22, ""(Пасхи|50-ці|посту)""),""""),lists!$A$39:$B$41,2,FALSE),"""")"),"")</f>
        <v/>
      </c>
      <c r="O22" s="19" t="str">
        <f>IFERROR(__xludf.DUMMYFUNCTION("IFNA(REGEXEXTRACT(F22, ""\d{1,2}""),"""")"),"3")</f>
        <v>3</v>
      </c>
      <c r="P22" s="14" t="b">
        <f t="shared" si="3"/>
        <v>0</v>
      </c>
    </row>
    <row r="23">
      <c r="A23" s="21" t="s">
        <v>897</v>
      </c>
      <c r="B23" s="9" t="str">
        <f t="shared" si="1"/>
        <v>Ів.</v>
      </c>
      <c r="C23" s="10" t="s">
        <v>861</v>
      </c>
      <c r="D23" s="11" t="str">
        <f t="shared" si="2"/>
        <v>21</v>
      </c>
      <c r="E23" s="9"/>
      <c r="F23" s="13" t="s">
        <v>898</v>
      </c>
      <c r="G23" s="14"/>
      <c r="H23" s="15" t="s">
        <v>70</v>
      </c>
      <c r="I23" s="16" t="s">
        <v>24</v>
      </c>
      <c r="J23" s="73">
        <v>3.0</v>
      </c>
      <c r="K23" s="54"/>
      <c r="L23" s="55">
        <v>3.0</v>
      </c>
      <c r="M23" s="18">
        <f>IFNA( VLOOKUP(LEFT(F23, IFERROR(FIND(" ", F23, 1),1) - 1), lists!$A$31:$B$37, 2, FALSE),"")</f>
        <v>3</v>
      </c>
      <c r="N23" s="18" t="str">
        <f>IFERROR(__xludf.DUMMYFUNCTION("IFNA(VLOOKUP(IFNA(REGEXEXTRACT(F23, ""(Пасхи|50-ці|посту)""),""""),lists!$A$39:$B$41,2,FALSE),"""")"),"")</f>
        <v/>
      </c>
      <c r="O23" s="19" t="str">
        <f>IFERROR(__xludf.DUMMYFUNCTION("IFNA(REGEXEXTRACT(F23, ""\d{1,2}""),"""")"),"3")</f>
        <v>3</v>
      </c>
      <c r="P23" s="14" t="b">
        <f t="shared" si="3"/>
        <v>0</v>
      </c>
    </row>
    <row r="24">
      <c r="A24" s="21" t="s">
        <v>899</v>
      </c>
      <c r="B24" s="9" t="str">
        <f t="shared" si="1"/>
        <v>Ів.</v>
      </c>
      <c r="C24" s="10" t="s">
        <v>861</v>
      </c>
      <c r="D24" s="11" t="str">
        <f t="shared" si="2"/>
        <v>22</v>
      </c>
      <c r="E24" s="9"/>
      <c r="F24" s="13" t="s">
        <v>900</v>
      </c>
      <c r="G24" s="14"/>
      <c r="H24" s="15"/>
      <c r="I24" s="16" t="s">
        <v>24</v>
      </c>
      <c r="J24" s="73">
        <v>3.0</v>
      </c>
      <c r="K24" s="54"/>
      <c r="L24" s="55">
        <v>4.0</v>
      </c>
      <c r="M24" s="18">
        <f>IFNA( VLOOKUP(LEFT(F24, IFERROR(FIND(" ", F24, 1),1) - 1), lists!$A$31:$B$37, 2, FALSE),"")</f>
        <v>4</v>
      </c>
      <c r="N24" s="18" t="str">
        <f>IFERROR(__xludf.DUMMYFUNCTION("IFNA(VLOOKUP(IFNA(REGEXEXTRACT(F24, ""(Пасхи|50-ці|посту)""),""""),lists!$A$39:$B$41,2,FALSE),"""")"),"")</f>
        <v/>
      </c>
      <c r="O24" s="19" t="str">
        <f>IFERROR(__xludf.DUMMYFUNCTION("IFNA(REGEXEXTRACT(F24, ""\d{1,2}""),"""")"),"3")</f>
        <v>3</v>
      </c>
      <c r="P24" s="14" t="b">
        <f t="shared" si="3"/>
        <v>0</v>
      </c>
    </row>
    <row r="25">
      <c r="A25" s="21" t="s">
        <v>901</v>
      </c>
      <c r="B25" s="9" t="str">
        <f t="shared" si="1"/>
        <v>Ів.</v>
      </c>
      <c r="C25" s="10" t="s">
        <v>861</v>
      </c>
      <c r="D25" s="11" t="str">
        <f t="shared" si="2"/>
        <v>23</v>
      </c>
      <c r="E25" s="12"/>
      <c r="F25" s="21" t="s">
        <v>902</v>
      </c>
      <c r="G25" s="14"/>
      <c r="H25" s="22"/>
      <c r="I25" s="16" t="s">
        <v>24</v>
      </c>
      <c r="J25" s="73">
        <v>3.0</v>
      </c>
      <c r="K25" s="54"/>
      <c r="L25" s="55">
        <v>5.0</v>
      </c>
      <c r="M25" s="18">
        <f>IFNA( VLOOKUP(LEFT(F25, IFERROR(FIND(" ", F25, 1),1) - 1), lists!$A$31:$B$37, 2, FALSE),"")</f>
        <v>5</v>
      </c>
      <c r="N25" s="18" t="str">
        <f>IFERROR(__xludf.DUMMYFUNCTION("IFNA(VLOOKUP(IFNA(REGEXEXTRACT(F25, ""(Пасхи|50-ці|посту)""),""""),lists!$A$39:$B$41,2,FALSE),"""")"),"")</f>
        <v/>
      </c>
      <c r="O25" s="19" t="str">
        <f>IFERROR(__xludf.DUMMYFUNCTION("IFNA(REGEXEXTRACT(F25, ""\d{1,2}""),"""")"),"3")</f>
        <v>3</v>
      </c>
      <c r="P25" s="14" t="b">
        <f t="shared" si="3"/>
        <v>0</v>
      </c>
    </row>
    <row r="26">
      <c r="A26" s="74" t="s">
        <v>903</v>
      </c>
      <c r="B26" s="38" t="str">
        <f t="shared" si="1"/>
        <v>Ів.</v>
      </c>
      <c r="C26" s="75" t="s">
        <v>861</v>
      </c>
      <c r="D26" s="39" t="str">
        <f t="shared" si="2"/>
        <v>24</v>
      </c>
      <c r="E26" s="76" t="s">
        <v>18</v>
      </c>
      <c r="F26" s="74" t="s">
        <v>904</v>
      </c>
      <c r="G26" s="14"/>
      <c r="H26" s="22"/>
      <c r="I26" s="16"/>
      <c r="J26" s="73"/>
      <c r="K26" s="54"/>
      <c r="L26" s="55"/>
      <c r="M26" s="18"/>
      <c r="N26" s="18"/>
      <c r="O26" s="19"/>
      <c r="P26" s="14"/>
    </row>
    <row r="27">
      <c r="A27" s="21" t="s">
        <v>905</v>
      </c>
      <c r="B27" s="9" t="str">
        <f t="shared" si="1"/>
        <v>Ів.</v>
      </c>
      <c r="C27" s="10" t="s">
        <v>861</v>
      </c>
      <c r="D27" s="11" t="str">
        <f t="shared" si="2"/>
        <v>24</v>
      </c>
      <c r="E27" s="12" t="s">
        <v>22</v>
      </c>
      <c r="F27" s="13" t="s">
        <v>906</v>
      </c>
      <c r="G27" s="14"/>
      <c r="H27" s="22"/>
      <c r="I27" s="16" t="s">
        <v>24</v>
      </c>
      <c r="J27" s="73">
        <v>4.0</v>
      </c>
      <c r="K27" s="54"/>
      <c r="L27" s="55">
        <v>1.0</v>
      </c>
      <c r="M27" s="18">
        <f>IFNA( VLOOKUP(LEFT(F27, IFERROR(FIND(" ", F27, 1),1) - 1), lists!$A$31:$B$37, 2, FALSE),"")</f>
        <v>1</v>
      </c>
      <c r="N27" s="18" t="str">
        <f>IFERROR(__xludf.DUMMYFUNCTION("IFNA(VLOOKUP(IFNA(REGEXEXTRACT(F27, ""(Пасхи|50-ці|посту)""),""""),lists!$A$39:$B$41,2,FALSE),"""")"),"")</f>
        <v/>
      </c>
      <c r="O27" s="19" t="str">
        <f>IFERROR(__xludf.DUMMYFUNCTION("IFNA(REGEXEXTRACT(F27, ""\d{1,2}""),"""")"),"4")</f>
        <v>4</v>
      </c>
      <c r="P27" s="14" t="b">
        <f t="shared" ref="P27:P67" si="4">AND(OR(I27="",J27="",L27=""),H27="")</f>
        <v>0</v>
      </c>
    </row>
    <row r="28">
      <c r="A28" s="21" t="s">
        <v>907</v>
      </c>
      <c r="B28" s="9" t="str">
        <f t="shared" si="1"/>
        <v>Ів.</v>
      </c>
      <c r="C28" s="10" t="s">
        <v>861</v>
      </c>
      <c r="D28" s="11" t="str">
        <f t="shared" si="2"/>
        <v>25</v>
      </c>
      <c r="E28" s="9"/>
      <c r="F28" s="13" t="s">
        <v>908</v>
      </c>
      <c r="G28" s="14"/>
      <c r="H28" s="22"/>
      <c r="I28" s="16" t="s">
        <v>24</v>
      </c>
      <c r="J28" s="73">
        <v>4.0</v>
      </c>
      <c r="K28" s="54"/>
      <c r="L28" s="55">
        <v>2.0</v>
      </c>
      <c r="M28" s="18">
        <f>IFNA( VLOOKUP(LEFT(F28, IFERROR(FIND(" ", F28, 1),1) - 1), lists!$A$31:$B$37, 2, FALSE),"")</f>
        <v>2</v>
      </c>
      <c r="N28" s="18" t="str">
        <f>IFERROR(__xludf.DUMMYFUNCTION("IFNA(VLOOKUP(IFNA(REGEXEXTRACT(F28, ""(Пасхи|50-ці|посту)""),""""),lists!$A$39:$B$41,2,FALSE),"""")"),"")</f>
        <v/>
      </c>
      <c r="O28" s="19" t="str">
        <f>IFERROR(__xludf.DUMMYFUNCTION("IFNA(REGEXEXTRACT(F28, ""\d{1,2}""),"""")"),"4")</f>
        <v>4</v>
      </c>
      <c r="P28" s="14" t="b">
        <f t="shared" si="4"/>
        <v>0</v>
      </c>
    </row>
    <row r="29">
      <c r="A29" s="21" t="s">
        <v>909</v>
      </c>
      <c r="B29" s="9" t="str">
        <f t="shared" si="1"/>
        <v>Ів.</v>
      </c>
      <c r="C29" s="10" t="s">
        <v>861</v>
      </c>
      <c r="D29" s="11" t="str">
        <f t="shared" si="2"/>
        <v>26</v>
      </c>
      <c r="E29" s="9"/>
      <c r="F29" s="13" t="s">
        <v>910</v>
      </c>
      <c r="G29" s="13"/>
      <c r="H29" s="22"/>
      <c r="I29" s="16" t="s">
        <v>24</v>
      </c>
      <c r="J29" s="73">
        <v>4.0</v>
      </c>
      <c r="K29" s="54"/>
      <c r="L29" s="55">
        <v>3.0</v>
      </c>
      <c r="M29" s="18">
        <f>IFNA( VLOOKUP(LEFT(F29, IFERROR(FIND(" ", F29, 1),1) - 1), lists!$A$31:$B$37, 2, FALSE),"")</f>
        <v>3</v>
      </c>
      <c r="N29" s="18" t="str">
        <f>IFERROR(__xludf.DUMMYFUNCTION("IFNA(VLOOKUP(IFNA(REGEXEXTRACT(F29, ""(Пасхи|50-ці|посту)""),""""),lists!$A$39:$B$41,2,FALSE),"""")"),"")</f>
        <v/>
      </c>
      <c r="O29" s="19" t="str">
        <f>IFERROR(__xludf.DUMMYFUNCTION("IFNA(REGEXEXTRACT(F29, ""\d{1,2}""),"""")"),"4")</f>
        <v>4</v>
      </c>
      <c r="P29" s="14" t="b">
        <f t="shared" si="4"/>
        <v>0</v>
      </c>
    </row>
    <row r="30">
      <c r="A30" s="21" t="s">
        <v>911</v>
      </c>
      <c r="B30" s="9" t="str">
        <f t="shared" si="1"/>
        <v>Ів.</v>
      </c>
      <c r="C30" s="10" t="s">
        <v>861</v>
      </c>
      <c r="D30" s="11" t="str">
        <f t="shared" si="2"/>
        <v>27</v>
      </c>
      <c r="E30" s="9"/>
      <c r="F30" s="13" t="s">
        <v>912</v>
      </c>
      <c r="G30" s="14"/>
      <c r="H30" s="15" t="s">
        <v>913</v>
      </c>
      <c r="I30" s="16" t="s">
        <v>24</v>
      </c>
      <c r="J30" s="53">
        <v>7.0</v>
      </c>
      <c r="K30" s="54"/>
      <c r="L30" s="55">
        <v>7.0</v>
      </c>
      <c r="M30" s="18">
        <f>IFNA( VLOOKUP(LEFT(F30, IFERROR(FIND(" ", F30, 1),1) - 1), lists!$A$31:$B$37, 2, FALSE),"")</f>
        <v>7</v>
      </c>
      <c r="N30" s="18" t="str">
        <f>IFERROR(__xludf.DUMMYFUNCTION("IFNA(VLOOKUP(IFNA(REGEXEXTRACT(F30, ""(Пасхи|50-ці|посту)""),""""),lists!$A$39:$B$41,2,FALSE),"""")"),"")</f>
        <v/>
      </c>
      <c r="O30" s="19" t="str">
        <f>IFERROR(__xludf.DUMMYFUNCTION("IFNA(REGEXEXTRACT(F30, ""\d{1,2}""),"""")"),"8")</f>
        <v>8</v>
      </c>
      <c r="P30" s="14" t="b">
        <f t="shared" si="4"/>
        <v>0</v>
      </c>
    </row>
    <row r="31">
      <c r="A31" s="21" t="s">
        <v>914</v>
      </c>
      <c r="B31" s="9" t="str">
        <f t="shared" si="1"/>
        <v>Ів.</v>
      </c>
      <c r="C31" s="10" t="s">
        <v>861</v>
      </c>
      <c r="D31" s="11" t="str">
        <f t="shared" si="2"/>
        <v>28</v>
      </c>
      <c r="E31" s="9"/>
      <c r="F31" s="13" t="s">
        <v>915</v>
      </c>
      <c r="G31" s="14"/>
      <c r="H31" s="15" t="s">
        <v>70</v>
      </c>
      <c r="I31" s="16" t="s">
        <v>24</v>
      </c>
      <c r="J31" s="73" t="s">
        <v>71</v>
      </c>
      <c r="K31" s="54"/>
      <c r="L31" s="55" t="s">
        <v>71</v>
      </c>
      <c r="M31" s="18" t="str">
        <f>IFNA( VLOOKUP(LEFT(F31, IFERROR(FIND(" ", F31, 1),1) - 1), lists!$A$31:$B$37, 2, FALSE),"")</f>
        <v/>
      </c>
      <c r="N31" s="18" t="str">
        <f>IFERROR(__xludf.DUMMYFUNCTION("IFNA(VLOOKUP(IFNA(REGEXEXTRACT(F31, ""(Пасхи|50-ці|посту)""),""""),lists!$A$39:$B$41,2,FALSE),"""")"),"")</f>
        <v/>
      </c>
      <c r="O31" s="19" t="str">
        <f>IFERROR(__xludf.DUMMYFUNCTION("IFNA(REGEXEXTRACT(F31, ""\d{1,2}""),"""")"),"")</f>
        <v/>
      </c>
      <c r="P31" s="14" t="b">
        <f t="shared" si="4"/>
        <v>0</v>
      </c>
    </row>
    <row r="32">
      <c r="A32" s="21" t="s">
        <v>916</v>
      </c>
      <c r="B32" s="9" t="str">
        <f t="shared" si="1"/>
        <v>Ів.</v>
      </c>
      <c r="C32" s="10" t="s">
        <v>861</v>
      </c>
      <c r="D32" s="11" t="str">
        <f t="shared" si="2"/>
        <v>29</v>
      </c>
      <c r="E32" s="9"/>
      <c r="F32" s="13" t="s">
        <v>917</v>
      </c>
      <c r="G32" s="14"/>
      <c r="H32" s="22"/>
      <c r="I32" s="16" t="s">
        <v>24</v>
      </c>
      <c r="J32" s="73">
        <v>4.0</v>
      </c>
      <c r="K32" s="54"/>
      <c r="L32" s="55">
        <v>4.0</v>
      </c>
      <c r="M32" s="18">
        <f>IFNA( VLOOKUP(LEFT(F32, IFERROR(FIND(" ", F32, 1),1) - 1), lists!$A$31:$B$37, 2, FALSE),"")</f>
        <v>4</v>
      </c>
      <c r="N32" s="18" t="str">
        <f>IFERROR(__xludf.DUMMYFUNCTION("IFNA(VLOOKUP(IFNA(REGEXEXTRACT(F32, ""(Пасхи|50-ці|посту)""),""""),lists!$A$39:$B$41,2,FALSE),"""")"),"")</f>
        <v/>
      </c>
      <c r="O32" s="19" t="str">
        <f>IFERROR(__xludf.DUMMYFUNCTION("IFNA(REGEXEXTRACT(F32, ""\d{1,2}""),"""")"),"4")</f>
        <v>4</v>
      </c>
      <c r="P32" s="14" t="b">
        <f t="shared" si="4"/>
        <v>0</v>
      </c>
    </row>
    <row r="33">
      <c r="A33" s="21" t="s">
        <v>918</v>
      </c>
      <c r="B33" s="9" t="str">
        <f t="shared" si="1"/>
        <v>Ів.</v>
      </c>
      <c r="C33" s="10" t="s">
        <v>861</v>
      </c>
      <c r="D33" s="11" t="str">
        <f t="shared" si="2"/>
        <v>30</v>
      </c>
      <c r="E33" s="9"/>
      <c r="F33" s="13" t="s">
        <v>919</v>
      </c>
      <c r="G33" s="14"/>
      <c r="H33" s="15"/>
      <c r="I33" s="16" t="s">
        <v>24</v>
      </c>
      <c r="J33" s="73">
        <v>4.0</v>
      </c>
      <c r="K33" s="54"/>
      <c r="L33" s="55">
        <v>5.0</v>
      </c>
      <c r="M33" s="18">
        <f>IFNA( VLOOKUP(LEFT(F33, IFERROR(FIND(" ", F33, 1),1) - 1), lists!$A$31:$B$37, 2, FALSE),"")</f>
        <v>5</v>
      </c>
      <c r="N33" s="18" t="str">
        <f>IFERROR(__xludf.DUMMYFUNCTION("IFNA(VLOOKUP(IFNA(REGEXEXTRACT(F33, ""(Пасхи|50-ці|посту)""),""""),lists!$A$39:$B$41,2,FALSE),"""")"),"")</f>
        <v/>
      </c>
      <c r="O33" s="19" t="str">
        <f>IFERROR(__xludf.DUMMYFUNCTION("IFNA(REGEXEXTRACT(F33, ""\d{1,2}""),"""")"),"4")</f>
        <v>4</v>
      </c>
      <c r="P33" s="14" t="b">
        <f t="shared" si="4"/>
        <v>0</v>
      </c>
    </row>
    <row r="34">
      <c r="A34" s="21" t="s">
        <v>920</v>
      </c>
      <c r="B34" s="9" t="str">
        <f t="shared" si="1"/>
        <v>Ів.</v>
      </c>
      <c r="C34" s="10" t="s">
        <v>861</v>
      </c>
      <c r="D34" s="11" t="str">
        <f t="shared" si="2"/>
        <v>31</v>
      </c>
      <c r="E34" s="9"/>
      <c r="F34" s="13" t="s">
        <v>921</v>
      </c>
      <c r="G34" s="14"/>
      <c r="H34" s="22"/>
      <c r="I34" s="16" t="s">
        <v>24</v>
      </c>
      <c r="J34" s="73">
        <v>4.0</v>
      </c>
      <c r="K34" s="54"/>
      <c r="L34" s="55">
        <v>6.0</v>
      </c>
      <c r="M34" s="18">
        <f>IFNA( VLOOKUP(LEFT(F34, IFERROR(FIND(" ", F34, 1),1) - 1), lists!$A$31:$B$37, 2, FALSE),"")</f>
        <v>6</v>
      </c>
      <c r="N34" s="18" t="str">
        <f>IFERROR(__xludf.DUMMYFUNCTION("IFNA(VLOOKUP(IFNA(REGEXEXTRACT(F34, ""(Пасхи|50-ці|посту)""),""""),lists!$A$39:$B$41,2,FALSE),"""")"),"")</f>
        <v/>
      </c>
      <c r="O34" s="19" t="str">
        <f>IFERROR(__xludf.DUMMYFUNCTION("IFNA(REGEXEXTRACT(F34, ""\d{1,2}""),"""")"),"4")</f>
        <v>4</v>
      </c>
      <c r="P34" s="14" t="b">
        <f t="shared" si="4"/>
        <v>0</v>
      </c>
    </row>
    <row r="35">
      <c r="A35" s="21" t="s">
        <v>922</v>
      </c>
      <c r="B35" s="9" t="str">
        <f t="shared" si="1"/>
        <v>Ів.</v>
      </c>
      <c r="C35" s="10" t="s">
        <v>861</v>
      </c>
      <c r="D35" s="11" t="str">
        <f t="shared" si="2"/>
        <v>32</v>
      </c>
      <c r="E35" s="9"/>
      <c r="F35" s="13" t="s">
        <v>923</v>
      </c>
      <c r="G35" s="14"/>
      <c r="H35" s="22"/>
      <c r="I35" s="16" t="s">
        <v>24</v>
      </c>
      <c r="J35" s="73">
        <v>5.0</v>
      </c>
      <c r="K35" s="54"/>
      <c r="L35" s="55">
        <v>1.0</v>
      </c>
      <c r="M35" s="18">
        <f>IFNA( VLOOKUP(LEFT(F35, IFERROR(FIND(" ", F35, 1),1) - 1), lists!$A$31:$B$37, 2, FALSE),"")</f>
        <v>1</v>
      </c>
      <c r="N35" s="18" t="str">
        <f>IFERROR(__xludf.DUMMYFUNCTION("IFNA(VLOOKUP(IFNA(REGEXEXTRACT(F35, ""(Пасхи|50-ці|посту)""),""""),lists!$A$39:$B$41,2,FALSE),"""")"),"")</f>
        <v/>
      </c>
      <c r="O35" s="19" t="str">
        <f>IFERROR(__xludf.DUMMYFUNCTION("IFNA(REGEXEXTRACT(F35, ""\d{1,2}""),"""")"),"5")</f>
        <v>5</v>
      </c>
      <c r="P35" s="14" t="b">
        <f t="shared" si="4"/>
        <v>0</v>
      </c>
    </row>
    <row r="36">
      <c r="A36" s="21" t="s">
        <v>924</v>
      </c>
      <c r="B36" s="9" t="str">
        <f t="shared" si="1"/>
        <v>Ів.</v>
      </c>
      <c r="C36" s="10" t="s">
        <v>861</v>
      </c>
      <c r="D36" s="11" t="str">
        <f t="shared" si="2"/>
        <v>33</v>
      </c>
      <c r="E36" s="9"/>
      <c r="F36" s="13" t="s">
        <v>925</v>
      </c>
      <c r="G36" s="14"/>
      <c r="H36" s="22"/>
      <c r="I36" s="16" t="s">
        <v>24</v>
      </c>
      <c r="J36" s="73">
        <v>5.0</v>
      </c>
      <c r="K36" s="54"/>
      <c r="L36" s="55">
        <v>2.0</v>
      </c>
      <c r="M36" s="18">
        <f>IFNA( VLOOKUP(LEFT(F36, IFERROR(FIND(" ", F36, 1),1) - 1), lists!$A$31:$B$37, 2, FALSE),"")</f>
        <v>2</v>
      </c>
      <c r="N36" s="18" t="str">
        <f>IFERROR(__xludf.DUMMYFUNCTION("IFNA(VLOOKUP(IFNA(REGEXEXTRACT(F36, ""(Пасхи|50-ці|посту)""),""""),lists!$A$39:$B$41,2,FALSE),"""")"),"")</f>
        <v/>
      </c>
      <c r="O36" s="19" t="str">
        <f>IFERROR(__xludf.DUMMYFUNCTION("IFNA(REGEXEXTRACT(F36, ""\d{1,2}""),"""")"),"5")</f>
        <v>5</v>
      </c>
      <c r="P36" s="14" t="b">
        <f t="shared" si="4"/>
        <v>0</v>
      </c>
    </row>
    <row r="37">
      <c r="A37" s="21" t="s">
        <v>926</v>
      </c>
      <c r="B37" s="9" t="str">
        <f t="shared" si="1"/>
        <v>Ів.</v>
      </c>
      <c r="C37" s="10" t="s">
        <v>861</v>
      </c>
      <c r="D37" s="11" t="str">
        <f t="shared" si="2"/>
        <v>34</v>
      </c>
      <c r="E37" s="9"/>
      <c r="F37" s="21" t="s">
        <v>927</v>
      </c>
      <c r="G37" s="14"/>
      <c r="H37" s="15"/>
      <c r="I37" s="16" t="s">
        <v>24</v>
      </c>
      <c r="J37" s="53">
        <v>5.0</v>
      </c>
      <c r="K37" s="54"/>
      <c r="L37" s="55">
        <v>7.0</v>
      </c>
      <c r="M37" s="18">
        <f>IFNA( VLOOKUP(LEFT(F37, IFERROR(FIND(" ", F37, 1),1) - 1), lists!$A$31:$B$37, 2, FALSE),"")</f>
        <v>7</v>
      </c>
      <c r="N37" s="18" t="str">
        <f>IFERROR(__xludf.DUMMYFUNCTION("IFNA(VLOOKUP(IFNA(REGEXEXTRACT(F37, ""(Пасхи|50-ці|посту)""),""""),lists!$A$39:$B$41,2,FALSE),"""")"),"")</f>
        <v/>
      </c>
      <c r="O37" s="19" t="str">
        <f>IFERROR(__xludf.DUMMYFUNCTION("IFNA(REGEXEXTRACT(F37, ""\d{1,2}""),"""")"),"6")</f>
        <v>6</v>
      </c>
      <c r="P37" s="14" t="b">
        <f t="shared" si="4"/>
        <v>0</v>
      </c>
    </row>
    <row r="38">
      <c r="A38" s="21" t="s">
        <v>928</v>
      </c>
      <c r="B38" s="9" t="str">
        <f t="shared" si="1"/>
        <v>Ів.</v>
      </c>
      <c r="C38" s="10" t="s">
        <v>861</v>
      </c>
      <c r="D38" s="11" t="str">
        <f t="shared" si="2"/>
        <v>35</v>
      </c>
      <c r="E38" s="12" t="s">
        <v>18</v>
      </c>
      <c r="F38" s="13" t="s">
        <v>929</v>
      </c>
      <c r="G38" s="14"/>
      <c r="H38" s="22"/>
      <c r="I38" s="16" t="s">
        <v>24</v>
      </c>
      <c r="J38" s="73">
        <v>5.0</v>
      </c>
      <c r="K38" s="54"/>
      <c r="L38" s="55">
        <v>4.0</v>
      </c>
      <c r="M38" s="18">
        <f>IFNA( VLOOKUP(LEFT(F38, IFERROR(FIND(" ", F38, 1),1) - 1), lists!$A$31:$B$37, 2, FALSE),"")</f>
        <v>4</v>
      </c>
      <c r="N38" s="18" t="str">
        <f>IFERROR(__xludf.DUMMYFUNCTION("IFNA(VLOOKUP(IFNA(REGEXEXTRACT(F38, ""(Пасхи|50-ці|посту)""),""""),lists!$A$39:$B$41,2,FALSE),"""")"),"")</f>
        <v/>
      </c>
      <c r="O38" s="19" t="str">
        <f>IFERROR(__xludf.DUMMYFUNCTION("IFNA(REGEXEXTRACT(F38, ""\d{1,2}""),"""")"),"5")</f>
        <v>5</v>
      </c>
      <c r="P38" s="14" t="b">
        <f t="shared" si="4"/>
        <v>0</v>
      </c>
    </row>
    <row r="39">
      <c r="A39" s="21" t="s">
        <v>930</v>
      </c>
      <c r="B39" s="9" t="str">
        <f t="shared" si="1"/>
        <v>Ів.</v>
      </c>
      <c r="C39" s="10" t="s">
        <v>861</v>
      </c>
      <c r="D39" s="11" t="str">
        <f t="shared" si="2"/>
        <v>35</v>
      </c>
      <c r="E39" s="12" t="s">
        <v>22</v>
      </c>
      <c r="F39" s="13" t="s">
        <v>931</v>
      </c>
      <c r="G39" s="14"/>
      <c r="H39" s="15" t="s">
        <v>70</v>
      </c>
      <c r="I39" s="16" t="s">
        <v>71</v>
      </c>
      <c r="J39" s="73" t="s">
        <v>71</v>
      </c>
      <c r="K39" s="54"/>
      <c r="L39" s="55" t="s">
        <v>71</v>
      </c>
      <c r="M39" s="18" t="str">
        <f>IFNA( VLOOKUP(LEFT(F39, IFERROR(FIND(" ", F39, 1),1) - 1), lists!$A$31:$B$37, 2, FALSE),"")</f>
        <v/>
      </c>
      <c r="N39" s="18" t="str">
        <f>IFERROR(__xludf.DUMMYFUNCTION("IFNA(VLOOKUP(IFNA(REGEXEXTRACT(F39, ""(Пасхи|50-ці|посту)""),""""),lists!$A$39:$B$41,2,FALSE),"""")"),"")</f>
        <v/>
      </c>
      <c r="O39" s="19" t="str">
        <f>IFERROR(__xludf.DUMMYFUNCTION("IFNA(REGEXEXTRACT(F39, ""\d{1,2}""),"""")"),"")</f>
        <v/>
      </c>
      <c r="P39" s="14" t="b">
        <f t="shared" si="4"/>
        <v>0</v>
      </c>
    </row>
    <row r="40">
      <c r="A40" s="21" t="s">
        <v>932</v>
      </c>
      <c r="B40" s="9" t="str">
        <f t="shared" si="1"/>
        <v>Ів.</v>
      </c>
      <c r="C40" s="10" t="s">
        <v>861</v>
      </c>
      <c r="D40" s="11" t="str">
        <f t="shared" si="2"/>
        <v>36</v>
      </c>
      <c r="E40" s="9"/>
      <c r="F40" s="21" t="s">
        <v>933</v>
      </c>
      <c r="G40" s="14"/>
      <c r="H40" s="15" t="s">
        <v>70</v>
      </c>
      <c r="I40" s="16" t="s">
        <v>71</v>
      </c>
      <c r="J40" s="73" t="s">
        <v>71</v>
      </c>
      <c r="K40" s="54"/>
      <c r="L40" s="55" t="s">
        <v>71</v>
      </c>
      <c r="M40" s="18" t="str">
        <f>IFNA( VLOOKUP(LEFT(F40, IFERROR(FIND(" ", F40, 1),1) - 1), lists!$A$31:$B$37, 2, FALSE),"")</f>
        <v/>
      </c>
      <c r="N40" s="18" t="str">
        <f>IFERROR(__xludf.DUMMYFUNCTION("IFNA(VLOOKUP(IFNA(REGEXEXTRACT(F40, ""(Пасхи|50-ці|посту)""),""""),lists!$A$39:$B$41,2,FALSE),"""")"),"")</f>
        <v/>
      </c>
      <c r="O40" s="19" t="str">
        <f>IFERROR(__xludf.DUMMYFUNCTION("IFNA(REGEXEXTRACT(F40, ""\d{1,2}""),"""")"),"")</f>
        <v/>
      </c>
      <c r="P40" s="14" t="b">
        <f t="shared" si="4"/>
        <v>0</v>
      </c>
    </row>
    <row r="41">
      <c r="A41" s="21" t="s">
        <v>934</v>
      </c>
      <c r="B41" s="9" t="str">
        <f t="shared" si="1"/>
        <v>Ів.</v>
      </c>
      <c r="C41" s="10" t="s">
        <v>861</v>
      </c>
      <c r="D41" s="11" t="str">
        <f t="shared" si="2"/>
        <v>37</v>
      </c>
      <c r="E41" s="26" t="s">
        <v>18</v>
      </c>
      <c r="F41" s="13" t="s">
        <v>935</v>
      </c>
      <c r="G41" s="14"/>
      <c r="H41" s="15" t="s">
        <v>70</v>
      </c>
      <c r="I41" s="16" t="s">
        <v>71</v>
      </c>
      <c r="J41" s="73" t="s">
        <v>71</v>
      </c>
      <c r="K41" s="54"/>
      <c r="L41" s="55" t="s">
        <v>71</v>
      </c>
      <c r="M41" s="18" t="str">
        <f>IFNA( VLOOKUP(LEFT(G42, IFERROR(FIND(" ", G42, 1),1) - 1), lists!$A$31:$B$37, 2, FALSE),"")</f>
        <v/>
      </c>
      <c r="N41" s="18" t="str">
        <f>IFERROR(__xludf.DUMMYFUNCTION("IFNA(VLOOKUP(IFNA(REGEXEXTRACT(G42, ""(Пасхи|50-ці|посту)""),""""),lists!$A$39:$B$41,2,FALSE),"""")"),"")</f>
        <v/>
      </c>
      <c r="O41" s="19" t="str">
        <f>IFERROR(__xludf.DUMMYFUNCTION("IFNA(REGEXEXTRACT(G42, ""\d{1,2}""),"""")"),"")</f>
        <v/>
      </c>
      <c r="P41" s="14" t="b">
        <f t="shared" si="4"/>
        <v>0</v>
      </c>
    </row>
    <row r="42">
      <c r="A42" s="21" t="s">
        <v>936</v>
      </c>
      <c r="B42" s="9" t="str">
        <f t="shared" si="1"/>
        <v>Ів.</v>
      </c>
      <c r="C42" s="10" t="s">
        <v>861</v>
      </c>
      <c r="D42" s="11" t="str">
        <f t="shared" si="2"/>
        <v>37</v>
      </c>
      <c r="E42" s="26" t="s">
        <v>22</v>
      </c>
      <c r="F42" s="13" t="s">
        <v>937</v>
      </c>
      <c r="G42" s="13" t="s">
        <v>937</v>
      </c>
      <c r="H42" s="22"/>
      <c r="I42" s="16" t="s">
        <v>24</v>
      </c>
      <c r="J42" s="73">
        <v>5.0</v>
      </c>
      <c r="K42" s="54"/>
      <c r="L42" s="55">
        <v>5.0</v>
      </c>
      <c r="M42" s="18">
        <f>IFNA( VLOOKUP(LEFT(F41, IFERROR(FIND(" ", F41, 1),1) - 1), lists!$A$31:$B$37, 2, FALSE),"")</f>
        <v>5</v>
      </c>
      <c r="N42" s="18" t="str">
        <f>IFERROR(__xludf.DUMMYFUNCTION("IFNA(VLOOKUP(IFNA(REGEXEXTRACT(F41, ""(Пасхи|50-ці|посту)""),""""),lists!$A$39:$B$41,2,FALSE),"""")"),"")</f>
        <v/>
      </c>
      <c r="O42" s="19" t="str">
        <f>IFERROR(__xludf.DUMMYFUNCTION("IFNA(REGEXEXTRACT(F41, ""\d{1,2}""),"""")"),"5")</f>
        <v>5</v>
      </c>
      <c r="P42" s="14" t="b">
        <f t="shared" si="4"/>
        <v>0</v>
      </c>
    </row>
    <row r="43">
      <c r="A43" s="21" t="s">
        <v>938</v>
      </c>
      <c r="B43" s="9" t="str">
        <f t="shared" si="1"/>
        <v>Ів.</v>
      </c>
      <c r="C43" s="10" t="s">
        <v>861</v>
      </c>
      <c r="D43" s="11" t="str">
        <f t="shared" si="2"/>
        <v>38</v>
      </c>
      <c r="E43" s="9"/>
      <c r="F43" s="77" t="s">
        <v>939</v>
      </c>
      <c r="G43" s="24" t="s">
        <v>940</v>
      </c>
      <c r="H43" s="22"/>
      <c r="I43" s="16" t="s">
        <v>24</v>
      </c>
      <c r="J43" s="73">
        <v>5.0</v>
      </c>
      <c r="K43" s="54"/>
      <c r="L43" s="55">
        <v>6.0</v>
      </c>
      <c r="M43" s="18">
        <f>IFNA( VLOOKUP(LEFT(F43, IFERROR(FIND(" ", F43, 1),1) - 1), lists!$A$31:$B$37, 2, FALSE),"")</f>
        <v>6</v>
      </c>
      <c r="N43" s="18" t="str">
        <f>IFERROR(__xludf.DUMMYFUNCTION("IFNA(VLOOKUP(IFNA(REGEXEXTRACT(F43, ""(Пасхи|50-ці|посту)""),""""),lists!$A$39:$B$41,2,FALSE),"""")"),"")</f>
        <v/>
      </c>
      <c r="O43" s="19" t="str">
        <f>IFERROR(__xludf.DUMMYFUNCTION("IFNA(REGEXEXTRACT(F43, ""\d{1,2}""),"""")"),"5")</f>
        <v>5</v>
      </c>
      <c r="P43" s="14" t="b">
        <f t="shared" si="4"/>
        <v>0</v>
      </c>
    </row>
    <row r="44">
      <c r="A44" s="21" t="s">
        <v>941</v>
      </c>
      <c r="B44" s="9" t="str">
        <f t="shared" si="1"/>
        <v>Ів.</v>
      </c>
      <c r="C44" s="10" t="s">
        <v>861</v>
      </c>
      <c r="D44" s="11" t="str">
        <f t="shared" si="2"/>
        <v>39</v>
      </c>
      <c r="E44" s="9"/>
      <c r="F44" s="13" t="s">
        <v>942</v>
      </c>
      <c r="G44" s="14"/>
      <c r="H44" s="22"/>
      <c r="I44" s="16" t="s">
        <v>20</v>
      </c>
      <c r="J44" s="53">
        <v>6.0</v>
      </c>
      <c r="K44" s="54"/>
      <c r="L44" s="55">
        <v>6.0</v>
      </c>
      <c r="M44" s="18" t="str">
        <f>IFNA( VLOOKUP(LEFT(F44, IFERROR(FIND(" ", F44, 1),1) - 1), lists!$A$31:$B$37, 2, FALSE),"")</f>
        <v/>
      </c>
      <c r="N44" s="18" t="str">
        <f>IFERROR(__xludf.DUMMYFUNCTION("IFNA(VLOOKUP(IFNA(REGEXEXTRACT(F44, ""(Пасхи|50-ці|посту)""),""""),lists!$A$39:$B$41,2,FALSE),"""")"),"")</f>
        <v/>
      </c>
      <c r="O44" s="19" t="str">
        <f>IFERROR(__xludf.DUMMYFUNCTION("IFNA(REGEXEXTRACT(F44, ""\d{1,2}""),"""")"),"")</f>
        <v/>
      </c>
      <c r="P44" s="14" t="b">
        <f t="shared" si="4"/>
        <v>0</v>
      </c>
    </row>
    <row r="45">
      <c r="A45" s="21" t="s">
        <v>943</v>
      </c>
      <c r="B45" s="9" t="str">
        <f t="shared" si="1"/>
        <v>Ів.</v>
      </c>
      <c r="C45" s="10" t="s">
        <v>861</v>
      </c>
      <c r="D45" s="11" t="str">
        <f t="shared" si="2"/>
        <v>40</v>
      </c>
      <c r="E45" s="9"/>
      <c r="F45" s="13" t="s">
        <v>944</v>
      </c>
      <c r="G45" s="14"/>
      <c r="H45" s="15"/>
      <c r="I45" s="16" t="s">
        <v>24</v>
      </c>
      <c r="J45" s="73">
        <v>6.0</v>
      </c>
      <c r="K45" s="54"/>
      <c r="L45" s="55">
        <v>1.0</v>
      </c>
      <c r="M45" s="18">
        <f>IFNA( VLOOKUP(LEFT(F45, IFERROR(FIND(" ", F45, 1),1) - 1), lists!$A$31:$B$37, 2, FALSE),"")</f>
        <v>1</v>
      </c>
      <c r="N45" s="18" t="str">
        <f>IFERROR(__xludf.DUMMYFUNCTION("IFNA(VLOOKUP(IFNA(REGEXEXTRACT(F45, ""(Пасхи|50-ці|посту)""),""""),lists!$A$39:$B$41,2,FALSE),"""")"),"")</f>
        <v/>
      </c>
      <c r="O45" s="19" t="str">
        <f>IFERROR(__xludf.DUMMYFUNCTION("IFNA(REGEXEXTRACT(F45, ""\d{1,2}""),"""")"),"6")</f>
        <v>6</v>
      </c>
      <c r="P45" s="14" t="b">
        <f t="shared" si="4"/>
        <v>0</v>
      </c>
    </row>
    <row r="46">
      <c r="A46" s="21" t="s">
        <v>945</v>
      </c>
      <c r="B46" s="9" t="str">
        <f t="shared" si="1"/>
        <v>Ів.</v>
      </c>
      <c r="C46" s="10" t="s">
        <v>861</v>
      </c>
      <c r="D46" s="11" t="str">
        <f t="shared" si="2"/>
        <v>41</v>
      </c>
      <c r="E46" s="26" t="s">
        <v>18</v>
      </c>
      <c r="F46" s="21" t="s">
        <v>946</v>
      </c>
      <c r="G46" s="13"/>
      <c r="H46" s="15"/>
      <c r="I46" s="16" t="s">
        <v>20</v>
      </c>
      <c r="J46" s="53">
        <v>6.0</v>
      </c>
      <c r="K46" s="54"/>
      <c r="L46" s="55">
        <v>7.0</v>
      </c>
      <c r="M46" s="18" t="str">
        <f>IFNA( VLOOKUP(LEFT(F46, IFERROR(FIND(" ", F46, 1),1) - 1), lists!$A$31:$B$37, 2, FALSE),"")</f>
        <v/>
      </c>
      <c r="N46" s="18" t="str">
        <f>IFERROR(__xludf.DUMMYFUNCTION("IFNA(VLOOKUP(IFNA(REGEXEXTRACT(F46, ""(Пасхи|50-ці|посту)""),""""),lists!$A$39:$B$41,2,FALSE),"""")"),"")</f>
        <v/>
      </c>
      <c r="O46" s="19" t="str">
        <f>IFERROR(__xludf.DUMMYFUNCTION("IFNA(REGEXEXTRACT(F46, ""\d{1,2}""),"""")"),"")</f>
        <v/>
      </c>
      <c r="P46" s="14" t="b">
        <f t="shared" si="4"/>
        <v>0</v>
      </c>
    </row>
    <row r="47">
      <c r="A47" s="21" t="s">
        <v>947</v>
      </c>
      <c r="B47" s="9" t="str">
        <f t="shared" si="1"/>
        <v>Ів.</v>
      </c>
      <c r="C47" s="10" t="s">
        <v>861</v>
      </c>
      <c r="D47" s="11" t="str">
        <f t="shared" si="2"/>
        <v>41</v>
      </c>
      <c r="E47" s="26" t="s">
        <v>22</v>
      </c>
      <c r="F47" s="13" t="s">
        <v>948</v>
      </c>
      <c r="G47" s="13"/>
      <c r="H47" s="15" t="s">
        <v>70</v>
      </c>
      <c r="I47" s="16" t="s">
        <v>71</v>
      </c>
      <c r="J47" s="73" t="s">
        <v>71</v>
      </c>
      <c r="K47" s="54"/>
      <c r="L47" s="55" t="s">
        <v>71</v>
      </c>
      <c r="M47" s="18" t="str">
        <f>IFNA( VLOOKUP(LEFT(F47, IFERROR(FIND(" ", F47, 1),1) - 1), lists!$A$31:$B$37, 2, FALSE),"")</f>
        <v/>
      </c>
      <c r="N47" s="18" t="str">
        <f>IFERROR(__xludf.DUMMYFUNCTION("IFNA(VLOOKUP(IFNA(REGEXEXTRACT(F47, ""(Пасхи|50-ці|посту)""),""""),lists!$A$39:$B$41,2,FALSE),"""")"),"")</f>
        <v/>
      </c>
      <c r="O47" s="19" t="str">
        <f>IFERROR(__xludf.DUMMYFUNCTION("IFNA(REGEXEXTRACT(F47, ""\d{1,2}""),"""")"),"")</f>
        <v/>
      </c>
      <c r="P47" s="14" t="b">
        <f t="shared" si="4"/>
        <v>0</v>
      </c>
    </row>
    <row r="48">
      <c r="A48" s="21" t="s">
        <v>949</v>
      </c>
      <c r="B48" s="9" t="str">
        <f t="shared" si="1"/>
        <v>Ів.</v>
      </c>
      <c r="C48" s="10" t="s">
        <v>861</v>
      </c>
      <c r="D48" s="11" t="str">
        <f t="shared" si="2"/>
        <v>42</v>
      </c>
      <c r="E48" s="26" t="s">
        <v>18</v>
      </c>
      <c r="F48" s="13" t="s">
        <v>950</v>
      </c>
      <c r="G48" s="13"/>
      <c r="H48" s="15"/>
      <c r="I48" s="16" t="s">
        <v>24</v>
      </c>
      <c r="J48" s="73">
        <v>6.0</v>
      </c>
      <c r="K48" s="54"/>
      <c r="L48" s="55">
        <v>2.0</v>
      </c>
      <c r="M48" s="18">
        <f>IFNA( VLOOKUP(LEFT(F48, IFERROR(FIND(" ", F48, 1),1) - 1), lists!$A$31:$B$37, 2, FALSE),"")</f>
        <v>2</v>
      </c>
      <c r="N48" s="18" t="str">
        <f>IFERROR(__xludf.DUMMYFUNCTION("IFNA(VLOOKUP(IFNA(REGEXEXTRACT(F48, ""(Пасхи|50-ці|посту)""),""""),lists!$A$39:$B$41,2,FALSE),"""")"),"")</f>
        <v/>
      </c>
      <c r="O48" s="19" t="str">
        <f>IFERROR(__xludf.DUMMYFUNCTION("IFNA(REGEXEXTRACT(F48, ""\d{1,2}""),"""")"),"6")</f>
        <v>6</v>
      </c>
      <c r="P48" s="14" t="b">
        <f t="shared" si="4"/>
        <v>0</v>
      </c>
    </row>
    <row r="49">
      <c r="A49" s="21" t="s">
        <v>951</v>
      </c>
      <c r="B49" s="9" t="str">
        <f t="shared" si="1"/>
        <v>Ів.</v>
      </c>
      <c r="C49" s="10" t="s">
        <v>861</v>
      </c>
      <c r="D49" s="11" t="str">
        <f t="shared" si="2"/>
        <v>42</v>
      </c>
      <c r="E49" s="26" t="s">
        <v>22</v>
      </c>
      <c r="F49" s="13" t="s">
        <v>952</v>
      </c>
      <c r="G49" s="13"/>
      <c r="H49" s="15" t="s">
        <v>70</v>
      </c>
      <c r="I49" s="16" t="s">
        <v>71</v>
      </c>
      <c r="J49" s="73" t="s">
        <v>71</v>
      </c>
      <c r="K49" s="54"/>
      <c r="L49" s="55" t="s">
        <v>71</v>
      </c>
      <c r="M49" s="18" t="str">
        <f>IFNA( VLOOKUP(LEFT(F49, IFERROR(FIND(" ", F49, 1),1) - 1), lists!$A$31:$B$37, 2, FALSE),"")</f>
        <v/>
      </c>
      <c r="N49" s="18" t="str">
        <f>IFERROR(__xludf.DUMMYFUNCTION("IFNA(VLOOKUP(IFNA(REGEXEXTRACT(F49, ""(Пасхи|50-ці|посту)""),""""),lists!$A$39:$B$41,2,FALSE),"""")"),"")</f>
        <v/>
      </c>
      <c r="O49" s="19" t="str">
        <f>IFERROR(__xludf.DUMMYFUNCTION("IFNA(REGEXEXTRACT(F49, ""\d{1,2}""),"""")"),"")</f>
        <v/>
      </c>
      <c r="P49" s="14" t="b">
        <f t="shared" si="4"/>
        <v>0</v>
      </c>
    </row>
    <row r="50">
      <c r="A50" s="21" t="s">
        <v>953</v>
      </c>
      <c r="B50" s="9" t="str">
        <f t="shared" si="1"/>
        <v>Ів.</v>
      </c>
      <c r="C50" s="10" t="s">
        <v>861</v>
      </c>
      <c r="D50" s="11" t="str">
        <f t="shared" si="2"/>
        <v>43</v>
      </c>
      <c r="E50" s="9"/>
      <c r="F50" s="13" t="s">
        <v>954</v>
      </c>
      <c r="G50" s="14"/>
      <c r="H50" s="22"/>
      <c r="I50" s="16" t="s">
        <v>24</v>
      </c>
      <c r="J50" s="73">
        <v>6.0</v>
      </c>
      <c r="K50" s="54"/>
      <c r="L50" s="55">
        <v>3.0</v>
      </c>
      <c r="M50" s="18">
        <f>IFNA( VLOOKUP(LEFT(F50, IFERROR(FIND(" ", F50, 1),1) - 1), lists!$A$31:$B$37, 2, FALSE),"")</f>
        <v>3</v>
      </c>
      <c r="N50" s="18" t="str">
        <f>IFERROR(__xludf.DUMMYFUNCTION("IFNA(VLOOKUP(IFNA(REGEXEXTRACT(F50, ""(Пасхи|50-ці|посту)""),""""),lists!$A$39:$B$41,2,FALSE),"""")"),"")</f>
        <v/>
      </c>
      <c r="O50" s="19" t="str">
        <f>IFERROR(__xludf.DUMMYFUNCTION("IFNA(REGEXEXTRACT(F50, ""\d{1,2}""),"""")"),"6")</f>
        <v>6</v>
      </c>
      <c r="P50" s="14" t="b">
        <f t="shared" si="4"/>
        <v>0</v>
      </c>
    </row>
    <row r="51">
      <c r="A51" s="21" t="s">
        <v>955</v>
      </c>
      <c r="B51" s="9" t="str">
        <f t="shared" si="1"/>
        <v>Ів.</v>
      </c>
      <c r="C51" s="10" t="s">
        <v>861</v>
      </c>
      <c r="D51" s="11" t="str">
        <f t="shared" si="2"/>
        <v>44</v>
      </c>
      <c r="E51" s="9"/>
      <c r="F51" s="13" t="s">
        <v>956</v>
      </c>
      <c r="G51" s="14"/>
      <c r="H51" s="15" t="s">
        <v>70</v>
      </c>
      <c r="I51" s="16" t="s">
        <v>71</v>
      </c>
      <c r="J51" s="73"/>
      <c r="K51" s="54"/>
      <c r="L51" s="55" t="s">
        <v>71</v>
      </c>
      <c r="M51" s="18" t="str">
        <f>IFNA( VLOOKUP(LEFT(F51, IFERROR(FIND(" ", F51, 1),1) - 1), lists!$A$31:$B$37, 2, FALSE),"")</f>
        <v/>
      </c>
      <c r="N51" s="18" t="str">
        <f>IFERROR(__xludf.DUMMYFUNCTION("IFNA(VLOOKUP(IFNA(REGEXEXTRACT(F51, ""(Пасхи|50-ці|посту)""),""""),lists!$A$39:$B$41,2,FALSE),"""")"),"")</f>
        <v/>
      </c>
      <c r="O51" s="19" t="str">
        <f>IFERROR(__xludf.DUMMYFUNCTION("IFNA(REGEXEXTRACT(F51, ""\d{1,2}""),"""")"),"1")</f>
        <v>1</v>
      </c>
      <c r="P51" s="14" t="b">
        <f t="shared" si="4"/>
        <v>0</v>
      </c>
    </row>
    <row r="52">
      <c r="A52" s="21" t="s">
        <v>957</v>
      </c>
      <c r="B52" s="9" t="str">
        <f t="shared" si="1"/>
        <v>Ів.</v>
      </c>
      <c r="C52" s="10" t="s">
        <v>861</v>
      </c>
      <c r="D52" s="11" t="str">
        <f t="shared" si="2"/>
        <v>45</v>
      </c>
      <c r="E52" s="9"/>
      <c r="F52" s="13" t="s">
        <v>958</v>
      </c>
      <c r="G52" s="14"/>
      <c r="H52" s="15" t="s">
        <v>70</v>
      </c>
      <c r="I52" s="16" t="s">
        <v>71</v>
      </c>
      <c r="J52" s="73">
        <v>2.0</v>
      </c>
      <c r="K52" s="54"/>
      <c r="L52" s="55" t="s">
        <v>71</v>
      </c>
      <c r="M52" s="18" t="str">
        <f>IFNA( VLOOKUP(LEFT(F52, IFERROR(FIND(" ", F52, 1),1) - 1), lists!$A$31:$B$37, 2, FALSE),"")</f>
        <v/>
      </c>
      <c r="N52" s="18" t="str">
        <f>IFERROR(__xludf.DUMMYFUNCTION("IFNA(VLOOKUP(IFNA(REGEXEXTRACT(F52, ""(Пасхи|50-ці|посту)""),""""),lists!$A$39:$B$41,2,FALSE),"""")"),"")</f>
        <v/>
      </c>
      <c r="O52" s="19" t="str">
        <f>IFERROR(__xludf.DUMMYFUNCTION("IFNA(REGEXEXTRACT(F52, ""\d{1,2}""),"""")"),"2")</f>
        <v>2</v>
      </c>
      <c r="P52" s="14" t="b">
        <f t="shared" si="4"/>
        <v>0</v>
      </c>
    </row>
    <row r="53">
      <c r="A53" s="21" t="s">
        <v>959</v>
      </c>
      <c r="B53" s="9" t="str">
        <f t="shared" si="1"/>
        <v>Ів.</v>
      </c>
      <c r="C53" s="10" t="s">
        <v>861</v>
      </c>
      <c r="D53" s="11" t="str">
        <f t="shared" si="2"/>
        <v>46</v>
      </c>
      <c r="E53" s="9"/>
      <c r="F53" s="13" t="s">
        <v>960</v>
      </c>
      <c r="G53" s="14"/>
      <c r="H53" s="15" t="s">
        <v>70</v>
      </c>
      <c r="I53" s="16" t="s">
        <v>71</v>
      </c>
      <c r="J53" s="73">
        <v>1.0</v>
      </c>
      <c r="K53" s="54"/>
      <c r="L53" s="55" t="s">
        <v>71</v>
      </c>
      <c r="M53" s="18" t="str">
        <f>IFNA( VLOOKUP(LEFT(F53, IFERROR(FIND(" ", F53, 1),1) - 1), lists!$A$31:$B$37, 2, FALSE),"")</f>
        <v/>
      </c>
      <c r="N53" s="18" t="str">
        <f>IFERROR(__xludf.DUMMYFUNCTION("IFNA(VLOOKUP(IFNA(REGEXEXTRACT(F53, ""(Пасхи|50-ці|посту)""),""""),lists!$A$39:$B$41,2,FALSE),"""")"),"")</f>
        <v/>
      </c>
      <c r="O53" s="19" t="str">
        <f>IFERROR(__xludf.DUMMYFUNCTION("IFNA(REGEXEXTRACT(F53, ""\d{1,2}""),"""")"),"1")</f>
        <v>1</v>
      </c>
      <c r="P53" s="14" t="b">
        <f t="shared" si="4"/>
        <v>0</v>
      </c>
    </row>
    <row r="54">
      <c r="A54" s="21" t="s">
        <v>961</v>
      </c>
      <c r="B54" s="9" t="str">
        <f t="shared" si="1"/>
        <v>Ів.</v>
      </c>
      <c r="C54" s="10" t="s">
        <v>861</v>
      </c>
      <c r="D54" s="11" t="str">
        <f t="shared" si="2"/>
        <v>47</v>
      </c>
      <c r="E54" s="9"/>
      <c r="F54" s="13" t="s">
        <v>962</v>
      </c>
      <c r="G54" s="14"/>
      <c r="H54" s="22"/>
      <c r="I54" s="16" t="s">
        <v>24</v>
      </c>
      <c r="J54" s="73">
        <v>6.0</v>
      </c>
      <c r="K54" s="54"/>
      <c r="L54" s="55">
        <v>5.0</v>
      </c>
      <c r="M54" s="18">
        <f>IFNA( VLOOKUP(LEFT(F54, IFERROR(FIND(" ", F54, 1),1) - 1), lists!$A$31:$B$37, 2, FALSE),"")</f>
        <v>5</v>
      </c>
      <c r="N54" s="18" t="str">
        <f>IFERROR(__xludf.DUMMYFUNCTION("IFNA(VLOOKUP(IFNA(REGEXEXTRACT(F54, ""(Пасхи|50-ці|посту)""),""""),lists!$A$39:$B$41,2,FALSE),"""")"),"")</f>
        <v/>
      </c>
      <c r="O54" s="19" t="str">
        <f>IFERROR(__xludf.DUMMYFUNCTION("IFNA(REGEXEXTRACT(F54, ""\d{1,2}""),"""")"),"6")</f>
        <v>6</v>
      </c>
      <c r="P54" s="14" t="b">
        <f t="shared" si="4"/>
        <v>0</v>
      </c>
    </row>
    <row r="55">
      <c r="A55" s="21" t="s">
        <v>963</v>
      </c>
      <c r="B55" s="9" t="str">
        <f t="shared" si="1"/>
        <v>Ів.</v>
      </c>
      <c r="C55" s="10" t="s">
        <v>861</v>
      </c>
      <c r="D55" s="11" t="str">
        <f t="shared" si="2"/>
        <v>48</v>
      </c>
      <c r="E55" s="12" t="s">
        <v>18</v>
      </c>
      <c r="F55" s="13" t="s">
        <v>964</v>
      </c>
      <c r="G55" s="14"/>
      <c r="H55" s="15"/>
      <c r="I55" s="16" t="s">
        <v>24</v>
      </c>
      <c r="J55" s="73">
        <v>6.0</v>
      </c>
      <c r="K55" s="54"/>
      <c r="L55" s="55">
        <v>6.0</v>
      </c>
      <c r="M55" s="18">
        <f>IFNA( VLOOKUP(LEFT(F55, IFERROR(FIND(" ", F55, 1),1) - 1), lists!$A$31:$B$37, 2, FALSE),"")</f>
        <v>6</v>
      </c>
      <c r="N55" s="18" t="str">
        <f>IFERROR(__xludf.DUMMYFUNCTION("IFNA(VLOOKUP(IFNA(REGEXEXTRACT(F55, ""(Пасхи|50-ці|посту)""),""""),lists!$A$39:$B$41,2,FALSE),"""")"),"")</f>
        <v/>
      </c>
      <c r="O55" s="19" t="str">
        <f>IFERROR(__xludf.DUMMYFUNCTION("IFNA(REGEXEXTRACT(F55, ""\d{1,2}""),"""")"),"6")</f>
        <v>6</v>
      </c>
      <c r="P55" s="14" t="b">
        <f t="shared" si="4"/>
        <v>0</v>
      </c>
    </row>
    <row r="56">
      <c r="A56" s="21" t="s">
        <v>965</v>
      </c>
      <c r="B56" s="9" t="str">
        <f t="shared" si="1"/>
        <v>Ів.</v>
      </c>
      <c r="C56" s="10" t="s">
        <v>861</v>
      </c>
      <c r="D56" s="11" t="str">
        <f t="shared" si="2"/>
        <v>48</v>
      </c>
      <c r="E56" s="12" t="s">
        <v>22</v>
      </c>
      <c r="F56" s="13" t="s">
        <v>966</v>
      </c>
      <c r="G56" s="14"/>
      <c r="H56" s="15" t="s">
        <v>70</v>
      </c>
      <c r="I56" s="16" t="s">
        <v>71</v>
      </c>
      <c r="J56" s="73" t="s">
        <v>71</v>
      </c>
      <c r="K56" s="54"/>
      <c r="L56" s="55" t="s">
        <v>71</v>
      </c>
      <c r="M56" s="18" t="str">
        <f>IFNA( VLOOKUP(LEFT(F56, IFERROR(FIND(" ", F56, 1),1) - 1), lists!$A$31:$B$37, 2, FALSE),"")</f>
        <v/>
      </c>
      <c r="N56" s="18" t="str">
        <f>IFERROR(__xludf.DUMMYFUNCTION("IFNA(VLOOKUP(IFNA(REGEXEXTRACT(F56, ""(Пасхи|50-ці|посту)""),""""),lists!$A$39:$B$41,2,FALSE),"""")"),"")</f>
        <v/>
      </c>
      <c r="O56" s="19" t="str">
        <f>IFERROR(__xludf.DUMMYFUNCTION("IFNA(REGEXEXTRACT(F56, ""\d{1,2}""),"""")"),"")</f>
        <v/>
      </c>
      <c r="P56" s="14" t="b">
        <f t="shared" si="4"/>
        <v>0</v>
      </c>
    </row>
    <row r="57">
      <c r="A57" s="21" t="s">
        <v>967</v>
      </c>
      <c r="B57" s="9" t="str">
        <f t="shared" si="1"/>
        <v>Ів.</v>
      </c>
      <c r="C57" s="10" t="s">
        <v>861</v>
      </c>
      <c r="D57" s="11" t="str">
        <f t="shared" si="2"/>
        <v>49</v>
      </c>
      <c r="E57" s="9"/>
      <c r="F57" s="78" t="s">
        <v>968</v>
      </c>
      <c r="G57" s="24" t="s">
        <v>969</v>
      </c>
      <c r="H57" s="22"/>
      <c r="I57" s="16" t="s">
        <v>24</v>
      </c>
      <c r="J57" s="73">
        <v>7.0</v>
      </c>
      <c r="K57" s="54"/>
      <c r="L57" s="55">
        <v>1.0</v>
      </c>
      <c r="M57" s="18">
        <f>IFNA( VLOOKUP(LEFT(F57, IFERROR(FIND(" ", F57, 1),1) - 1), lists!$A$31:$B$37, 2, FALSE),"")</f>
        <v>1</v>
      </c>
      <c r="N57" s="18" t="str">
        <f>IFERROR(__xludf.DUMMYFUNCTION("IFNA(VLOOKUP(IFNA(REGEXEXTRACT(F57, ""(Пасхи|50-ці|посту)""),""""),lists!$A$39:$B$41,2,FALSE),"""")"),"")</f>
        <v/>
      </c>
      <c r="O57" s="19" t="str">
        <f>IFERROR(__xludf.DUMMYFUNCTION("IFNA(REGEXEXTRACT(F57, ""\d{1,2}""),"""")"),"7")</f>
        <v>7</v>
      </c>
      <c r="P57" s="14" t="b">
        <f t="shared" si="4"/>
        <v>0</v>
      </c>
    </row>
    <row r="58">
      <c r="A58" s="21" t="s">
        <v>970</v>
      </c>
      <c r="B58" s="9" t="str">
        <f t="shared" si="1"/>
        <v>Ів.</v>
      </c>
      <c r="C58" s="10" t="s">
        <v>861</v>
      </c>
      <c r="D58" s="11" t="str">
        <f t="shared" si="2"/>
        <v>50</v>
      </c>
      <c r="E58" s="9"/>
      <c r="F58" s="13" t="s">
        <v>971</v>
      </c>
      <c r="G58" s="14"/>
      <c r="H58" s="15" t="s">
        <v>70</v>
      </c>
      <c r="I58" s="16" t="s">
        <v>71</v>
      </c>
      <c r="J58" s="73">
        <v>2.0</v>
      </c>
      <c r="K58" s="54"/>
      <c r="L58" s="55" t="s">
        <v>71</v>
      </c>
      <c r="M58" s="18" t="str">
        <f>IFNA( VLOOKUP(LEFT(F58, IFERROR(FIND(" ", F58, 1),1) - 1), lists!$A$31:$B$37, 2, FALSE),"")</f>
        <v/>
      </c>
      <c r="N58" s="18" t="str">
        <f>IFERROR(__xludf.DUMMYFUNCTION("IFNA(VLOOKUP(IFNA(REGEXEXTRACT(F58, ""(Пасхи|50-ці|посту)""),""""),lists!$A$39:$B$41,2,FALSE),"""")"),"")</f>
        <v/>
      </c>
      <c r="O58" s="19" t="str">
        <f>IFERROR(__xludf.DUMMYFUNCTION("IFNA(REGEXEXTRACT(F58, ""\d{1,2}""),"""")"),"2")</f>
        <v>2</v>
      </c>
      <c r="P58" s="14" t="b">
        <f t="shared" si="4"/>
        <v>0</v>
      </c>
    </row>
    <row r="59">
      <c r="A59" s="21" t="s">
        <v>972</v>
      </c>
      <c r="B59" s="9" t="str">
        <f t="shared" si="1"/>
        <v>Ів.</v>
      </c>
      <c r="C59" s="10" t="s">
        <v>861</v>
      </c>
      <c r="D59" s="11" t="str">
        <f t="shared" si="2"/>
        <v>51</v>
      </c>
      <c r="E59" s="9"/>
      <c r="F59" s="13" t="s">
        <v>973</v>
      </c>
      <c r="G59" s="14"/>
      <c r="H59" s="15" t="s">
        <v>70</v>
      </c>
      <c r="I59" s="16" t="s">
        <v>71</v>
      </c>
      <c r="J59" s="73">
        <v>11.0</v>
      </c>
      <c r="K59" s="54"/>
      <c r="L59" s="55" t="s">
        <v>71</v>
      </c>
      <c r="M59" s="18" t="str">
        <f>IFNA( VLOOKUP(LEFT(F59, IFERROR(FIND(" ", F59, 1),1) - 1), lists!$A$31:$B$37, 2, FALSE),"")</f>
        <v/>
      </c>
      <c r="N59" s="18" t="str">
        <f>IFERROR(__xludf.DUMMYFUNCTION("IFNA(VLOOKUP(IFNA(REGEXEXTRACT(F59, ""(Пасхи|50-ці|посту)""),""""),lists!$A$39:$B$41,2,FALSE),"""")"),"")</f>
        <v/>
      </c>
      <c r="O59" s="19" t="str">
        <f>IFERROR(__xludf.DUMMYFUNCTION("IFNA(REGEXEXTRACT(F59, ""\d{1,2}""),"""")"),"11")</f>
        <v>11</v>
      </c>
      <c r="P59" s="14" t="b">
        <f t="shared" si="4"/>
        <v>0</v>
      </c>
    </row>
    <row r="60">
      <c r="A60" s="21" t="s">
        <v>974</v>
      </c>
      <c r="B60" s="9" t="str">
        <f t="shared" si="1"/>
        <v>Ів.</v>
      </c>
      <c r="C60" s="10" t="s">
        <v>861</v>
      </c>
      <c r="D60" s="11" t="str">
        <f t="shared" si="2"/>
        <v>52</v>
      </c>
      <c r="E60" s="9"/>
      <c r="F60" s="21" t="s">
        <v>975</v>
      </c>
      <c r="G60" s="14"/>
      <c r="H60" s="15" t="s">
        <v>70</v>
      </c>
      <c r="I60" s="16" t="s">
        <v>29</v>
      </c>
      <c r="J60" s="73">
        <v>30.0</v>
      </c>
      <c r="K60" s="54"/>
      <c r="L60" s="55">
        <v>6.0</v>
      </c>
      <c r="M60" s="18">
        <f>IFNA( VLOOKUP(LEFT(F60, IFERROR(FIND(" ", F60, 1),1) - 1), lists!$A$31:$B$37, 2, FALSE),"")</f>
        <v>6</v>
      </c>
      <c r="N60" s="18" t="str">
        <f>IFERROR(__xludf.DUMMYFUNCTION("IFNA(VLOOKUP(IFNA(REGEXEXTRACT(F60, ""(Пасхи|50-ці|посту)""),""""),lists!$A$39:$B$41,2,FALSE),"""")"),"")</f>
        <v/>
      </c>
      <c r="O60" s="19" t="str">
        <f>IFERROR(__xludf.DUMMYFUNCTION("IFNA(REGEXEXTRACT(F60, ""\d{1,2}""),"""")"),"3")</f>
        <v>3</v>
      </c>
      <c r="P60" s="14" t="b">
        <f t="shared" si="4"/>
        <v>0</v>
      </c>
    </row>
    <row r="61">
      <c r="A61" s="21" t="s">
        <v>976</v>
      </c>
      <c r="B61" s="9" t="str">
        <f t="shared" si="1"/>
        <v>Ів.</v>
      </c>
      <c r="C61" s="10" t="s">
        <v>861</v>
      </c>
      <c r="D61" s="11" t="str">
        <f t="shared" si="2"/>
        <v>53</v>
      </c>
      <c r="E61" s="9"/>
      <c r="F61" s="78" t="s">
        <v>977</v>
      </c>
      <c r="G61" s="24" t="s">
        <v>978</v>
      </c>
      <c r="H61" s="22"/>
      <c r="I61" s="16" t="s">
        <v>24</v>
      </c>
      <c r="J61" s="73">
        <v>7.0</v>
      </c>
      <c r="K61" s="54"/>
      <c r="L61" s="55">
        <v>2.0</v>
      </c>
      <c r="M61" s="18">
        <f>IFNA( VLOOKUP(LEFT(F61, IFERROR(FIND(" ", F61, 1),1) - 1), lists!$A$31:$B$37, 2, FALSE),"")</f>
        <v>2</v>
      </c>
      <c r="N61" s="18" t="str">
        <f>IFERROR(__xludf.DUMMYFUNCTION("IFNA(VLOOKUP(IFNA(REGEXEXTRACT(F61, ""(Пасхи|50-ці|посту)""),""""),lists!$A$39:$B$41,2,FALSE),"""")"),"")</f>
        <v/>
      </c>
      <c r="O61" s="19" t="str">
        <f>IFERROR(__xludf.DUMMYFUNCTION("IFNA(REGEXEXTRACT(F61, ""\d{1,2}""),"""")"),"7")</f>
        <v>7</v>
      </c>
      <c r="P61" s="14" t="b">
        <f t="shared" si="4"/>
        <v>0</v>
      </c>
    </row>
    <row r="62">
      <c r="A62" s="21" t="s">
        <v>979</v>
      </c>
      <c r="B62" s="9" t="str">
        <f t="shared" si="1"/>
        <v>Ів.</v>
      </c>
      <c r="C62" s="10" t="s">
        <v>861</v>
      </c>
      <c r="D62" s="11" t="str">
        <f t="shared" si="2"/>
        <v>54</v>
      </c>
      <c r="E62" s="9"/>
      <c r="F62" s="13" t="s">
        <v>980</v>
      </c>
      <c r="G62" s="14"/>
      <c r="H62" s="22"/>
      <c r="I62" s="16" t="s">
        <v>24</v>
      </c>
      <c r="J62" s="73">
        <v>7.0</v>
      </c>
      <c r="K62" s="54"/>
      <c r="L62" s="55">
        <v>3.0</v>
      </c>
      <c r="M62" s="18">
        <f>IFNA( VLOOKUP(LEFT(F62, IFERROR(FIND(" ", F62, 1),1) - 1), lists!$A$31:$B$37, 2, FALSE),"")</f>
        <v>3</v>
      </c>
      <c r="N62" s="18" t="str">
        <f>IFERROR(__xludf.DUMMYFUNCTION("IFNA(VLOOKUP(IFNA(REGEXEXTRACT(F62, ""(Пасхи|50-ці|посту)""),""""),lists!$A$39:$B$41,2,FALSE),"""")"),"")</f>
        <v/>
      </c>
      <c r="O62" s="19" t="str">
        <f>IFERROR(__xludf.DUMMYFUNCTION("IFNA(REGEXEXTRACT(F62, ""\d{1,2}""),"""")"),"7")</f>
        <v>7</v>
      </c>
      <c r="P62" s="14" t="b">
        <f t="shared" si="4"/>
        <v>0</v>
      </c>
    </row>
    <row r="63">
      <c r="A63" s="21" t="s">
        <v>981</v>
      </c>
      <c r="B63" s="9" t="str">
        <f t="shared" si="1"/>
        <v>Ів.</v>
      </c>
      <c r="C63" s="10" t="s">
        <v>861</v>
      </c>
      <c r="D63" s="11" t="str">
        <f t="shared" si="2"/>
        <v>55</v>
      </c>
      <c r="E63" s="9"/>
      <c r="F63" s="13" t="s">
        <v>982</v>
      </c>
      <c r="G63" s="14"/>
      <c r="H63" s="22"/>
      <c r="I63" s="16" t="s">
        <v>24</v>
      </c>
      <c r="J63" s="73">
        <v>7.0</v>
      </c>
      <c r="K63" s="54"/>
      <c r="L63" s="55">
        <v>4.0</v>
      </c>
      <c r="M63" s="18">
        <f>IFNA( VLOOKUP(LEFT(F63, IFERROR(FIND(" ", F63, 1),1) - 1), lists!$A$31:$B$37, 2, FALSE),"")</f>
        <v>4</v>
      </c>
      <c r="N63" s="18" t="str">
        <f>IFERROR(__xludf.DUMMYFUNCTION("IFNA(VLOOKUP(IFNA(REGEXEXTRACT(F63, ""(Пасхи|50-ці|посту)""),""""),lists!$A$39:$B$41,2,FALSE),"""")"),"")</f>
        <v/>
      </c>
      <c r="O63" s="19" t="str">
        <f>IFERROR(__xludf.DUMMYFUNCTION("IFNA(REGEXEXTRACT(F63, ""\d{1,2}""),"""")"),"7")</f>
        <v>7</v>
      </c>
      <c r="P63" s="14" t="b">
        <f t="shared" si="4"/>
        <v>0</v>
      </c>
    </row>
    <row r="64">
      <c r="A64" s="21" t="s">
        <v>983</v>
      </c>
      <c r="B64" s="9" t="str">
        <f t="shared" si="1"/>
        <v>Ів.</v>
      </c>
      <c r="C64" s="10" t="s">
        <v>861</v>
      </c>
      <c r="D64" s="11" t="str">
        <f t="shared" si="2"/>
        <v>56</v>
      </c>
      <c r="E64" s="9"/>
      <c r="F64" s="13" t="s">
        <v>984</v>
      </c>
      <c r="G64" s="14"/>
      <c r="H64" s="22"/>
      <c r="I64" s="16" t="s">
        <v>24</v>
      </c>
      <c r="J64" s="73">
        <v>7.0</v>
      </c>
      <c r="K64" s="54"/>
      <c r="L64" s="55">
        <v>7.0</v>
      </c>
      <c r="M64" s="18">
        <f>IFNA( VLOOKUP(LEFT(F64, IFERROR(FIND(" ", F64, 1),1) - 1), lists!$A$31:$B$37, 2, FALSE),"")</f>
        <v>7</v>
      </c>
      <c r="N64" s="18" t="str">
        <f>IFERROR(__xludf.DUMMYFUNCTION("IFNA(VLOOKUP(IFNA(REGEXEXTRACT(F64, ""(Пасхи|50-ці|посту)""),""""),lists!$A$39:$B$41,2,FALSE),"""")"),"")</f>
        <v/>
      </c>
      <c r="O64" s="19" t="str">
        <f>IFERROR(__xludf.DUMMYFUNCTION("IFNA(REGEXEXTRACT(F64, ""\d{1,2}""),"""")"),"7")</f>
        <v>7</v>
      </c>
      <c r="P64" s="14" t="b">
        <f t="shared" si="4"/>
        <v>0</v>
      </c>
    </row>
    <row r="65">
      <c r="A65" s="21" t="s">
        <v>985</v>
      </c>
      <c r="B65" s="9" t="str">
        <f t="shared" si="1"/>
        <v>Ів.</v>
      </c>
      <c r="C65" s="10" t="s">
        <v>861</v>
      </c>
      <c r="D65" s="11" t="str">
        <f t="shared" si="2"/>
        <v>57</v>
      </c>
      <c r="E65" s="9"/>
      <c r="F65" s="13" t="s">
        <v>986</v>
      </c>
      <c r="G65" s="14"/>
      <c r="H65" s="15"/>
      <c r="I65" s="16" t="s">
        <v>24</v>
      </c>
      <c r="J65" s="73">
        <v>7.0</v>
      </c>
      <c r="K65" s="54"/>
      <c r="L65" s="55">
        <v>5.0</v>
      </c>
      <c r="M65" s="18">
        <f>IFNA( VLOOKUP(LEFT(F65, IFERROR(FIND(" ", F65, 1),1) - 1), lists!$A$31:$B$37, 2, FALSE),"")</f>
        <v>5</v>
      </c>
      <c r="N65" s="18" t="str">
        <f>IFERROR(__xludf.DUMMYFUNCTION("IFNA(VLOOKUP(IFNA(REGEXEXTRACT(F65, ""(Пасхи|50-ці|посту)""),""""),lists!$A$39:$B$41,2,FALSE),"""")"),"")</f>
        <v/>
      </c>
      <c r="O65" s="19" t="str">
        <f>IFERROR(__xludf.DUMMYFUNCTION("IFNA(REGEXEXTRACT(F65, ""\d{1,2}""),"""")"),"7")</f>
        <v>7</v>
      </c>
      <c r="P65" s="14" t="b">
        <f t="shared" si="4"/>
        <v>0</v>
      </c>
    </row>
    <row r="66">
      <c r="A66" s="21" t="s">
        <v>987</v>
      </c>
      <c r="B66" s="9" t="str">
        <f t="shared" si="1"/>
        <v>Ів.</v>
      </c>
      <c r="C66" s="10" t="s">
        <v>861</v>
      </c>
      <c r="D66" s="11" t="str">
        <f t="shared" si="2"/>
        <v>58</v>
      </c>
      <c r="E66" s="9"/>
      <c r="F66" s="13" t="s">
        <v>988</v>
      </c>
      <c r="G66" s="14"/>
      <c r="H66" s="15" t="s">
        <v>70</v>
      </c>
      <c r="I66" s="16" t="s">
        <v>71</v>
      </c>
      <c r="J66" s="73">
        <v>2.0</v>
      </c>
      <c r="K66" s="54"/>
      <c r="L66" s="55" t="s">
        <v>71</v>
      </c>
      <c r="M66" s="18" t="str">
        <f>IFNA( VLOOKUP(LEFT(F66, IFERROR(FIND(" ", F66, 1),1) - 1), lists!$A$31:$B$37, 2, FALSE),"")</f>
        <v/>
      </c>
      <c r="N66" s="18" t="str">
        <f>IFERROR(__xludf.DUMMYFUNCTION("IFNA(VLOOKUP(IFNA(REGEXEXTRACT(F66, ""(Пасхи|50-ці|посту)""),""""),lists!$A$39:$B$41,2,FALSE),"""")"),"")</f>
        <v/>
      </c>
      <c r="O66" s="19" t="str">
        <f>IFERROR(__xludf.DUMMYFUNCTION("IFNA(REGEXEXTRACT(F66, ""\d{1,2}""),"""")"),"2")</f>
        <v>2</v>
      </c>
      <c r="P66" s="14" t="b">
        <f t="shared" si="4"/>
        <v>0</v>
      </c>
    </row>
    <row r="67">
      <c r="A67" s="21" t="s">
        <v>989</v>
      </c>
      <c r="B67" s="9" t="str">
        <f t="shared" si="1"/>
        <v>Ів.</v>
      </c>
      <c r="C67" s="10" t="s">
        <v>861</v>
      </c>
      <c r="D67" s="11" t="str">
        <f t="shared" si="2"/>
        <v>59</v>
      </c>
      <c r="E67" s="12" t="s">
        <v>18</v>
      </c>
      <c r="F67" s="21" t="s">
        <v>990</v>
      </c>
      <c r="G67" s="14"/>
      <c r="H67" s="15" t="s">
        <v>70</v>
      </c>
      <c r="I67" s="16" t="s">
        <v>71</v>
      </c>
      <c r="J67" s="73">
        <v>4.0</v>
      </c>
      <c r="K67" s="54"/>
      <c r="L67" s="55" t="s">
        <v>71</v>
      </c>
      <c r="M67" s="18" t="str">
        <f>IFNA( VLOOKUP(LEFT(F67, IFERROR(FIND(" ", F67, 1),1) - 1), lists!$A$31:$B$37, 2, FALSE),"")</f>
        <v/>
      </c>
      <c r="N67" s="18" t="str">
        <f>IFERROR(__xludf.DUMMYFUNCTION("IFNA(VLOOKUP(IFNA(REGEXEXTRACT(F67, ""(Пасхи|50-ці|посту)""),""""),lists!$A$39:$B$41,2,FALSE),"""")"),"")</f>
        <v/>
      </c>
      <c r="O67" s="19" t="str">
        <f>IFERROR(__xludf.DUMMYFUNCTION("IFNA(REGEXEXTRACT(F67, ""\d{1,2}""),"""")"),"4")</f>
        <v>4</v>
      </c>
      <c r="P67" s="14" t="b">
        <f t="shared" si="4"/>
        <v>0</v>
      </c>
    </row>
    <row r="68">
      <c r="A68" s="21" t="s">
        <v>991</v>
      </c>
      <c r="B68" s="9" t="str">
        <f t="shared" si="1"/>
        <v>Ів.</v>
      </c>
      <c r="C68" s="10" t="s">
        <v>861</v>
      </c>
      <c r="D68" s="11" t="str">
        <f t="shared" si="2"/>
        <v>59</v>
      </c>
      <c r="E68" s="12" t="s">
        <v>22</v>
      </c>
      <c r="F68" s="21" t="s">
        <v>992</v>
      </c>
      <c r="G68" s="14"/>
      <c r="H68" s="15"/>
      <c r="I68" s="16"/>
      <c r="J68" s="73"/>
      <c r="K68" s="54"/>
      <c r="L68" s="55"/>
      <c r="M68" s="18"/>
      <c r="N68" s="18"/>
      <c r="O68" s="19"/>
      <c r="P68" s="14"/>
    </row>
    <row r="69">
      <c r="A69" s="21" t="s">
        <v>993</v>
      </c>
      <c r="B69" s="9" t="str">
        <f t="shared" si="1"/>
        <v>Ів.</v>
      </c>
      <c r="C69" s="10" t="s">
        <v>861</v>
      </c>
      <c r="D69" s="11" t="str">
        <f t="shared" si="2"/>
        <v>60</v>
      </c>
      <c r="E69" s="9"/>
      <c r="F69" s="21" t="s">
        <v>994</v>
      </c>
      <c r="G69" s="14"/>
      <c r="H69" s="15" t="s">
        <v>70</v>
      </c>
      <c r="I69" s="16" t="s">
        <v>71</v>
      </c>
      <c r="J69" s="73">
        <v>14.0</v>
      </c>
      <c r="K69" s="54"/>
      <c r="L69" s="55" t="s">
        <v>71</v>
      </c>
      <c r="M69" s="18" t="str">
        <f>IFNA( VLOOKUP(LEFT(F69, IFERROR(FIND(" ", F69, 1),1) - 1), lists!$A$31:$B$37, 2, FALSE),"")</f>
        <v/>
      </c>
      <c r="N69" s="18" t="str">
        <f>IFERROR(__xludf.DUMMYFUNCTION("IFNA(VLOOKUP(IFNA(REGEXEXTRACT(F69, ""(Пасхи|50-ці|посту)""),""""),lists!$A$39:$B$41,2,FALSE),"""")"),"")</f>
        <v/>
      </c>
      <c r="O69" s="19" t="str">
        <f>IFERROR(__xludf.DUMMYFUNCTION("IFNA(REGEXEXTRACT(F69, ""\d{1,2}""),"""")"),"14")</f>
        <v>14</v>
      </c>
      <c r="P69" s="14" t="b">
        <f t="shared" ref="P69:P145" si="5">AND(OR(I69="",J69="",L69=""),H69="")</f>
        <v>0</v>
      </c>
    </row>
    <row r="70">
      <c r="A70" s="21" t="s">
        <v>995</v>
      </c>
      <c r="B70" s="9" t="str">
        <f t="shared" si="1"/>
        <v>Ів.</v>
      </c>
      <c r="C70" s="10" t="s">
        <v>861</v>
      </c>
      <c r="D70" s="11" t="str">
        <f t="shared" si="2"/>
        <v>61</v>
      </c>
      <c r="E70" s="12" t="s">
        <v>18</v>
      </c>
      <c r="F70" s="21" t="s">
        <v>996</v>
      </c>
      <c r="G70" s="14"/>
      <c r="H70" s="15" t="s">
        <v>70</v>
      </c>
      <c r="I70" s="16" t="s">
        <v>71</v>
      </c>
      <c r="J70" s="73">
        <v>9.0</v>
      </c>
      <c r="K70" s="54"/>
      <c r="L70" s="55" t="s">
        <v>71</v>
      </c>
      <c r="M70" s="18" t="str">
        <f>IFNA( VLOOKUP(LEFT(F70, IFERROR(FIND(" ", F70, 1),1) - 1), lists!$A$31:$B$37, 2, FALSE),"")</f>
        <v/>
      </c>
      <c r="N70" s="18" t="str">
        <f>IFERROR(__xludf.DUMMYFUNCTION("IFNA(VLOOKUP(IFNA(REGEXEXTRACT(F70, ""(Пасхи|50-ці|посту)""),""""),lists!$A$39:$B$41,2,FALSE),"""")"),"")</f>
        <v/>
      </c>
      <c r="O70" s="19" t="str">
        <f>IFERROR(__xludf.DUMMYFUNCTION("IFNA(REGEXEXTRACT(F70, ""\d{1,2}""),"""")"),"9")</f>
        <v>9</v>
      </c>
      <c r="P70" s="14" t="b">
        <f t="shared" si="5"/>
        <v>0</v>
      </c>
    </row>
    <row r="71">
      <c r="A71" s="21" t="s">
        <v>997</v>
      </c>
      <c r="B71" s="9" t="str">
        <f t="shared" si="1"/>
        <v>Ів.</v>
      </c>
      <c r="C71" s="10" t="s">
        <v>861</v>
      </c>
      <c r="D71" s="11" t="str">
        <f t="shared" si="2"/>
        <v>61</v>
      </c>
      <c r="E71" s="12" t="s">
        <v>22</v>
      </c>
      <c r="F71" s="13" t="s">
        <v>998</v>
      </c>
      <c r="G71" s="9"/>
      <c r="H71" s="15" t="s">
        <v>70</v>
      </c>
      <c r="I71" s="16" t="s">
        <v>71</v>
      </c>
      <c r="J71" s="73">
        <v>26.0</v>
      </c>
      <c r="K71" s="55"/>
      <c r="L71" s="55" t="s">
        <v>71</v>
      </c>
      <c r="M71" s="18" t="str">
        <f>IFNA( VLOOKUP(LEFT(F71, IFERROR(FIND(" ", F71, 1),1) - 1), lists!$A$31:$B$37, 2, FALSE),"")</f>
        <v/>
      </c>
      <c r="N71" s="18" t="str">
        <f>IFERROR(__xludf.DUMMYFUNCTION("IFNA(VLOOKUP(IFNA(REGEXEXTRACT(F71, ""(Пасхи|50-ці|посту)""),""""),lists!$A$39:$B$41,2,FALSE),"""")"),"")</f>
        <v/>
      </c>
      <c r="O71" s="19" t="str">
        <f>IFERROR(__xludf.DUMMYFUNCTION("IFNA(REGEXEXTRACT(F71, ""\d{1,2}""),"""")"),"26")</f>
        <v>26</v>
      </c>
      <c r="P71" s="14" t="b">
        <f t="shared" si="5"/>
        <v>0</v>
      </c>
    </row>
    <row r="72">
      <c r="A72" s="30" t="s">
        <v>999</v>
      </c>
      <c r="B72" s="24" t="str">
        <f t="shared" si="1"/>
        <v>Ів.</v>
      </c>
      <c r="C72" s="10" t="s">
        <v>861</v>
      </c>
      <c r="D72" s="28" t="str">
        <f t="shared" si="2"/>
        <v>61</v>
      </c>
      <c r="E72" s="29" t="s">
        <v>116</v>
      </c>
      <c r="F72" s="30" t="s">
        <v>1000</v>
      </c>
      <c r="G72" s="24"/>
      <c r="H72" s="15" t="s">
        <v>70</v>
      </c>
      <c r="I72" s="16" t="s">
        <v>71</v>
      </c>
      <c r="J72" s="73">
        <v>26.0</v>
      </c>
      <c r="K72" s="55"/>
      <c r="L72" s="55" t="s">
        <v>71</v>
      </c>
      <c r="M72" s="18" t="str">
        <f>IFNA( VLOOKUP(LEFT(F72, IFERROR(FIND(" ", F72, 1),1) - 1), lists!$A$31:$B$37, 2, FALSE),"")</f>
        <v/>
      </c>
      <c r="N72" s="18" t="str">
        <f>IFERROR(__xludf.DUMMYFUNCTION("IFNA(VLOOKUP(IFNA(REGEXEXTRACT(F72, ""(Пасхи|50-ці|посту)""),""""),lists!$A$39:$B$41,2,FALSE),"""")"),"")</f>
        <v/>
      </c>
      <c r="O72" s="19" t="str">
        <f>IFERROR(__xludf.DUMMYFUNCTION("IFNA(REGEXEXTRACT(F72, ""\d{1,2}""),"""")"),"")</f>
        <v/>
      </c>
      <c r="P72" s="14" t="b">
        <f t="shared" si="5"/>
        <v>0</v>
      </c>
    </row>
    <row r="73">
      <c r="A73" s="21" t="s">
        <v>1001</v>
      </c>
      <c r="B73" s="9" t="str">
        <f t="shared" si="1"/>
        <v>Ів.</v>
      </c>
      <c r="C73" s="10" t="s">
        <v>861</v>
      </c>
      <c r="D73" s="11" t="str">
        <f t="shared" si="2"/>
        <v>62</v>
      </c>
      <c r="E73" s="9"/>
      <c r="F73" s="13" t="s">
        <v>1002</v>
      </c>
      <c r="G73" s="14"/>
      <c r="H73" s="15" t="s">
        <v>70</v>
      </c>
      <c r="I73" s="16" t="s">
        <v>71</v>
      </c>
      <c r="J73" s="73">
        <v>11.0</v>
      </c>
      <c r="K73" s="55"/>
      <c r="L73" s="55" t="s">
        <v>71</v>
      </c>
      <c r="M73" s="18" t="str">
        <f>IFNA( VLOOKUP(LEFT(F73, IFERROR(FIND(" ", F73, 1),1) - 1), lists!$A$31:$B$37, 2, FALSE),"")</f>
        <v/>
      </c>
      <c r="N73" s="18" t="str">
        <f>IFERROR(__xludf.DUMMYFUNCTION("IFNA(VLOOKUP(IFNA(REGEXEXTRACT(F73, ""(Пасхи|50-ці|посту)""),""""),lists!$A$39:$B$41,2,FALSE),"""")"),"")</f>
        <v/>
      </c>
      <c r="O73" s="19" t="str">
        <f>IFERROR(__xludf.DUMMYFUNCTION("IFNA(REGEXEXTRACT(F73, ""\d{1,2}""),"""")"),"11")</f>
        <v>11</v>
      </c>
      <c r="P73" s="14" t="b">
        <f t="shared" si="5"/>
        <v>0</v>
      </c>
    </row>
    <row r="74">
      <c r="A74" s="21" t="s">
        <v>1003</v>
      </c>
      <c r="B74" s="9" t="str">
        <f t="shared" si="1"/>
        <v>Ів.</v>
      </c>
      <c r="C74" s="10" t="s">
        <v>861</v>
      </c>
      <c r="D74" s="11" t="str">
        <f t="shared" si="2"/>
        <v>63</v>
      </c>
      <c r="E74" s="9"/>
      <c r="F74" s="21" t="s">
        <v>1004</v>
      </c>
      <c r="G74" s="14"/>
      <c r="H74" s="15" t="s">
        <v>70</v>
      </c>
      <c r="I74" s="16" t="s">
        <v>71</v>
      </c>
      <c r="J74" s="73">
        <v>7.0</v>
      </c>
      <c r="K74" s="55"/>
      <c r="L74" s="55" t="s">
        <v>71</v>
      </c>
      <c r="M74" s="18" t="str">
        <f>IFNA( VLOOKUP(LEFT(F74, IFERROR(FIND(" ", F74, 1),1) - 1), lists!$A$31:$B$37, 2, FALSE),"")</f>
        <v/>
      </c>
      <c r="N74" s="18" t="str">
        <f>IFERROR(__xludf.DUMMYFUNCTION("IFNA(VLOOKUP(IFNA(REGEXEXTRACT(F74, ""(Пасхи|50-ці|посту)""),""""),lists!$A$39:$B$41,2,FALSE),"""")"),"pentecost")</f>
        <v>pentecost</v>
      </c>
      <c r="O74" s="19" t="str">
        <f>IFERROR(__xludf.DUMMYFUNCTION("IFNA(REGEXEXTRACT(F74, ""\d{1,2}""),"""")"),"7")</f>
        <v>7</v>
      </c>
      <c r="P74" s="14" t="b">
        <f t="shared" si="5"/>
        <v>0</v>
      </c>
    </row>
    <row r="75">
      <c r="A75" s="21" t="s">
        <v>1005</v>
      </c>
      <c r="B75" s="9" t="str">
        <f t="shared" si="1"/>
        <v>Ів.</v>
      </c>
      <c r="C75" s="10" t="s">
        <v>861</v>
      </c>
      <c r="D75" s="11" t="str">
        <f t="shared" si="2"/>
        <v>64</v>
      </c>
      <c r="E75" s="9"/>
      <c r="F75" s="13" t="s">
        <v>1006</v>
      </c>
      <c r="G75" s="14"/>
      <c r="H75" s="15" t="s">
        <v>70</v>
      </c>
      <c r="I75" s="16" t="s">
        <v>71</v>
      </c>
      <c r="J75" s="73">
        <v>8.0</v>
      </c>
      <c r="K75" s="55"/>
      <c r="L75" s="55" t="s">
        <v>71</v>
      </c>
      <c r="M75" s="18" t="str">
        <f>IFNA( VLOOKUP(LEFT(F75, IFERROR(FIND(" ", F75, 1),1) - 1), lists!$A$31:$B$37, 2, FALSE),"")</f>
        <v/>
      </c>
      <c r="N75" s="18" t="str">
        <f>IFERROR(__xludf.DUMMYFUNCTION("IFNA(VLOOKUP(IFNA(REGEXEXTRACT(F75, ""(Пасхи|50-ці|посту)""),""""),lists!$A$39:$B$41,2,FALSE),"""")"),"")</f>
        <v/>
      </c>
      <c r="O75" s="19" t="str">
        <f>IFERROR(__xludf.DUMMYFUNCTION("IFNA(REGEXEXTRACT(F75, ""\d{1,2}""),"""")"),"8")</f>
        <v>8</v>
      </c>
      <c r="P75" s="14" t="b">
        <f t="shared" si="5"/>
        <v>0</v>
      </c>
    </row>
    <row r="76" ht="27.0" customHeight="1">
      <c r="A76" s="21" t="s">
        <v>1007</v>
      </c>
      <c r="B76" s="9" t="str">
        <f t="shared" si="1"/>
        <v>Ів.</v>
      </c>
      <c r="C76" s="10" t="s">
        <v>861</v>
      </c>
      <c r="D76" s="11" t="str">
        <f t="shared" si="2"/>
        <v>65</v>
      </c>
      <c r="E76" s="26" t="s">
        <v>22</v>
      </c>
      <c r="F76" s="13" t="s">
        <v>1008</v>
      </c>
      <c r="G76" s="14"/>
      <c r="H76" s="15"/>
      <c r="I76" s="16" t="s">
        <v>24</v>
      </c>
      <c r="J76" s="53">
        <v>7.0</v>
      </c>
      <c r="K76" s="54"/>
      <c r="L76" s="55">
        <v>7.0</v>
      </c>
      <c r="M76" s="18" t="str">
        <f>IFNA( VLOOKUP(LEFT(F76, IFERROR(FIND(" ", F76, 1),1) - 1), lists!$A$31:$B$37, 2, FALSE),"")</f>
        <v/>
      </c>
      <c r="N76" s="18" t="str">
        <f>IFERROR(__xludf.DUMMYFUNCTION("IFNA(VLOOKUP(IFNA(REGEXEXTRACT(F76, ""(Пасхи|50-ці|посту)""),""""),lists!$A$39:$B$41,2,FALSE),"""")"),"")</f>
        <v/>
      </c>
      <c r="O76" s="19" t="str">
        <f>IFERROR(__xludf.DUMMYFUNCTION("IFNA(REGEXEXTRACT(F76, ""\d{1,2}""),"""")"),"8")</f>
        <v>8</v>
      </c>
      <c r="P76" s="14" t="b">
        <f t="shared" si="5"/>
        <v>0</v>
      </c>
    </row>
    <row r="77">
      <c r="A77" s="21" t="s">
        <v>1009</v>
      </c>
      <c r="B77" s="9" t="str">
        <f t="shared" si="1"/>
        <v>Ів.</v>
      </c>
      <c r="C77" s="10" t="s">
        <v>861</v>
      </c>
      <c r="D77" s="11" t="str">
        <f t="shared" si="2"/>
        <v>65</v>
      </c>
      <c r="E77" s="26" t="s">
        <v>116</v>
      </c>
      <c r="F77" s="21" t="s">
        <v>1010</v>
      </c>
      <c r="G77" s="14"/>
      <c r="H77" s="15" t="s">
        <v>70</v>
      </c>
      <c r="I77" s="16"/>
      <c r="J77" s="73" t="s">
        <v>71</v>
      </c>
      <c r="K77" s="55"/>
      <c r="L77" s="55" t="s">
        <v>71</v>
      </c>
      <c r="M77" s="18" t="str">
        <f>IFNA( VLOOKUP(LEFT(F77, IFERROR(FIND(" ", F77, 1),1) - 1), lists!$A$31:$B$37, 2, FALSE),"")</f>
        <v/>
      </c>
      <c r="N77" s="18" t="str">
        <f>IFERROR(__xludf.DUMMYFUNCTION("IFNA(VLOOKUP(IFNA(REGEXEXTRACT(F77, ""(Пасхи|50-ці|посту)""),""""),lists!$A$39:$B$41,2,FALSE),"""")"),"")</f>
        <v/>
      </c>
      <c r="O77" s="19" t="str">
        <f>IFERROR(__xludf.DUMMYFUNCTION("IFNA(REGEXEXTRACT(F77, ""\d{1,2}""),"""")"),"")</f>
        <v/>
      </c>
      <c r="P77" s="14" t="b">
        <f t="shared" si="5"/>
        <v>0</v>
      </c>
    </row>
    <row r="78">
      <c r="A78" s="21" t="s">
        <v>1011</v>
      </c>
      <c r="B78" s="9" t="str">
        <f t="shared" si="1"/>
        <v>Ів.</v>
      </c>
      <c r="C78" s="10" t="s">
        <v>861</v>
      </c>
      <c r="D78" s="11" t="str">
        <f t="shared" si="2"/>
        <v>65</v>
      </c>
      <c r="E78" s="26" t="s">
        <v>18</v>
      </c>
      <c r="F78" s="13" t="s">
        <v>1012</v>
      </c>
      <c r="G78" s="14"/>
      <c r="H78" s="15" t="s">
        <v>70</v>
      </c>
      <c r="I78" s="16" t="s">
        <v>24</v>
      </c>
      <c r="J78" s="53">
        <v>7.0</v>
      </c>
      <c r="K78" s="54"/>
      <c r="L78" s="55">
        <v>7.0</v>
      </c>
      <c r="M78" s="18" t="str">
        <f>IFNA( VLOOKUP(LEFT(F78, IFERROR(FIND(" ", F78, 1),1) - 1), lists!$A$31:$B$37, 2, FALSE),"")</f>
        <v/>
      </c>
      <c r="N78" s="18" t="str">
        <f>IFERROR(__xludf.DUMMYFUNCTION("IFNA(VLOOKUP(IFNA(REGEXEXTRACT(F78, ""(Пасхи|50-ці|посту)""),""""),lists!$A$39:$B$41,2,FALSE),"""")"),"")</f>
        <v/>
      </c>
      <c r="O78" s="19" t="str">
        <f>IFERROR(__xludf.DUMMYFUNCTION("IFNA(REGEXEXTRACT(F78, ""\d{1,2}""),"""")"),"9")</f>
        <v>9</v>
      </c>
      <c r="P78" s="14" t="b">
        <f t="shared" si="5"/>
        <v>0</v>
      </c>
    </row>
    <row r="79">
      <c r="A79" s="21" t="s">
        <v>1013</v>
      </c>
      <c r="B79" s="9" t="str">
        <f t="shared" si="1"/>
        <v>Ів.</v>
      </c>
      <c r="C79" s="10" t="s">
        <v>861</v>
      </c>
      <c r="D79" s="11" t="str">
        <f t="shared" si="2"/>
        <v>66</v>
      </c>
      <c r="E79" s="9"/>
      <c r="F79" s="13" t="s">
        <v>1014</v>
      </c>
      <c r="G79" s="14"/>
      <c r="H79" s="15" t="s">
        <v>70</v>
      </c>
      <c r="I79" s="16"/>
      <c r="J79" s="73">
        <v>10.0</v>
      </c>
      <c r="K79" s="55"/>
      <c r="L79" s="55" t="s">
        <v>71</v>
      </c>
      <c r="M79" s="18" t="str">
        <f>IFNA( VLOOKUP(LEFT(F79, IFERROR(FIND(" ", F79, 1),1) - 1), lists!$A$31:$B$37, 2, FALSE),"")</f>
        <v/>
      </c>
      <c r="N79" s="18" t="str">
        <f>IFERROR(__xludf.DUMMYFUNCTION("IFNA(VLOOKUP(IFNA(REGEXEXTRACT(F79, ""(Пасхи|50-ці|посту)""),""""),lists!$A$39:$B$41,2,FALSE),"""")"),"")</f>
        <v/>
      </c>
      <c r="O79" s="19" t="str">
        <f>IFERROR(__xludf.DUMMYFUNCTION("IFNA(REGEXEXTRACT(F79, ""\d{1,2}""),"""")"),"10")</f>
        <v>10</v>
      </c>
      <c r="P79" s="14" t="b">
        <f t="shared" si="5"/>
        <v>0</v>
      </c>
    </row>
    <row r="80">
      <c r="A80" s="21" t="s">
        <v>1015</v>
      </c>
      <c r="B80" s="9" t="str">
        <f t="shared" si="1"/>
        <v>Ів.</v>
      </c>
      <c r="C80" s="10" t="s">
        <v>861</v>
      </c>
      <c r="D80" s="11" t="str">
        <f t="shared" si="2"/>
        <v>67</v>
      </c>
      <c r="E80" s="9"/>
      <c r="F80" s="21" t="s">
        <v>1016</v>
      </c>
      <c r="G80" s="9" t="s">
        <v>1017</v>
      </c>
      <c r="H80" s="15" t="s">
        <v>70</v>
      </c>
      <c r="I80" s="16" t="s">
        <v>24</v>
      </c>
      <c r="J80" s="53">
        <v>7.0</v>
      </c>
      <c r="K80" s="55"/>
      <c r="L80" s="55">
        <v>6.0</v>
      </c>
      <c r="M80" s="18" t="str">
        <f>IFNA( VLOOKUP(LEFT(F80, IFERROR(FIND(" ", F80, 1),1) - 1), lists!$A$31:$B$37, 2, FALSE),"")</f>
        <v/>
      </c>
      <c r="N80" s="18" t="str">
        <f>IFERROR(__xludf.DUMMYFUNCTION("IFNA(VLOOKUP(IFNA(REGEXEXTRACT(F80, ""(Пасхи|50-ці|посту)""),""""),lists!$A$39:$B$41,2,FALSE),"""")"),"")</f>
        <v/>
      </c>
      <c r="O80" s="19" t="str">
        <f>IFERROR(__xludf.DUMMYFUNCTION("IFNA(REGEXEXTRACT(F80, ""\d{1,2}""),"""")"),"11")</f>
        <v>11</v>
      </c>
      <c r="P80" s="14" t="b">
        <f t="shared" si="5"/>
        <v>0</v>
      </c>
    </row>
    <row r="81">
      <c r="A81" s="13" t="s">
        <v>1018</v>
      </c>
      <c r="B81" s="9" t="str">
        <f t="shared" si="1"/>
        <v>Йо.</v>
      </c>
      <c r="C81" s="10" t="s">
        <v>861</v>
      </c>
      <c r="D81" s="11" t="str">
        <f t="shared" si="2"/>
        <v>1</v>
      </c>
      <c r="E81" s="9"/>
      <c r="F81" s="13" t="s">
        <v>862</v>
      </c>
      <c r="G81" s="14"/>
      <c r="H81" s="15"/>
      <c r="I81" s="16" t="s">
        <v>20</v>
      </c>
      <c r="J81" s="55">
        <v>7.0</v>
      </c>
      <c r="K81" s="54"/>
      <c r="L81" s="55">
        <v>7.0</v>
      </c>
      <c r="M81" s="18" t="str">
        <f>IFNA( VLOOKUP(LEFT(F81, IFERROR(FIND(" ", F81, 1),1) - 1), lists!$A$31:$B$37, 2, FALSE),"")</f>
        <v/>
      </c>
      <c r="N81" s="18" t="str">
        <f>IFERROR(__xludf.DUMMYFUNCTION("IFNA(VLOOKUP(IFNA(REGEXEXTRACT(F81, ""(Пасхи|50-ці|посту)""),""""),lists!$A$39:$B$41,2,FALSE),"""")"),"pascha")</f>
        <v>pascha</v>
      </c>
      <c r="O81" s="19" t="str">
        <f>IFERROR(__xludf.DUMMYFUNCTION("IFNA(REGEXEXTRACT(F81, ""\d{1,2}""),"""")"),"")</f>
        <v/>
      </c>
      <c r="P81" s="14" t="b">
        <f t="shared" si="5"/>
        <v>0</v>
      </c>
    </row>
    <row r="82">
      <c r="A82" s="13" t="s">
        <v>1019</v>
      </c>
      <c r="B82" s="9" t="str">
        <f t="shared" si="1"/>
        <v>Йо.</v>
      </c>
      <c r="C82" s="10" t="s">
        <v>861</v>
      </c>
      <c r="D82" s="11" t="str">
        <f t="shared" si="2"/>
        <v>2</v>
      </c>
      <c r="E82" s="9"/>
      <c r="F82" s="13" t="s">
        <v>846</v>
      </c>
      <c r="G82" s="14"/>
      <c r="H82" s="15"/>
      <c r="I82" s="16" t="s">
        <v>24</v>
      </c>
      <c r="J82" s="55">
        <v>1.0</v>
      </c>
      <c r="K82" s="54"/>
      <c r="L82" s="55">
        <v>1.0</v>
      </c>
      <c r="M82" s="18">
        <f>IFNA( VLOOKUP(LEFT(F82, IFERROR(FIND(" ", F82, 1),1) - 1), lists!$A$31:$B$37, 2, FALSE),"")</f>
        <v>1</v>
      </c>
      <c r="N82" s="18" t="str">
        <f>IFERROR(__xludf.DUMMYFUNCTION("IFNA(VLOOKUP(IFNA(REGEXEXTRACT(F82, ""(Пасхи|50-ці|посту)""),""""),lists!$A$39:$B$41,2,FALSE),"""")"),"")</f>
        <v/>
      </c>
      <c r="O82" s="19" t="str">
        <f>IFERROR(__xludf.DUMMYFUNCTION("IFNA(REGEXEXTRACT(F82, ""\d{1,2}""),"""")"),"")</f>
        <v/>
      </c>
      <c r="P82" s="14" t="b">
        <f t="shared" si="5"/>
        <v>0</v>
      </c>
    </row>
    <row r="83">
      <c r="A83" s="13" t="s">
        <v>1020</v>
      </c>
      <c r="B83" s="9" t="str">
        <f t="shared" si="1"/>
        <v>Йо.</v>
      </c>
      <c r="C83" s="10" t="s">
        <v>861</v>
      </c>
      <c r="D83" s="11" t="str">
        <f t="shared" si="2"/>
        <v>3</v>
      </c>
      <c r="E83" s="9"/>
      <c r="F83" s="13" t="s">
        <v>865</v>
      </c>
      <c r="G83" s="14"/>
      <c r="H83" s="15" t="s">
        <v>70</v>
      </c>
      <c r="I83" s="16" t="s">
        <v>71</v>
      </c>
      <c r="J83" s="54" t="s">
        <v>71</v>
      </c>
      <c r="K83" s="54"/>
      <c r="L83" s="55" t="s">
        <v>71</v>
      </c>
      <c r="M83" s="18" t="str">
        <f>IFNA( VLOOKUP(LEFT(F83, IFERROR(FIND(" ", F83, 1),1) - 1), lists!$A$31:$B$37, 2, FALSE),"")</f>
        <v/>
      </c>
      <c r="N83" s="18" t="str">
        <f>IFERROR(__xludf.DUMMYFUNCTION("IFNA(VLOOKUP(IFNA(REGEXEXTRACT(F83, ""(Пасхи|50-ці|посту)""),""""),lists!$A$39:$B$41,2,FALSE),"""")"),"")</f>
        <v/>
      </c>
      <c r="O83" s="19" t="str">
        <f>IFERROR(__xludf.DUMMYFUNCTION("IFNA(REGEXEXTRACT(F83, ""\d{1,2}""),"""")"),"")</f>
        <v/>
      </c>
      <c r="P83" s="14" t="b">
        <f t="shared" si="5"/>
        <v>0</v>
      </c>
    </row>
    <row r="84">
      <c r="A84" s="13" t="s">
        <v>1021</v>
      </c>
      <c r="B84" s="9" t="str">
        <f t="shared" si="1"/>
        <v>Йо.</v>
      </c>
      <c r="C84" s="10" t="s">
        <v>861</v>
      </c>
      <c r="D84" s="11" t="str">
        <f t="shared" si="2"/>
        <v>4</v>
      </c>
      <c r="E84" s="9"/>
      <c r="F84" s="13" t="s">
        <v>867</v>
      </c>
      <c r="G84" s="14"/>
      <c r="H84" s="15" t="s">
        <v>70</v>
      </c>
      <c r="I84" s="16" t="s">
        <v>24</v>
      </c>
      <c r="J84" s="55">
        <v>1.0</v>
      </c>
      <c r="K84" s="54"/>
      <c r="L84" s="55">
        <v>3.0</v>
      </c>
      <c r="M84" s="18">
        <f>IFNA( VLOOKUP(LEFT(F84, IFERROR(FIND(" ", F84, 1),1) - 1), lists!$A$31:$B$37, 2, FALSE),"")</f>
        <v>3</v>
      </c>
      <c r="N84" s="18" t="str">
        <f>IFERROR(__xludf.DUMMYFUNCTION("IFNA(VLOOKUP(IFNA(REGEXEXTRACT(F84, ""(Пасхи|50-ці|посту)""),""""),lists!$A$39:$B$41,2,FALSE),"""")"),"")</f>
        <v/>
      </c>
      <c r="O84" s="19" t="str">
        <f>IFERROR(__xludf.DUMMYFUNCTION("IFNA(REGEXEXTRACT(F84, ""\d{1,2}""),"""")"),"")</f>
        <v/>
      </c>
      <c r="P84" s="14" t="b">
        <f t="shared" si="5"/>
        <v>0</v>
      </c>
    </row>
    <row r="85">
      <c r="A85" s="13" t="s">
        <v>1022</v>
      </c>
      <c r="B85" s="9" t="str">
        <f t="shared" si="1"/>
        <v>Йо.</v>
      </c>
      <c r="C85" s="10" t="s">
        <v>861</v>
      </c>
      <c r="D85" s="11" t="str">
        <f t="shared" si="2"/>
        <v>5</v>
      </c>
      <c r="E85" s="9"/>
      <c r="F85" s="13" t="s">
        <v>869</v>
      </c>
      <c r="G85" s="14"/>
      <c r="H85" s="15" t="s">
        <v>70</v>
      </c>
      <c r="I85" s="16" t="s">
        <v>20</v>
      </c>
      <c r="J85" s="54">
        <v>1.0</v>
      </c>
      <c r="K85" s="54"/>
      <c r="L85" s="55">
        <v>7.0</v>
      </c>
      <c r="M85" s="18">
        <f>IFNA( VLOOKUP(LEFT(F85, IFERROR(FIND(" ", F85, 1),1) - 1), lists!$A$31:$B$37, 2, FALSE),"")</f>
        <v>7</v>
      </c>
      <c r="N85" s="18" t="str">
        <f>IFERROR(__xludf.DUMMYFUNCTION("IFNA(VLOOKUP(IFNA(REGEXEXTRACT(F85, ""(Пасхи|50-ці|посту)""),""""),lists!$A$39:$B$41,2,FALSE),"""")"),"lent")</f>
        <v>lent</v>
      </c>
      <c r="O85" s="19" t="str">
        <f>IFERROR(__xludf.DUMMYFUNCTION("IFNA(REGEXEXTRACT(F85, ""\d{1,2}""),"""")"),"1")</f>
        <v>1</v>
      </c>
      <c r="P85" s="14" t="b">
        <f t="shared" si="5"/>
        <v>0</v>
      </c>
    </row>
    <row r="86">
      <c r="A86" s="13" t="s">
        <v>1023</v>
      </c>
      <c r="B86" s="9" t="str">
        <f t="shared" si="1"/>
        <v>Йо.</v>
      </c>
      <c r="C86" s="10" t="s">
        <v>861</v>
      </c>
      <c r="D86" s="11" t="str">
        <f t="shared" si="2"/>
        <v>6</v>
      </c>
      <c r="E86" s="9"/>
      <c r="F86" s="13" t="s">
        <v>871</v>
      </c>
      <c r="G86" s="14"/>
      <c r="H86" s="15"/>
      <c r="I86" s="16" t="s">
        <v>24</v>
      </c>
      <c r="J86" s="54">
        <v>2.0</v>
      </c>
      <c r="K86" s="54"/>
      <c r="L86" s="55">
        <v>1.0</v>
      </c>
      <c r="M86" s="18">
        <f>IFNA( VLOOKUP(LEFT(F86, IFERROR(FIND(" ", F86, 1),1) - 1), lists!$A$31:$B$37, 2, FALSE),"")</f>
        <v>1</v>
      </c>
      <c r="N86" s="18" t="str">
        <f>IFERROR(__xludf.DUMMYFUNCTION("IFNA(VLOOKUP(IFNA(REGEXEXTRACT(F86, ""(Пасхи|50-ці|посту)""),""""),lists!$A$39:$B$41,2,FALSE),"""")"),"")</f>
        <v/>
      </c>
      <c r="O86" s="19" t="str">
        <f>IFERROR(__xludf.DUMMYFUNCTION("IFNA(REGEXEXTRACT(F86, ""\d{1,2}""),"""")"),"2")</f>
        <v>2</v>
      </c>
      <c r="P86" s="14" t="b">
        <f t="shared" si="5"/>
        <v>0</v>
      </c>
    </row>
    <row r="87">
      <c r="A87" s="13" t="s">
        <v>1024</v>
      </c>
      <c r="B87" s="9" t="str">
        <f t="shared" si="1"/>
        <v>Йо.</v>
      </c>
      <c r="C87" s="10" t="s">
        <v>861</v>
      </c>
      <c r="D87" s="11" t="str">
        <f t="shared" si="2"/>
        <v>7</v>
      </c>
      <c r="E87" s="9"/>
      <c r="F87" s="13" t="s">
        <v>37</v>
      </c>
      <c r="G87" s="14"/>
      <c r="H87" s="15"/>
      <c r="I87" s="16" t="s">
        <v>24</v>
      </c>
      <c r="J87" s="55">
        <v>1.0</v>
      </c>
      <c r="K87" s="54"/>
      <c r="L87" s="55">
        <v>5.0</v>
      </c>
      <c r="M87" s="18">
        <f>IFNA( VLOOKUP(LEFT(F87, IFERROR(FIND(" ", F87, 1),1) - 1), lists!$A$31:$B$37, 2, FALSE),"")</f>
        <v>5</v>
      </c>
      <c r="N87" s="18" t="str">
        <f>IFERROR(__xludf.DUMMYFUNCTION("IFNA(VLOOKUP(IFNA(REGEXEXTRACT(F87, ""(Пасхи|50-ці|посту)""),""""),lists!$A$39:$B$41,2,FALSE),"""")"),"")</f>
        <v/>
      </c>
      <c r="O87" s="19" t="str">
        <f>IFERROR(__xludf.DUMMYFUNCTION("IFNA(REGEXEXTRACT(F87, ""\d{1,2}""),"""")"),"")</f>
        <v/>
      </c>
      <c r="P87" s="14" t="b">
        <f t="shared" si="5"/>
        <v>0</v>
      </c>
    </row>
    <row r="88">
      <c r="A88" s="13" t="s">
        <v>1025</v>
      </c>
      <c r="B88" s="9" t="str">
        <f t="shared" si="1"/>
        <v>Йо.</v>
      </c>
      <c r="C88" s="10" t="s">
        <v>861</v>
      </c>
      <c r="D88" s="11" t="str">
        <f t="shared" si="2"/>
        <v>8</v>
      </c>
      <c r="E88" s="9"/>
      <c r="F88" s="13" t="s">
        <v>35</v>
      </c>
      <c r="G88" s="14"/>
      <c r="H88" s="15"/>
      <c r="I88" s="16" t="s">
        <v>24</v>
      </c>
      <c r="J88" s="55">
        <v>1.0</v>
      </c>
      <c r="K88" s="54"/>
      <c r="L88" s="55">
        <v>4.0</v>
      </c>
      <c r="M88" s="18">
        <f>IFNA( VLOOKUP(LEFT(F88, IFERROR(FIND(" ", F88, 1),1) - 1), lists!$A$31:$B$37, 2, FALSE),"")</f>
        <v>4</v>
      </c>
      <c r="N88" s="18" t="str">
        <f>IFERROR(__xludf.DUMMYFUNCTION("IFNA(VLOOKUP(IFNA(REGEXEXTRACT(F88, ""(Пасхи|50-ці|посту)""),""""),lists!$A$39:$B$41,2,FALSE),"""")"),"")</f>
        <v/>
      </c>
      <c r="O88" s="19" t="str">
        <f>IFERROR(__xludf.DUMMYFUNCTION("IFNA(REGEXEXTRACT(F88, ""\d{1,2}""),"""")"),"")</f>
        <v/>
      </c>
      <c r="P88" s="14" t="b">
        <f t="shared" si="5"/>
        <v>0</v>
      </c>
    </row>
    <row r="89">
      <c r="A89" s="13" t="s">
        <v>1026</v>
      </c>
      <c r="B89" s="9" t="str">
        <f t="shared" si="1"/>
        <v>Йо.</v>
      </c>
      <c r="C89" s="10" t="s">
        <v>861</v>
      </c>
      <c r="D89" s="11" t="str">
        <f t="shared" si="2"/>
        <v>9</v>
      </c>
      <c r="E89" s="9"/>
      <c r="F89" s="13" t="s">
        <v>1027</v>
      </c>
      <c r="G89" s="14"/>
      <c r="H89" s="15" t="s">
        <v>70</v>
      </c>
      <c r="I89" s="16" t="s">
        <v>71</v>
      </c>
      <c r="J89" s="54" t="s">
        <v>71</v>
      </c>
      <c r="K89" s="54"/>
      <c r="L89" s="55">
        <v>7.0</v>
      </c>
      <c r="M89" s="18">
        <f>IFNA( VLOOKUP(LEFT(F89, IFERROR(FIND(" ", F89, 1),1) - 1), lists!$A$31:$B$37, 2, FALSE),"")</f>
        <v>7</v>
      </c>
      <c r="N89" s="18" t="str">
        <f>IFERROR(__xludf.DUMMYFUNCTION("IFNA(VLOOKUP(IFNA(REGEXEXTRACT(F89, ""(Пасхи|50-ці|посту)""),""""),lists!$A$39:$B$41,2,FALSE),"""")"),"")</f>
        <v/>
      </c>
      <c r="O89" s="19" t="str">
        <f>IFERROR(__xludf.DUMMYFUNCTION("IFNA(REGEXEXTRACT(F89, ""\d{1,2}""),"""")"),"")</f>
        <v/>
      </c>
      <c r="P89" s="14" t="b">
        <f t="shared" si="5"/>
        <v>0</v>
      </c>
    </row>
    <row r="90">
      <c r="A90" s="13" t="s">
        <v>1028</v>
      </c>
      <c r="B90" s="9" t="str">
        <f t="shared" si="1"/>
        <v>Йо.</v>
      </c>
      <c r="C90" s="10" t="s">
        <v>861</v>
      </c>
      <c r="D90" s="11" t="str">
        <f t="shared" si="2"/>
        <v>10</v>
      </c>
      <c r="E90" s="9"/>
      <c r="F90" s="13" t="s">
        <v>877</v>
      </c>
      <c r="G90" s="14"/>
      <c r="H90" s="22"/>
      <c r="I90" s="16" t="s">
        <v>24</v>
      </c>
      <c r="J90" s="54">
        <v>2.0</v>
      </c>
      <c r="K90" s="54"/>
      <c r="L90" s="55">
        <v>2.0</v>
      </c>
      <c r="M90" s="18">
        <f>IFNA( VLOOKUP(LEFT(F90, IFERROR(FIND(" ", F90, 1),1) - 1), lists!$A$31:$B$37, 2, FALSE),"")</f>
        <v>2</v>
      </c>
      <c r="N90" s="18" t="str">
        <f>IFERROR(__xludf.DUMMYFUNCTION("IFNA(VLOOKUP(IFNA(REGEXEXTRACT(F90, ""(Пасхи|50-ці|посту)""),""""),lists!$A$39:$B$41,2,FALSE),"""")"),"")</f>
        <v/>
      </c>
      <c r="O90" s="19" t="str">
        <f>IFERROR(__xludf.DUMMYFUNCTION("IFNA(REGEXEXTRACT(F90, ""\d{1,2}""),"""")"),"2")</f>
        <v>2</v>
      </c>
      <c r="P90" s="14" t="b">
        <f t="shared" si="5"/>
        <v>0</v>
      </c>
    </row>
    <row r="91">
      <c r="A91" s="13" t="s">
        <v>1029</v>
      </c>
      <c r="B91" s="9" t="str">
        <f t="shared" si="1"/>
        <v>Йо.</v>
      </c>
      <c r="C91" s="10" t="s">
        <v>861</v>
      </c>
      <c r="D91" s="11" t="str">
        <f t="shared" si="2"/>
        <v>11</v>
      </c>
      <c r="E91" s="9"/>
      <c r="F91" s="13" t="s">
        <v>39</v>
      </c>
      <c r="G91" s="14"/>
      <c r="H91" s="22"/>
      <c r="I91" s="16" t="s">
        <v>24</v>
      </c>
      <c r="J91" s="55">
        <v>1.0</v>
      </c>
      <c r="K91" s="54"/>
      <c r="L91" s="55">
        <v>6.0</v>
      </c>
      <c r="M91" s="18">
        <f>IFNA( VLOOKUP(LEFT(F91, IFERROR(FIND(" ", F91, 1),1) - 1), lists!$A$31:$B$37, 2, FALSE),"")</f>
        <v>6</v>
      </c>
      <c r="N91" s="18" t="str">
        <f>IFERROR(__xludf.DUMMYFUNCTION("IFNA(VLOOKUP(IFNA(REGEXEXTRACT(F91, ""(Пасхи|50-ці|посту)""),""""),lists!$A$39:$B$41,2,FALSE),"""")"),"")</f>
        <v/>
      </c>
      <c r="O91" s="19" t="str">
        <f>IFERROR(__xludf.DUMMYFUNCTION("IFNA(REGEXEXTRACT(F91, ""\d{1,2}""),"""")"),"")</f>
        <v/>
      </c>
      <c r="P91" s="14" t="b">
        <f t="shared" si="5"/>
        <v>0</v>
      </c>
    </row>
    <row r="92">
      <c r="A92" s="13" t="s">
        <v>1030</v>
      </c>
      <c r="B92" s="9" t="str">
        <f t="shared" si="1"/>
        <v>Йо.</v>
      </c>
      <c r="C92" s="10" t="s">
        <v>861</v>
      </c>
      <c r="D92" s="11" t="str">
        <f t="shared" si="2"/>
        <v>12</v>
      </c>
      <c r="E92" s="9"/>
      <c r="F92" s="13" t="s">
        <v>880</v>
      </c>
      <c r="G92" s="14"/>
      <c r="H92" s="22"/>
      <c r="I92" s="16" t="s">
        <v>24</v>
      </c>
      <c r="J92" s="54">
        <v>5.0</v>
      </c>
      <c r="K92" s="54"/>
      <c r="L92" s="55">
        <v>7.0</v>
      </c>
      <c r="M92" s="18">
        <f>IFNA( VLOOKUP(LEFT(F92, IFERROR(FIND(" ", F92, 1),1) - 1), lists!$A$31:$B$37, 2, FALSE),"")</f>
        <v>7</v>
      </c>
      <c r="N92" s="18" t="str">
        <f>IFERROR(__xludf.DUMMYFUNCTION("IFNA(VLOOKUP(IFNA(REGEXEXTRACT(F92, ""(Пасхи|50-ці|посту)""),""""),lists!$A$39:$B$41,2,FALSE),"""")"),"pascha")</f>
        <v>pascha</v>
      </c>
      <c r="O92" s="19" t="str">
        <f>IFERROR(__xludf.DUMMYFUNCTION("IFNA(REGEXEXTRACT(F92, ""\d{1,2}""),"""")"),"5")</f>
        <v>5</v>
      </c>
      <c r="P92" s="14" t="b">
        <f t="shared" si="5"/>
        <v>0</v>
      </c>
    </row>
    <row r="93">
      <c r="A93" s="13" t="s">
        <v>1031</v>
      </c>
      <c r="B93" s="9" t="str">
        <f t="shared" si="1"/>
        <v>Йо.</v>
      </c>
      <c r="C93" s="10" t="s">
        <v>861</v>
      </c>
      <c r="D93" s="11" t="str">
        <f t="shared" si="2"/>
        <v>13</v>
      </c>
      <c r="E93" s="9"/>
      <c r="F93" s="13" t="s">
        <v>882</v>
      </c>
      <c r="G93" s="14"/>
      <c r="H93" s="22"/>
      <c r="I93" s="16" t="s">
        <v>24</v>
      </c>
      <c r="J93" s="54">
        <v>3.0</v>
      </c>
      <c r="K93" s="54"/>
      <c r="L93" s="55">
        <v>1.0</v>
      </c>
      <c r="M93" s="18">
        <f>IFNA( VLOOKUP(LEFT(F93, IFERROR(FIND(" ", F93, 1),1) - 1), lists!$A$31:$B$37, 2, FALSE),"")</f>
        <v>1</v>
      </c>
      <c r="N93" s="18" t="str">
        <f>IFERROR(__xludf.DUMMYFUNCTION("IFNA(VLOOKUP(IFNA(REGEXEXTRACT(F93, ""(Пасхи|50-ці|посту)""),""""),lists!$A$39:$B$41,2,FALSE),"""")"),"")</f>
        <v/>
      </c>
      <c r="O93" s="19" t="str">
        <f>IFERROR(__xludf.DUMMYFUNCTION("IFNA(REGEXEXTRACT(F93, ""\d{1,2}""),"""")"),"3")</f>
        <v>3</v>
      </c>
      <c r="P93" s="14" t="b">
        <f t="shared" si="5"/>
        <v>0</v>
      </c>
    </row>
    <row r="94">
      <c r="A94" s="13" t="s">
        <v>1032</v>
      </c>
      <c r="B94" s="9" t="str">
        <f t="shared" si="1"/>
        <v>Йо.</v>
      </c>
      <c r="C94" s="10" t="s">
        <v>861</v>
      </c>
      <c r="D94" s="11" t="str">
        <f t="shared" si="2"/>
        <v>14</v>
      </c>
      <c r="E94" s="26" t="s">
        <v>18</v>
      </c>
      <c r="F94" s="13" t="s">
        <v>75</v>
      </c>
      <c r="G94" s="14"/>
      <c r="H94" s="22"/>
      <c r="I94" s="16" t="s">
        <v>24</v>
      </c>
      <c r="J94" s="54">
        <v>4.0</v>
      </c>
      <c r="K94" s="54"/>
      <c r="L94" s="55">
        <v>7.0</v>
      </c>
      <c r="M94" s="18">
        <f>IFNA( VLOOKUP(LEFT(F94, IFERROR(FIND(" ", F94, 1),1) - 1), lists!$A$31:$B$37, 2, FALSE),"")</f>
        <v>7</v>
      </c>
      <c r="N94" s="18" t="str">
        <f>IFERROR(__xludf.DUMMYFUNCTION("IFNA(VLOOKUP(IFNA(REGEXEXTRACT(F94, ""(Пасхи|50-ці|посту)""),""""),lists!$A$39:$B$41,2,FALSE),"""")"),"")</f>
        <v/>
      </c>
      <c r="O94" s="19" t="str">
        <f>IFERROR(__xludf.DUMMYFUNCTION("IFNA(REGEXEXTRACT(F94, ""\d{1,2}""),"""")"),"4")</f>
        <v>4</v>
      </c>
      <c r="P94" s="14" t="b">
        <f t="shared" si="5"/>
        <v>0</v>
      </c>
    </row>
    <row r="95">
      <c r="A95" s="13" t="s">
        <v>1033</v>
      </c>
      <c r="B95" s="9" t="str">
        <f t="shared" si="1"/>
        <v>Йо.</v>
      </c>
      <c r="C95" s="10" t="s">
        <v>861</v>
      </c>
      <c r="D95" s="11" t="str">
        <f t="shared" si="2"/>
        <v>14</v>
      </c>
      <c r="E95" s="26" t="s">
        <v>22</v>
      </c>
      <c r="F95" s="13" t="s">
        <v>392</v>
      </c>
      <c r="G95" s="14"/>
      <c r="H95" s="15" t="s">
        <v>70</v>
      </c>
      <c r="I95" s="16" t="s">
        <v>71</v>
      </c>
      <c r="J95" s="54" t="s">
        <v>71</v>
      </c>
      <c r="K95" s="54"/>
      <c r="L95" s="55" t="s">
        <v>71</v>
      </c>
      <c r="M95" s="18" t="str">
        <f>IFNA( VLOOKUP(LEFT(F95, IFERROR(FIND(" ", F95, 1),1) - 1), lists!$A$31:$B$37, 2, FALSE),"")</f>
        <v/>
      </c>
      <c r="N95" s="18" t="str">
        <f>IFERROR(__xludf.DUMMYFUNCTION("IFNA(VLOOKUP(IFNA(REGEXEXTRACT(F95, ""(Пасхи|50-ці|посту)""),""""),lists!$A$39:$B$41,2,FALSE),"""")"),"")</f>
        <v/>
      </c>
      <c r="O95" s="19" t="str">
        <f>IFERROR(__xludf.DUMMYFUNCTION("IFNA(REGEXEXTRACT(F95, ""\d{1,2}""),"""")"),"")</f>
        <v/>
      </c>
      <c r="P95" s="14" t="b">
        <f t="shared" si="5"/>
        <v>0</v>
      </c>
    </row>
    <row r="96">
      <c r="A96" s="13" t="s">
        <v>1034</v>
      </c>
      <c r="B96" s="9" t="str">
        <f t="shared" si="1"/>
        <v>Йо.</v>
      </c>
      <c r="C96" s="10" t="s">
        <v>861</v>
      </c>
      <c r="D96" s="11" t="str">
        <f t="shared" si="2"/>
        <v>15</v>
      </c>
      <c r="E96" s="9"/>
      <c r="F96" s="13" t="s">
        <v>886</v>
      </c>
      <c r="G96" s="14"/>
      <c r="H96" s="15" t="s">
        <v>70</v>
      </c>
      <c r="I96" s="16" t="s">
        <v>24</v>
      </c>
      <c r="J96" s="73">
        <v>2.0</v>
      </c>
      <c r="K96" s="54"/>
      <c r="L96" s="55">
        <v>3.0</v>
      </c>
      <c r="M96" s="18">
        <f>IFNA( VLOOKUP(LEFT(F96, IFERROR(FIND(" ", F96, 1),1) - 1), lists!$A$31:$B$37, 2, FALSE),"")</f>
        <v>3</v>
      </c>
      <c r="N96" s="18" t="str">
        <f>IFERROR(__xludf.DUMMYFUNCTION("IFNA(VLOOKUP(IFNA(REGEXEXTRACT(F96, ""(Пасхи|50-ці|посту)""),""""),lists!$A$39:$B$41,2,FALSE),"""")"),"")</f>
        <v/>
      </c>
      <c r="O96" s="19" t="str">
        <f>IFERROR(__xludf.DUMMYFUNCTION("IFNA(REGEXEXTRACT(F96, ""\d{1,2}""),"""")"),"2")</f>
        <v>2</v>
      </c>
      <c r="P96" s="14" t="b">
        <f t="shared" si="5"/>
        <v>0</v>
      </c>
    </row>
    <row r="97">
      <c r="A97" s="13" t="s">
        <v>1035</v>
      </c>
      <c r="B97" s="9" t="str">
        <f t="shared" si="1"/>
        <v>Йо.</v>
      </c>
      <c r="C97" s="10" t="s">
        <v>861</v>
      </c>
      <c r="D97" s="11" t="str">
        <f t="shared" si="2"/>
        <v>16</v>
      </c>
      <c r="E97" s="9"/>
      <c r="F97" s="13" t="s">
        <v>888</v>
      </c>
      <c r="G97" s="14"/>
      <c r="H97" s="15" t="s">
        <v>70</v>
      </c>
      <c r="I97" s="16" t="s">
        <v>24</v>
      </c>
      <c r="J97" s="73">
        <v>2.0</v>
      </c>
      <c r="K97" s="54"/>
      <c r="L97" s="55">
        <v>4.0</v>
      </c>
      <c r="M97" s="18">
        <f>IFNA( VLOOKUP(LEFT(F97, IFERROR(FIND(" ", F97, 1),1) - 1), lists!$A$31:$B$37, 2, FALSE),"")</f>
        <v>4</v>
      </c>
      <c r="N97" s="18" t="str">
        <f>IFERROR(__xludf.DUMMYFUNCTION("IFNA(VLOOKUP(IFNA(REGEXEXTRACT(F97, ""(Пасхи|50-ці|посту)""),""""),lists!$A$39:$B$41,2,FALSE),"""")"),"")</f>
        <v/>
      </c>
      <c r="O97" s="19" t="str">
        <f>IFERROR(__xludf.DUMMYFUNCTION("IFNA(REGEXEXTRACT(F97, ""\d{1,2}""),"""")"),"2")</f>
        <v>2</v>
      </c>
      <c r="P97" s="14" t="b">
        <f t="shared" si="5"/>
        <v>0</v>
      </c>
    </row>
    <row r="98">
      <c r="A98" s="13" t="s">
        <v>1036</v>
      </c>
      <c r="B98" s="9" t="str">
        <f t="shared" si="1"/>
        <v>Йо.</v>
      </c>
      <c r="C98" s="10" t="s">
        <v>861</v>
      </c>
      <c r="D98" s="11" t="str">
        <f t="shared" si="2"/>
        <v>17</v>
      </c>
      <c r="E98" s="9"/>
      <c r="F98" s="13" t="s">
        <v>890</v>
      </c>
      <c r="G98" s="14"/>
      <c r="H98" s="22"/>
      <c r="I98" s="16" t="s">
        <v>24</v>
      </c>
      <c r="J98" s="73">
        <v>2.0</v>
      </c>
      <c r="K98" s="54"/>
      <c r="L98" s="55">
        <v>5.0</v>
      </c>
      <c r="M98" s="18">
        <f>IFNA( VLOOKUP(LEFT(F98, IFERROR(FIND(" ", F98, 1),1) - 1), lists!$A$31:$B$37, 2, FALSE),"")</f>
        <v>5</v>
      </c>
      <c r="N98" s="18" t="str">
        <f>IFERROR(__xludf.DUMMYFUNCTION("IFNA(VLOOKUP(IFNA(REGEXEXTRACT(F98, ""(Пасхи|50-ці|посту)""),""""),lists!$A$39:$B$41,2,FALSE),"""")"),"")</f>
        <v/>
      </c>
      <c r="O98" s="19" t="str">
        <f>IFERROR(__xludf.DUMMYFUNCTION("IFNA(REGEXEXTRACT(F98, ""\d{1,2}""),"""")"),"2")</f>
        <v>2</v>
      </c>
      <c r="P98" s="14" t="b">
        <f t="shared" si="5"/>
        <v>0</v>
      </c>
    </row>
    <row r="99">
      <c r="A99" s="13" t="s">
        <v>1037</v>
      </c>
      <c r="B99" s="9" t="str">
        <f t="shared" si="1"/>
        <v>Йо.</v>
      </c>
      <c r="C99" s="10" t="s">
        <v>861</v>
      </c>
      <c r="D99" s="11" t="str">
        <f t="shared" si="2"/>
        <v>18</v>
      </c>
      <c r="E99" s="9"/>
      <c r="F99" s="13" t="s">
        <v>892</v>
      </c>
      <c r="G99" s="14"/>
      <c r="H99" s="22"/>
      <c r="I99" s="16" t="s">
        <v>24</v>
      </c>
      <c r="J99" s="73">
        <v>5.0</v>
      </c>
      <c r="K99" s="54"/>
      <c r="L99" s="55">
        <v>3.0</v>
      </c>
      <c r="M99" s="18">
        <f>IFNA( VLOOKUP(LEFT(F99, IFERROR(FIND(" ", F99, 1),1) - 1), lists!$A$31:$B$37, 2, FALSE),"")</f>
        <v>3</v>
      </c>
      <c r="N99" s="18" t="str">
        <f>IFERROR(__xludf.DUMMYFUNCTION("IFNA(VLOOKUP(IFNA(REGEXEXTRACT(F99, ""(Пасхи|50-ці|посту)""),""""),lists!$A$39:$B$41,2,FALSE),"""")"),"")</f>
        <v/>
      </c>
      <c r="O99" s="19" t="str">
        <f>IFERROR(__xludf.DUMMYFUNCTION("IFNA(REGEXEXTRACT(F99, ""\d{1,2}""),"""")"),"5")</f>
        <v>5</v>
      </c>
      <c r="P99" s="14" t="b">
        <f t="shared" si="5"/>
        <v>0</v>
      </c>
    </row>
    <row r="100">
      <c r="A100" s="13" t="s">
        <v>1038</v>
      </c>
      <c r="B100" s="9" t="str">
        <f t="shared" si="1"/>
        <v>Йо.</v>
      </c>
      <c r="C100" s="10" t="s">
        <v>861</v>
      </c>
      <c r="D100" s="11" t="str">
        <f t="shared" si="2"/>
        <v>19</v>
      </c>
      <c r="E100" s="9"/>
      <c r="F100" s="13" t="s">
        <v>894</v>
      </c>
      <c r="G100" s="14"/>
      <c r="H100" s="22"/>
      <c r="I100" s="16" t="s">
        <v>24</v>
      </c>
      <c r="J100" s="73">
        <v>2.0</v>
      </c>
      <c r="K100" s="54"/>
      <c r="L100" s="55">
        <v>6.0</v>
      </c>
      <c r="M100" s="18">
        <f>IFNA( VLOOKUP(LEFT(F100, IFERROR(FIND(" ", F100, 1),1) - 1), lists!$A$31:$B$37, 2, FALSE),"")</f>
        <v>6</v>
      </c>
      <c r="N100" s="18" t="str">
        <f>IFERROR(__xludf.DUMMYFUNCTION("IFNA(VLOOKUP(IFNA(REGEXEXTRACT(F100, ""(Пасхи|50-ці|посту)""),""""),lists!$A$39:$B$41,2,FALSE),"""")"),"pascha")</f>
        <v>pascha</v>
      </c>
      <c r="O100" s="19" t="str">
        <f>IFERROR(__xludf.DUMMYFUNCTION("IFNA(REGEXEXTRACT(F100, ""\d{1,2}""),"""")"),"2")</f>
        <v>2</v>
      </c>
      <c r="P100" s="14" t="b">
        <f t="shared" si="5"/>
        <v>0</v>
      </c>
    </row>
    <row r="101">
      <c r="A101" s="13" t="s">
        <v>1039</v>
      </c>
      <c r="B101" s="9" t="str">
        <f t="shared" si="1"/>
        <v>Йо.</v>
      </c>
      <c r="C101" s="10" t="s">
        <v>861</v>
      </c>
      <c r="D101" s="11" t="str">
        <f t="shared" si="2"/>
        <v>20</v>
      </c>
      <c r="E101" s="9"/>
      <c r="F101" s="13" t="s">
        <v>896</v>
      </c>
      <c r="G101" s="14"/>
      <c r="H101" s="22"/>
      <c r="I101" s="16" t="s">
        <v>24</v>
      </c>
      <c r="J101" s="73">
        <v>3.0</v>
      </c>
      <c r="K101" s="54"/>
      <c r="L101" s="55">
        <v>2.0</v>
      </c>
      <c r="M101" s="18">
        <f>IFNA( VLOOKUP(LEFT(F101, IFERROR(FIND(" ", F101, 1),1) - 1), lists!$A$31:$B$37, 2, FALSE),"")</f>
        <v>2</v>
      </c>
      <c r="N101" s="18" t="str">
        <f>IFERROR(__xludf.DUMMYFUNCTION("IFNA(VLOOKUP(IFNA(REGEXEXTRACT(F101, ""(Пасхи|50-ці|посту)""),""""),lists!$A$39:$B$41,2,FALSE),"""")"),"")</f>
        <v/>
      </c>
      <c r="O101" s="19" t="str">
        <f>IFERROR(__xludf.DUMMYFUNCTION("IFNA(REGEXEXTRACT(F101, ""\d{1,2}""),"""")"),"3")</f>
        <v>3</v>
      </c>
      <c r="P101" s="14" t="b">
        <f t="shared" si="5"/>
        <v>0</v>
      </c>
    </row>
    <row r="102">
      <c r="A102" s="13" t="s">
        <v>1040</v>
      </c>
      <c r="B102" s="9" t="str">
        <f t="shared" si="1"/>
        <v>Йо.</v>
      </c>
      <c r="C102" s="10" t="s">
        <v>861</v>
      </c>
      <c r="D102" s="11" t="str">
        <f t="shared" si="2"/>
        <v>21</v>
      </c>
      <c r="E102" s="9"/>
      <c r="F102" s="13" t="s">
        <v>898</v>
      </c>
      <c r="G102" s="14"/>
      <c r="H102" s="15" t="s">
        <v>70</v>
      </c>
      <c r="I102" s="16" t="s">
        <v>24</v>
      </c>
      <c r="J102" s="73">
        <v>3.0</v>
      </c>
      <c r="K102" s="54"/>
      <c r="L102" s="55">
        <v>3.0</v>
      </c>
      <c r="M102" s="18">
        <f>IFNA( VLOOKUP(LEFT(F102, IFERROR(FIND(" ", F102, 1),1) - 1), lists!$A$31:$B$37, 2, FALSE),"")</f>
        <v>3</v>
      </c>
      <c r="N102" s="18" t="str">
        <f>IFERROR(__xludf.DUMMYFUNCTION("IFNA(VLOOKUP(IFNA(REGEXEXTRACT(F102, ""(Пасхи|50-ці|посту)""),""""),lists!$A$39:$B$41,2,FALSE),"""")"),"")</f>
        <v/>
      </c>
      <c r="O102" s="19" t="str">
        <f>IFERROR(__xludf.DUMMYFUNCTION("IFNA(REGEXEXTRACT(F102, ""\d{1,2}""),"""")"),"3")</f>
        <v>3</v>
      </c>
      <c r="P102" s="14" t="b">
        <f t="shared" si="5"/>
        <v>0</v>
      </c>
    </row>
    <row r="103">
      <c r="A103" s="13" t="s">
        <v>1041</v>
      </c>
      <c r="B103" s="9" t="str">
        <f t="shared" si="1"/>
        <v>Йо.</v>
      </c>
      <c r="C103" s="10" t="s">
        <v>861</v>
      </c>
      <c r="D103" s="11" t="str">
        <f t="shared" si="2"/>
        <v>22</v>
      </c>
      <c r="E103" s="9"/>
      <c r="F103" s="13" t="s">
        <v>900</v>
      </c>
      <c r="G103" s="14"/>
      <c r="H103" s="15"/>
      <c r="I103" s="16" t="s">
        <v>24</v>
      </c>
      <c r="J103" s="73">
        <v>3.0</v>
      </c>
      <c r="K103" s="54"/>
      <c r="L103" s="55">
        <v>4.0</v>
      </c>
      <c r="M103" s="18">
        <f>IFNA( VLOOKUP(LEFT(F103, IFERROR(FIND(" ", F103, 1),1) - 1), lists!$A$31:$B$37, 2, FALSE),"")</f>
        <v>4</v>
      </c>
      <c r="N103" s="18" t="str">
        <f>IFERROR(__xludf.DUMMYFUNCTION("IFNA(VLOOKUP(IFNA(REGEXEXTRACT(F103, ""(Пасхи|50-ці|посту)""),""""),lists!$A$39:$B$41,2,FALSE),"""")"),"")</f>
        <v/>
      </c>
      <c r="O103" s="19" t="str">
        <f>IFERROR(__xludf.DUMMYFUNCTION("IFNA(REGEXEXTRACT(F103, ""\d{1,2}""),"""")"),"3")</f>
        <v>3</v>
      </c>
      <c r="P103" s="14" t="b">
        <f t="shared" si="5"/>
        <v>0</v>
      </c>
    </row>
    <row r="104">
      <c r="A104" s="13" t="s">
        <v>1042</v>
      </c>
      <c r="B104" s="9" t="str">
        <f t="shared" si="1"/>
        <v>Йо.</v>
      </c>
      <c r="C104" s="10" t="s">
        <v>861</v>
      </c>
      <c r="D104" s="11" t="str">
        <f t="shared" si="2"/>
        <v>23</v>
      </c>
      <c r="E104" s="9"/>
      <c r="F104" s="13" t="s">
        <v>1043</v>
      </c>
      <c r="G104" s="14"/>
      <c r="H104" s="22"/>
      <c r="I104" s="16" t="s">
        <v>24</v>
      </c>
      <c r="J104" s="73">
        <v>3.0</v>
      </c>
      <c r="K104" s="54"/>
      <c r="L104" s="55">
        <v>5.0</v>
      </c>
      <c r="M104" s="18">
        <f>IFNA( VLOOKUP(LEFT(F104, IFERROR(FIND(" ", F104, 1),1) - 1), lists!$A$31:$B$37, 2, FALSE),"")</f>
        <v>5</v>
      </c>
      <c r="N104" s="18" t="str">
        <f>IFERROR(__xludf.DUMMYFUNCTION("IFNA(VLOOKUP(IFNA(REGEXEXTRACT(F104, ""(Пасхи|50-ці|посту)""),""""),lists!$A$39:$B$41,2,FALSE),"""")"),"")</f>
        <v/>
      </c>
      <c r="O104" s="19" t="str">
        <f>IFERROR(__xludf.DUMMYFUNCTION("IFNA(REGEXEXTRACT(F104, ""\d{1,2}""),"""")"),"3")</f>
        <v>3</v>
      </c>
      <c r="P104" s="14" t="b">
        <f t="shared" si="5"/>
        <v>0</v>
      </c>
    </row>
    <row r="105">
      <c r="A105" s="13" t="s">
        <v>1044</v>
      </c>
      <c r="B105" s="9" t="str">
        <f t="shared" si="1"/>
        <v>Йо.</v>
      </c>
      <c r="C105" s="10" t="s">
        <v>861</v>
      </c>
      <c r="D105" s="11" t="str">
        <f t="shared" si="2"/>
        <v>24</v>
      </c>
      <c r="E105" s="9"/>
      <c r="F105" s="13" t="s">
        <v>906</v>
      </c>
      <c r="G105" s="14"/>
      <c r="H105" s="22"/>
      <c r="I105" s="16" t="s">
        <v>24</v>
      </c>
      <c r="J105" s="73">
        <v>4.0</v>
      </c>
      <c r="K105" s="54"/>
      <c r="L105" s="55">
        <v>1.0</v>
      </c>
      <c r="M105" s="18">
        <f>IFNA( VLOOKUP(LEFT(F105, IFERROR(FIND(" ", F105, 1),1) - 1), lists!$A$31:$B$37, 2, FALSE),"")</f>
        <v>1</v>
      </c>
      <c r="N105" s="18" t="str">
        <f>IFERROR(__xludf.DUMMYFUNCTION("IFNA(VLOOKUP(IFNA(REGEXEXTRACT(F105, ""(Пасхи|50-ці|посту)""),""""),lists!$A$39:$B$41,2,FALSE),"""")"),"")</f>
        <v/>
      </c>
      <c r="O105" s="19" t="str">
        <f>IFERROR(__xludf.DUMMYFUNCTION("IFNA(REGEXEXTRACT(F105, ""\d{1,2}""),"""")"),"4")</f>
        <v>4</v>
      </c>
      <c r="P105" s="14" t="b">
        <f t="shared" si="5"/>
        <v>0</v>
      </c>
    </row>
    <row r="106">
      <c r="A106" s="13" t="s">
        <v>1045</v>
      </c>
      <c r="B106" s="9" t="str">
        <f t="shared" si="1"/>
        <v>Йо.</v>
      </c>
      <c r="C106" s="10" t="s">
        <v>861</v>
      </c>
      <c r="D106" s="11" t="str">
        <f t="shared" si="2"/>
        <v>25</v>
      </c>
      <c r="E106" s="9"/>
      <c r="F106" s="13" t="s">
        <v>908</v>
      </c>
      <c r="G106" s="14"/>
      <c r="H106" s="22"/>
      <c r="I106" s="16" t="s">
        <v>24</v>
      </c>
      <c r="J106" s="73">
        <v>4.0</v>
      </c>
      <c r="K106" s="54"/>
      <c r="L106" s="55">
        <v>2.0</v>
      </c>
      <c r="M106" s="18">
        <f>IFNA( VLOOKUP(LEFT(F106, IFERROR(FIND(" ", F106, 1),1) - 1), lists!$A$31:$B$37, 2, FALSE),"")</f>
        <v>2</v>
      </c>
      <c r="N106" s="18" t="str">
        <f>IFERROR(__xludf.DUMMYFUNCTION("IFNA(VLOOKUP(IFNA(REGEXEXTRACT(F106, ""(Пасхи|50-ці|посту)""),""""),lists!$A$39:$B$41,2,FALSE),"""")"),"")</f>
        <v/>
      </c>
      <c r="O106" s="19" t="str">
        <f>IFERROR(__xludf.DUMMYFUNCTION("IFNA(REGEXEXTRACT(F106, ""\d{1,2}""),"""")"),"4")</f>
        <v>4</v>
      </c>
      <c r="P106" s="14" t="b">
        <f t="shared" si="5"/>
        <v>0</v>
      </c>
    </row>
    <row r="107">
      <c r="A107" s="13" t="s">
        <v>1046</v>
      </c>
      <c r="B107" s="9" t="str">
        <f t="shared" si="1"/>
        <v>Йо.</v>
      </c>
      <c r="C107" s="10" t="s">
        <v>861</v>
      </c>
      <c r="D107" s="11" t="str">
        <f t="shared" si="2"/>
        <v>26</v>
      </c>
      <c r="E107" s="9"/>
      <c r="F107" s="13" t="s">
        <v>910</v>
      </c>
      <c r="G107" s="13"/>
      <c r="H107" s="22"/>
      <c r="I107" s="16" t="s">
        <v>24</v>
      </c>
      <c r="J107" s="73">
        <v>4.0</v>
      </c>
      <c r="K107" s="54"/>
      <c r="L107" s="55">
        <v>3.0</v>
      </c>
      <c r="M107" s="18">
        <f>IFNA( VLOOKUP(LEFT(F107, IFERROR(FIND(" ", F107, 1),1) - 1), lists!$A$31:$B$37, 2, FALSE),"")</f>
        <v>3</v>
      </c>
      <c r="N107" s="18" t="str">
        <f>IFERROR(__xludf.DUMMYFUNCTION("IFNA(VLOOKUP(IFNA(REGEXEXTRACT(F107, ""(Пасхи|50-ці|посту)""),""""),lists!$A$39:$B$41,2,FALSE),"""")"),"")</f>
        <v/>
      </c>
      <c r="O107" s="19" t="str">
        <f>IFERROR(__xludf.DUMMYFUNCTION("IFNA(REGEXEXTRACT(F107, ""\d{1,2}""),"""")"),"4")</f>
        <v>4</v>
      </c>
      <c r="P107" s="14" t="b">
        <f t="shared" si="5"/>
        <v>0</v>
      </c>
    </row>
    <row r="108">
      <c r="A108" s="13" t="s">
        <v>1047</v>
      </c>
      <c r="B108" s="9" t="str">
        <f t="shared" si="1"/>
        <v>Йо.</v>
      </c>
      <c r="C108" s="10" t="s">
        <v>861</v>
      </c>
      <c r="D108" s="11" t="str">
        <f t="shared" si="2"/>
        <v>27</v>
      </c>
      <c r="E108" s="9"/>
      <c r="F108" s="13" t="s">
        <v>912</v>
      </c>
      <c r="G108" s="14"/>
      <c r="H108" s="15" t="s">
        <v>913</v>
      </c>
      <c r="I108" s="16" t="s">
        <v>24</v>
      </c>
      <c r="J108" s="53">
        <v>7.0</v>
      </c>
      <c r="K108" s="54"/>
      <c r="L108" s="55">
        <v>7.0</v>
      </c>
      <c r="M108" s="18">
        <f>IFNA( VLOOKUP(LEFT(F108, IFERROR(FIND(" ", F108, 1),1) - 1), lists!$A$31:$B$37, 2, FALSE),"")</f>
        <v>7</v>
      </c>
      <c r="N108" s="18" t="str">
        <f>IFERROR(__xludf.DUMMYFUNCTION("IFNA(VLOOKUP(IFNA(REGEXEXTRACT(F108, ""(Пасхи|50-ці|посту)""),""""),lists!$A$39:$B$41,2,FALSE),"""")"),"")</f>
        <v/>
      </c>
      <c r="O108" s="19" t="str">
        <f>IFERROR(__xludf.DUMMYFUNCTION("IFNA(REGEXEXTRACT(F108, ""\d{1,2}""),"""")"),"8")</f>
        <v>8</v>
      </c>
      <c r="P108" s="14" t="b">
        <f t="shared" si="5"/>
        <v>0</v>
      </c>
    </row>
    <row r="109">
      <c r="A109" s="21" t="s">
        <v>1048</v>
      </c>
      <c r="B109" s="9" t="str">
        <f t="shared" si="1"/>
        <v>Йо.</v>
      </c>
      <c r="C109" s="10" t="s">
        <v>861</v>
      </c>
      <c r="D109" s="11" t="str">
        <f t="shared" si="2"/>
        <v>28</v>
      </c>
      <c r="E109" s="9"/>
      <c r="F109" s="13" t="s">
        <v>915</v>
      </c>
      <c r="G109" s="14"/>
      <c r="H109" s="15" t="s">
        <v>70</v>
      </c>
      <c r="I109" s="16" t="s">
        <v>24</v>
      </c>
      <c r="J109" s="73" t="s">
        <v>71</v>
      </c>
      <c r="K109" s="54"/>
      <c r="L109" s="55" t="s">
        <v>71</v>
      </c>
      <c r="M109" s="18" t="str">
        <f>IFNA( VLOOKUP(LEFT(F109, IFERROR(FIND(" ", F109, 1),1) - 1), lists!$A$31:$B$37, 2, FALSE),"")</f>
        <v/>
      </c>
      <c r="N109" s="18" t="str">
        <f>IFERROR(__xludf.DUMMYFUNCTION("IFNA(VLOOKUP(IFNA(REGEXEXTRACT(F109, ""(Пасхи|50-ці|посту)""),""""),lists!$A$39:$B$41,2,FALSE),"""")"),"")</f>
        <v/>
      </c>
      <c r="O109" s="19" t="str">
        <f>IFERROR(__xludf.DUMMYFUNCTION("IFNA(REGEXEXTRACT(F109, ""\d{1,2}""),"""")"),"")</f>
        <v/>
      </c>
      <c r="P109" s="14" t="b">
        <f t="shared" si="5"/>
        <v>0</v>
      </c>
    </row>
    <row r="110">
      <c r="A110" s="13" t="s">
        <v>1049</v>
      </c>
      <c r="B110" s="9" t="str">
        <f t="shared" si="1"/>
        <v>Йо.</v>
      </c>
      <c r="C110" s="10" t="s">
        <v>861</v>
      </c>
      <c r="D110" s="11" t="str">
        <f t="shared" si="2"/>
        <v>29</v>
      </c>
      <c r="E110" s="9"/>
      <c r="F110" s="13" t="s">
        <v>917</v>
      </c>
      <c r="G110" s="14"/>
      <c r="H110" s="22"/>
      <c r="I110" s="16" t="s">
        <v>24</v>
      </c>
      <c r="J110" s="73">
        <v>4.0</v>
      </c>
      <c r="K110" s="54"/>
      <c r="L110" s="55">
        <v>4.0</v>
      </c>
      <c r="M110" s="18">
        <f>IFNA( VLOOKUP(LEFT(F110, IFERROR(FIND(" ", F110, 1),1) - 1), lists!$A$31:$B$37, 2, FALSE),"")</f>
        <v>4</v>
      </c>
      <c r="N110" s="18" t="str">
        <f>IFERROR(__xludf.DUMMYFUNCTION("IFNA(VLOOKUP(IFNA(REGEXEXTRACT(F110, ""(Пасхи|50-ці|посту)""),""""),lists!$A$39:$B$41,2,FALSE),"""")"),"")</f>
        <v/>
      </c>
      <c r="O110" s="19" t="str">
        <f>IFERROR(__xludf.DUMMYFUNCTION("IFNA(REGEXEXTRACT(F110, ""\d{1,2}""),"""")"),"4")</f>
        <v>4</v>
      </c>
      <c r="P110" s="14" t="b">
        <f t="shared" si="5"/>
        <v>0</v>
      </c>
    </row>
    <row r="111">
      <c r="A111" s="13" t="s">
        <v>1050</v>
      </c>
      <c r="B111" s="9" t="str">
        <f t="shared" si="1"/>
        <v>Йо.</v>
      </c>
      <c r="C111" s="10" t="s">
        <v>861</v>
      </c>
      <c r="D111" s="11" t="str">
        <f t="shared" si="2"/>
        <v>30</v>
      </c>
      <c r="E111" s="9"/>
      <c r="F111" s="13" t="s">
        <v>919</v>
      </c>
      <c r="G111" s="14"/>
      <c r="H111" s="15"/>
      <c r="I111" s="16" t="s">
        <v>24</v>
      </c>
      <c r="J111" s="73">
        <v>4.0</v>
      </c>
      <c r="K111" s="54"/>
      <c r="L111" s="55">
        <v>5.0</v>
      </c>
      <c r="M111" s="18">
        <f>IFNA( VLOOKUP(LEFT(F111, IFERROR(FIND(" ", F111, 1),1) - 1), lists!$A$31:$B$37, 2, FALSE),"")</f>
        <v>5</v>
      </c>
      <c r="N111" s="18" t="str">
        <f>IFERROR(__xludf.DUMMYFUNCTION("IFNA(VLOOKUP(IFNA(REGEXEXTRACT(F111, ""(Пасхи|50-ці|посту)""),""""),lists!$A$39:$B$41,2,FALSE),"""")"),"")</f>
        <v/>
      </c>
      <c r="O111" s="19" t="str">
        <f>IFERROR(__xludf.DUMMYFUNCTION("IFNA(REGEXEXTRACT(F111, ""\d{1,2}""),"""")"),"4")</f>
        <v>4</v>
      </c>
      <c r="P111" s="14" t="b">
        <f t="shared" si="5"/>
        <v>0</v>
      </c>
    </row>
    <row r="112">
      <c r="A112" s="13" t="s">
        <v>1051</v>
      </c>
      <c r="B112" s="9" t="str">
        <f t="shared" si="1"/>
        <v>Йо.</v>
      </c>
      <c r="C112" s="10" t="s">
        <v>861</v>
      </c>
      <c r="D112" s="11" t="str">
        <f t="shared" si="2"/>
        <v>31</v>
      </c>
      <c r="E112" s="9"/>
      <c r="F112" s="13" t="s">
        <v>921</v>
      </c>
      <c r="G112" s="14"/>
      <c r="H112" s="22"/>
      <c r="I112" s="16" t="s">
        <v>24</v>
      </c>
      <c r="J112" s="73">
        <v>4.0</v>
      </c>
      <c r="K112" s="54"/>
      <c r="L112" s="55">
        <v>6.0</v>
      </c>
      <c r="M112" s="18">
        <f>IFNA( VLOOKUP(LEFT(F112, IFERROR(FIND(" ", F112, 1),1) - 1), lists!$A$31:$B$37, 2, FALSE),"")</f>
        <v>6</v>
      </c>
      <c r="N112" s="18" t="str">
        <f>IFERROR(__xludf.DUMMYFUNCTION("IFNA(VLOOKUP(IFNA(REGEXEXTRACT(F112, ""(Пасхи|50-ці|посту)""),""""),lists!$A$39:$B$41,2,FALSE),"""")"),"")</f>
        <v/>
      </c>
      <c r="O112" s="19" t="str">
        <f>IFERROR(__xludf.DUMMYFUNCTION("IFNA(REGEXEXTRACT(F112, ""\d{1,2}""),"""")"),"4")</f>
        <v>4</v>
      </c>
      <c r="P112" s="14" t="b">
        <f t="shared" si="5"/>
        <v>0</v>
      </c>
    </row>
    <row r="113">
      <c r="A113" s="13" t="s">
        <v>1052</v>
      </c>
      <c r="B113" s="9" t="str">
        <f t="shared" si="1"/>
        <v>Йо.</v>
      </c>
      <c r="C113" s="10" t="s">
        <v>861</v>
      </c>
      <c r="D113" s="11" t="str">
        <f t="shared" si="2"/>
        <v>32</v>
      </c>
      <c r="E113" s="9"/>
      <c r="F113" s="13" t="s">
        <v>923</v>
      </c>
      <c r="G113" s="14"/>
      <c r="H113" s="22"/>
      <c r="I113" s="16" t="s">
        <v>24</v>
      </c>
      <c r="J113" s="73">
        <v>5.0</v>
      </c>
      <c r="K113" s="54"/>
      <c r="L113" s="55">
        <v>1.0</v>
      </c>
      <c r="M113" s="18">
        <f>IFNA( VLOOKUP(LEFT(F113, IFERROR(FIND(" ", F113, 1),1) - 1), lists!$A$31:$B$37, 2, FALSE),"")</f>
        <v>1</v>
      </c>
      <c r="N113" s="18" t="str">
        <f>IFERROR(__xludf.DUMMYFUNCTION("IFNA(VLOOKUP(IFNA(REGEXEXTRACT(F113, ""(Пасхи|50-ці|посту)""),""""),lists!$A$39:$B$41,2,FALSE),"""")"),"")</f>
        <v/>
      </c>
      <c r="O113" s="19" t="str">
        <f>IFERROR(__xludf.DUMMYFUNCTION("IFNA(REGEXEXTRACT(F113, ""\d{1,2}""),"""")"),"5")</f>
        <v>5</v>
      </c>
      <c r="P113" s="14" t="b">
        <f t="shared" si="5"/>
        <v>0</v>
      </c>
    </row>
    <row r="114">
      <c r="A114" s="13" t="s">
        <v>1053</v>
      </c>
      <c r="B114" s="9" t="str">
        <f t="shared" si="1"/>
        <v>Йо.</v>
      </c>
      <c r="C114" s="10" t="s">
        <v>861</v>
      </c>
      <c r="D114" s="11" t="str">
        <f t="shared" si="2"/>
        <v>33</v>
      </c>
      <c r="E114" s="9"/>
      <c r="F114" s="13" t="s">
        <v>925</v>
      </c>
      <c r="G114" s="14"/>
      <c r="H114" s="22"/>
      <c r="I114" s="16" t="s">
        <v>24</v>
      </c>
      <c r="J114" s="73">
        <v>5.0</v>
      </c>
      <c r="K114" s="54"/>
      <c r="L114" s="55">
        <v>2.0</v>
      </c>
      <c r="M114" s="18">
        <f>IFNA( VLOOKUP(LEFT(F114, IFERROR(FIND(" ", F114, 1),1) - 1), lists!$A$31:$B$37, 2, FALSE),"")</f>
        <v>2</v>
      </c>
      <c r="N114" s="18" t="str">
        <f>IFERROR(__xludf.DUMMYFUNCTION("IFNA(VLOOKUP(IFNA(REGEXEXTRACT(F114, ""(Пасхи|50-ці|посту)""),""""),lists!$A$39:$B$41,2,FALSE),"""")"),"")</f>
        <v/>
      </c>
      <c r="O114" s="19" t="str">
        <f>IFERROR(__xludf.DUMMYFUNCTION("IFNA(REGEXEXTRACT(F114, ""\d{1,2}""),"""")"),"5")</f>
        <v>5</v>
      </c>
      <c r="P114" s="14" t="b">
        <f t="shared" si="5"/>
        <v>0</v>
      </c>
    </row>
    <row r="115">
      <c r="A115" s="13" t="s">
        <v>1054</v>
      </c>
      <c r="B115" s="9" t="str">
        <f t="shared" si="1"/>
        <v>Йо.</v>
      </c>
      <c r="C115" s="10" t="s">
        <v>861</v>
      </c>
      <c r="D115" s="11" t="str">
        <f t="shared" si="2"/>
        <v>34</v>
      </c>
      <c r="E115" s="9"/>
      <c r="F115" s="21" t="s">
        <v>927</v>
      </c>
      <c r="G115" s="14"/>
      <c r="H115" s="15"/>
      <c r="I115" s="16" t="s">
        <v>24</v>
      </c>
      <c r="J115" s="53">
        <v>5.0</v>
      </c>
      <c r="K115" s="54"/>
      <c r="L115" s="55">
        <v>7.0</v>
      </c>
      <c r="M115" s="18">
        <f>IFNA( VLOOKUP(LEFT(F115, IFERROR(FIND(" ", F115, 1),1) - 1), lists!$A$31:$B$37, 2, FALSE),"")</f>
        <v>7</v>
      </c>
      <c r="N115" s="18" t="str">
        <f>IFERROR(__xludf.DUMMYFUNCTION("IFNA(VLOOKUP(IFNA(REGEXEXTRACT(F115, ""(Пасхи|50-ці|посту)""),""""),lists!$A$39:$B$41,2,FALSE),"""")"),"")</f>
        <v/>
      </c>
      <c r="O115" s="19" t="str">
        <f>IFERROR(__xludf.DUMMYFUNCTION("IFNA(REGEXEXTRACT(F115, ""\d{1,2}""),"""")"),"6")</f>
        <v>6</v>
      </c>
      <c r="P115" s="14" t="b">
        <f t="shared" si="5"/>
        <v>0</v>
      </c>
    </row>
    <row r="116">
      <c r="A116" s="13" t="s">
        <v>1055</v>
      </c>
      <c r="B116" s="9" t="str">
        <f t="shared" si="1"/>
        <v>Йо.</v>
      </c>
      <c r="C116" s="10" t="s">
        <v>861</v>
      </c>
      <c r="D116" s="11" t="str">
        <f t="shared" si="2"/>
        <v>35</v>
      </c>
      <c r="E116" s="12" t="s">
        <v>18</v>
      </c>
      <c r="F116" s="13" t="s">
        <v>929</v>
      </c>
      <c r="G116" s="14"/>
      <c r="H116" s="22"/>
      <c r="I116" s="16" t="s">
        <v>24</v>
      </c>
      <c r="J116" s="73">
        <v>5.0</v>
      </c>
      <c r="K116" s="54"/>
      <c r="L116" s="55">
        <v>4.0</v>
      </c>
      <c r="M116" s="18">
        <f>IFNA( VLOOKUP(LEFT(F116, IFERROR(FIND(" ", F116, 1),1) - 1), lists!$A$31:$B$37, 2, FALSE),"")</f>
        <v>4</v>
      </c>
      <c r="N116" s="18" t="str">
        <f>IFERROR(__xludf.DUMMYFUNCTION("IFNA(VLOOKUP(IFNA(REGEXEXTRACT(F116, ""(Пасхи|50-ці|посту)""),""""),lists!$A$39:$B$41,2,FALSE),"""")"),"")</f>
        <v/>
      </c>
      <c r="O116" s="19" t="str">
        <f>IFERROR(__xludf.DUMMYFUNCTION("IFNA(REGEXEXTRACT(F116, ""\d{1,2}""),"""")"),"5")</f>
        <v>5</v>
      </c>
      <c r="P116" s="14" t="b">
        <f t="shared" si="5"/>
        <v>0</v>
      </c>
    </row>
    <row r="117">
      <c r="A117" s="13" t="s">
        <v>1056</v>
      </c>
      <c r="B117" s="9" t="str">
        <f t="shared" si="1"/>
        <v>Йо.</v>
      </c>
      <c r="C117" s="10" t="s">
        <v>861</v>
      </c>
      <c r="D117" s="11" t="str">
        <f t="shared" si="2"/>
        <v>35</v>
      </c>
      <c r="E117" s="12" t="s">
        <v>22</v>
      </c>
      <c r="F117" s="13" t="s">
        <v>931</v>
      </c>
      <c r="G117" s="14"/>
      <c r="H117" s="15" t="s">
        <v>70</v>
      </c>
      <c r="I117" s="16" t="s">
        <v>71</v>
      </c>
      <c r="J117" s="73" t="s">
        <v>71</v>
      </c>
      <c r="K117" s="54"/>
      <c r="L117" s="55" t="s">
        <v>71</v>
      </c>
      <c r="M117" s="18" t="str">
        <f>IFNA( VLOOKUP(LEFT(F117, IFERROR(FIND(" ", F117, 1),1) - 1), lists!$A$31:$B$37, 2, FALSE),"")</f>
        <v/>
      </c>
      <c r="N117" s="18" t="str">
        <f>IFERROR(__xludf.DUMMYFUNCTION("IFNA(VLOOKUP(IFNA(REGEXEXTRACT(F117, ""(Пасхи|50-ці|посту)""),""""),lists!$A$39:$B$41,2,FALSE),"""")"),"")</f>
        <v/>
      </c>
      <c r="O117" s="19" t="str">
        <f>IFERROR(__xludf.DUMMYFUNCTION("IFNA(REGEXEXTRACT(F117, ""\d{1,2}""),"""")"),"")</f>
        <v/>
      </c>
      <c r="P117" s="14" t="b">
        <f t="shared" si="5"/>
        <v>0</v>
      </c>
    </row>
    <row r="118">
      <c r="A118" s="13" t="s">
        <v>1057</v>
      </c>
      <c r="B118" s="9" t="str">
        <f t="shared" si="1"/>
        <v>Йо.</v>
      </c>
      <c r="C118" s="10" t="s">
        <v>861</v>
      </c>
      <c r="D118" s="11" t="str">
        <f t="shared" si="2"/>
        <v>36</v>
      </c>
      <c r="E118" s="9"/>
      <c r="F118" s="13" t="s">
        <v>1058</v>
      </c>
      <c r="G118" s="14"/>
      <c r="H118" s="15" t="s">
        <v>70</v>
      </c>
      <c r="I118" s="16" t="s">
        <v>71</v>
      </c>
      <c r="J118" s="73" t="s">
        <v>71</v>
      </c>
      <c r="K118" s="54"/>
      <c r="L118" s="55" t="s">
        <v>71</v>
      </c>
      <c r="M118" s="18" t="str">
        <f>IFNA( VLOOKUP(LEFT(F118, IFERROR(FIND(" ", F118, 1),1) - 1), lists!$A$31:$B$37, 2, FALSE),"")</f>
        <v/>
      </c>
      <c r="N118" s="18" t="str">
        <f>IFERROR(__xludf.DUMMYFUNCTION("IFNA(VLOOKUP(IFNA(REGEXEXTRACT(F118, ""(Пасхи|50-ці|посту)""),""""),lists!$A$39:$B$41,2,FALSE),"""")"),"")</f>
        <v/>
      </c>
      <c r="O118" s="19" t="str">
        <f>IFERROR(__xludf.DUMMYFUNCTION("IFNA(REGEXEXTRACT(F118, ""\d{1,2}""),"""")"),"")</f>
        <v/>
      </c>
      <c r="P118" s="14" t="b">
        <f t="shared" si="5"/>
        <v>0</v>
      </c>
    </row>
    <row r="119">
      <c r="A119" s="13" t="s">
        <v>1059</v>
      </c>
      <c r="B119" s="9" t="str">
        <f t="shared" si="1"/>
        <v>Йо.</v>
      </c>
      <c r="C119" s="10" t="s">
        <v>861</v>
      </c>
      <c r="D119" s="11" t="str">
        <f t="shared" si="2"/>
        <v>37</v>
      </c>
      <c r="E119" s="26" t="s">
        <v>18</v>
      </c>
      <c r="F119" s="13" t="s">
        <v>935</v>
      </c>
      <c r="G119" s="14"/>
      <c r="H119" s="15" t="s">
        <v>70</v>
      </c>
      <c r="I119" s="16" t="s">
        <v>71</v>
      </c>
      <c r="J119" s="73" t="s">
        <v>71</v>
      </c>
      <c r="K119" s="54"/>
      <c r="L119" s="55" t="s">
        <v>71</v>
      </c>
      <c r="M119" s="18" t="str">
        <f>IFNA( VLOOKUP(LEFT(G120, IFERROR(FIND(" ", G120, 1),1) - 1), lists!$A$31:$B$37, 2, FALSE),"")</f>
        <v/>
      </c>
      <c r="N119" s="18" t="str">
        <f>IFERROR(__xludf.DUMMYFUNCTION("IFNA(VLOOKUP(IFNA(REGEXEXTRACT(G120, ""(Пасхи|50-ці|посту)""),""""),lists!$A$39:$B$41,2,FALSE),"""")"),"")</f>
        <v/>
      </c>
      <c r="O119" s="19" t="str">
        <f>IFERROR(__xludf.DUMMYFUNCTION("IFNA(REGEXEXTRACT(G120, ""\d{1,2}""),"""")"),"")</f>
        <v/>
      </c>
      <c r="P119" s="14" t="b">
        <f t="shared" si="5"/>
        <v>0</v>
      </c>
    </row>
    <row r="120">
      <c r="A120" s="13" t="s">
        <v>1060</v>
      </c>
      <c r="B120" s="9" t="str">
        <f t="shared" si="1"/>
        <v>Йо.</v>
      </c>
      <c r="C120" s="10" t="s">
        <v>861</v>
      </c>
      <c r="D120" s="11" t="str">
        <f t="shared" si="2"/>
        <v>37</v>
      </c>
      <c r="E120" s="26" t="s">
        <v>22</v>
      </c>
      <c r="F120" s="13" t="s">
        <v>937</v>
      </c>
      <c r="G120" s="13" t="s">
        <v>937</v>
      </c>
      <c r="H120" s="22"/>
      <c r="I120" s="16" t="s">
        <v>24</v>
      </c>
      <c r="J120" s="73">
        <v>5.0</v>
      </c>
      <c r="K120" s="54"/>
      <c r="L120" s="55">
        <v>5.0</v>
      </c>
      <c r="M120" s="18">
        <f>IFNA( VLOOKUP(LEFT(F119, IFERROR(FIND(" ", F119, 1),1) - 1), lists!$A$31:$B$37, 2, FALSE),"")</f>
        <v>5</v>
      </c>
      <c r="N120" s="18" t="str">
        <f>IFERROR(__xludf.DUMMYFUNCTION("IFNA(VLOOKUP(IFNA(REGEXEXTRACT(F119, ""(Пасхи|50-ці|посту)""),""""),lists!$A$39:$B$41,2,FALSE),"""")"),"")</f>
        <v/>
      </c>
      <c r="O120" s="19" t="str">
        <f>IFERROR(__xludf.DUMMYFUNCTION("IFNA(REGEXEXTRACT(F119, ""\d{1,2}""),"""")"),"5")</f>
        <v>5</v>
      </c>
      <c r="P120" s="14" t="b">
        <f t="shared" si="5"/>
        <v>0</v>
      </c>
    </row>
    <row r="121">
      <c r="A121" s="13" t="s">
        <v>1061</v>
      </c>
      <c r="B121" s="9" t="str">
        <f t="shared" si="1"/>
        <v>Йо.</v>
      </c>
      <c r="C121" s="10" t="s">
        <v>861</v>
      </c>
      <c r="D121" s="11" t="str">
        <f t="shared" si="2"/>
        <v>38</v>
      </c>
      <c r="E121" s="9"/>
      <c r="F121" s="77" t="s">
        <v>939</v>
      </c>
      <c r="G121" s="24" t="s">
        <v>940</v>
      </c>
      <c r="H121" s="22"/>
      <c r="I121" s="16" t="s">
        <v>24</v>
      </c>
      <c r="J121" s="73">
        <v>5.0</v>
      </c>
      <c r="K121" s="54"/>
      <c r="L121" s="55">
        <v>6.0</v>
      </c>
      <c r="M121" s="18">
        <f>IFNA( VLOOKUP(LEFT(F121, IFERROR(FIND(" ", F121, 1),1) - 1), lists!$A$31:$B$37, 2, FALSE),"")</f>
        <v>6</v>
      </c>
      <c r="N121" s="18" t="str">
        <f>IFERROR(__xludf.DUMMYFUNCTION("IFNA(VLOOKUP(IFNA(REGEXEXTRACT(F121, ""(Пасхи|50-ці|посту)""),""""),lists!$A$39:$B$41,2,FALSE),"""")"),"")</f>
        <v/>
      </c>
      <c r="O121" s="19" t="str">
        <f>IFERROR(__xludf.DUMMYFUNCTION("IFNA(REGEXEXTRACT(F121, ""\d{1,2}""),"""")"),"5")</f>
        <v>5</v>
      </c>
      <c r="P121" s="14" t="b">
        <f t="shared" si="5"/>
        <v>0</v>
      </c>
    </row>
    <row r="122">
      <c r="A122" s="13" t="s">
        <v>1062</v>
      </c>
      <c r="B122" s="9" t="str">
        <f t="shared" si="1"/>
        <v>Йо.</v>
      </c>
      <c r="C122" s="10" t="s">
        <v>861</v>
      </c>
      <c r="D122" s="11" t="str">
        <f t="shared" si="2"/>
        <v>39</v>
      </c>
      <c r="E122" s="9"/>
      <c r="F122" s="13" t="s">
        <v>942</v>
      </c>
      <c r="G122" s="14"/>
      <c r="H122" s="22"/>
      <c r="I122" s="16" t="s">
        <v>20</v>
      </c>
      <c r="J122" s="53">
        <v>6.0</v>
      </c>
      <c r="K122" s="54"/>
      <c r="L122" s="55">
        <v>6.0</v>
      </c>
      <c r="M122" s="18" t="str">
        <f>IFNA( VLOOKUP(LEFT(F122, IFERROR(FIND(" ", F122, 1),1) - 1), lists!$A$31:$B$37, 2, FALSE),"")</f>
        <v/>
      </c>
      <c r="N122" s="18" t="str">
        <f>IFERROR(__xludf.DUMMYFUNCTION("IFNA(VLOOKUP(IFNA(REGEXEXTRACT(F122, ""(Пасхи|50-ці|посту)""),""""),lists!$A$39:$B$41,2,FALSE),"""")"),"")</f>
        <v/>
      </c>
      <c r="O122" s="19" t="str">
        <f>IFERROR(__xludf.DUMMYFUNCTION("IFNA(REGEXEXTRACT(F122, ""\d{1,2}""),"""")"),"")</f>
        <v/>
      </c>
      <c r="P122" s="14" t="b">
        <f t="shared" si="5"/>
        <v>0</v>
      </c>
    </row>
    <row r="123">
      <c r="A123" s="13" t="s">
        <v>1063</v>
      </c>
      <c r="B123" s="9" t="str">
        <f t="shared" si="1"/>
        <v>Йо.</v>
      </c>
      <c r="C123" s="10" t="s">
        <v>861</v>
      </c>
      <c r="D123" s="11" t="str">
        <f t="shared" si="2"/>
        <v>40</v>
      </c>
      <c r="E123" s="9"/>
      <c r="F123" s="13" t="s">
        <v>944</v>
      </c>
      <c r="G123" s="14"/>
      <c r="H123" s="15"/>
      <c r="I123" s="16" t="s">
        <v>24</v>
      </c>
      <c r="J123" s="73">
        <v>6.0</v>
      </c>
      <c r="K123" s="54"/>
      <c r="L123" s="55">
        <v>1.0</v>
      </c>
      <c r="M123" s="18">
        <f>IFNA( VLOOKUP(LEFT(F123, IFERROR(FIND(" ", F123, 1),1) - 1), lists!$A$31:$B$37, 2, FALSE),"")</f>
        <v>1</v>
      </c>
      <c r="N123" s="18" t="str">
        <f>IFERROR(__xludf.DUMMYFUNCTION("IFNA(VLOOKUP(IFNA(REGEXEXTRACT(F123, ""(Пасхи|50-ці|посту)""),""""),lists!$A$39:$B$41,2,FALSE),"""")"),"")</f>
        <v/>
      </c>
      <c r="O123" s="19" t="str">
        <f>IFERROR(__xludf.DUMMYFUNCTION("IFNA(REGEXEXTRACT(F123, ""\d{1,2}""),"""")"),"6")</f>
        <v>6</v>
      </c>
      <c r="P123" s="14" t="b">
        <f t="shared" si="5"/>
        <v>0</v>
      </c>
    </row>
    <row r="124">
      <c r="A124" s="13" t="s">
        <v>1064</v>
      </c>
      <c r="B124" s="9" t="str">
        <f t="shared" si="1"/>
        <v>Йо.</v>
      </c>
      <c r="C124" s="10" t="s">
        <v>861</v>
      </c>
      <c r="D124" s="11" t="str">
        <f t="shared" si="2"/>
        <v>41</v>
      </c>
      <c r="E124" s="26" t="s">
        <v>18</v>
      </c>
      <c r="F124" s="21" t="s">
        <v>946</v>
      </c>
      <c r="G124" s="13"/>
      <c r="H124" s="15"/>
      <c r="I124" s="16" t="s">
        <v>20</v>
      </c>
      <c r="J124" s="53">
        <v>6.0</v>
      </c>
      <c r="K124" s="54"/>
      <c r="L124" s="55">
        <v>7.0</v>
      </c>
      <c r="M124" s="18" t="str">
        <f>IFNA( VLOOKUP(LEFT(F124, IFERROR(FIND(" ", F124, 1),1) - 1), lists!$A$31:$B$37, 2, FALSE),"")</f>
        <v/>
      </c>
      <c r="N124" s="18" t="str">
        <f>IFERROR(__xludf.DUMMYFUNCTION("IFNA(VLOOKUP(IFNA(REGEXEXTRACT(F124, ""(Пасхи|50-ці|посту)""),""""),lists!$A$39:$B$41,2,FALSE),"""")"),"")</f>
        <v/>
      </c>
      <c r="O124" s="19" t="str">
        <f>IFERROR(__xludf.DUMMYFUNCTION("IFNA(REGEXEXTRACT(F124, ""\d{1,2}""),"""")"),"")</f>
        <v/>
      </c>
      <c r="P124" s="14" t="b">
        <f t="shared" si="5"/>
        <v>0</v>
      </c>
    </row>
    <row r="125">
      <c r="A125" s="13" t="s">
        <v>1065</v>
      </c>
      <c r="B125" s="9" t="str">
        <f t="shared" si="1"/>
        <v>Йо.</v>
      </c>
      <c r="C125" s="10" t="s">
        <v>861</v>
      </c>
      <c r="D125" s="11" t="str">
        <f t="shared" si="2"/>
        <v>41</v>
      </c>
      <c r="E125" s="26" t="s">
        <v>22</v>
      </c>
      <c r="F125" s="13" t="s">
        <v>948</v>
      </c>
      <c r="G125" s="13"/>
      <c r="H125" s="15" t="s">
        <v>70</v>
      </c>
      <c r="I125" s="16" t="s">
        <v>71</v>
      </c>
      <c r="J125" s="73" t="s">
        <v>71</v>
      </c>
      <c r="K125" s="54"/>
      <c r="L125" s="55" t="s">
        <v>71</v>
      </c>
      <c r="M125" s="18" t="str">
        <f>IFNA( VLOOKUP(LEFT(F125, IFERROR(FIND(" ", F125, 1),1) - 1), lists!$A$31:$B$37, 2, FALSE),"")</f>
        <v/>
      </c>
      <c r="N125" s="18" t="str">
        <f>IFERROR(__xludf.DUMMYFUNCTION("IFNA(VLOOKUP(IFNA(REGEXEXTRACT(F125, ""(Пасхи|50-ці|посту)""),""""),lists!$A$39:$B$41,2,FALSE),"""")"),"")</f>
        <v/>
      </c>
      <c r="O125" s="19" t="str">
        <f>IFERROR(__xludf.DUMMYFUNCTION("IFNA(REGEXEXTRACT(F125, ""\d{1,2}""),"""")"),"")</f>
        <v/>
      </c>
      <c r="P125" s="14" t="b">
        <f t="shared" si="5"/>
        <v>0</v>
      </c>
    </row>
    <row r="126">
      <c r="A126" s="13" t="s">
        <v>1066</v>
      </c>
      <c r="B126" s="9" t="str">
        <f t="shared" si="1"/>
        <v>Йо.</v>
      </c>
      <c r="C126" s="10" t="s">
        <v>861</v>
      </c>
      <c r="D126" s="11" t="str">
        <f t="shared" si="2"/>
        <v>42</v>
      </c>
      <c r="E126" s="26" t="s">
        <v>18</v>
      </c>
      <c r="F126" s="13" t="s">
        <v>950</v>
      </c>
      <c r="G126" s="13"/>
      <c r="H126" s="15"/>
      <c r="I126" s="16" t="s">
        <v>24</v>
      </c>
      <c r="J126" s="73">
        <v>6.0</v>
      </c>
      <c r="K126" s="54"/>
      <c r="L126" s="55">
        <v>2.0</v>
      </c>
      <c r="M126" s="18">
        <f>IFNA( VLOOKUP(LEFT(F126, IFERROR(FIND(" ", F126, 1),1) - 1), lists!$A$31:$B$37, 2, FALSE),"")</f>
        <v>2</v>
      </c>
      <c r="N126" s="18" t="str">
        <f>IFERROR(__xludf.DUMMYFUNCTION("IFNA(VLOOKUP(IFNA(REGEXEXTRACT(F126, ""(Пасхи|50-ці|посту)""),""""),lists!$A$39:$B$41,2,FALSE),"""")"),"")</f>
        <v/>
      </c>
      <c r="O126" s="19" t="str">
        <f>IFERROR(__xludf.DUMMYFUNCTION("IFNA(REGEXEXTRACT(F126, ""\d{1,2}""),"""")"),"6")</f>
        <v>6</v>
      </c>
      <c r="P126" s="14" t="b">
        <f t="shared" si="5"/>
        <v>0</v>
      </c>
    </row>
    <row r="127">
      <c r="A127" s="13" t="s">
        <v>1067</v>
      </c>
      <c r="B127" s="9" t="str">
        <f t="shared" si="1"/>
        <v>Йо.</v>
      </c>
      <c r="C127" s="10" t="s">
        <v>861</v>
      </c>
      <c r="D127" s="11" t="str">
        <f t="shared" si="2"/>
        <v>42</v>
      </c>
      <c r="E127" s="26" t="s">
        <v>22</v>
      </c>
      <c r="F127" s="13" t="s">
        <v>952</v>
      </c>
      <c r="G127" s="13"/>
      <c r="H127" s="15" t="s">
        <v>70</v>
      </c>
      <c r="I127" s="16" t="s">
        <v>71</v>
      </c>
      <c r="J127" s="73" t="s">
        <v>71</v>
      </c>
      <c r="K127" s="54"/>
      <c r="L127" s="55" t="s">
        <v>71</v>
      </c>
      <c r="M127" s="18" t="str">
        <f>IFNA( VLOOKUP(LEFT(F127, IFERROR(FIND(" ", F127, 1),1) - 1), lists!$A$31:$B$37, 2, FALSE),"")</f>
        <v/>
      </c>
      <c r="N127" s="18" t="str">
        <f>IFERROR(__xludf.DUMMYFUNCTION("IFNA(VLOOKUP(IFNA(REGEXEXTRACT(F127, ""(Пасхи|50-ці|посту)""),""""),lists!$A$39:$B$41,2,FALSE),"""")"),"")</f>
        <v/>
      </c>
      <c r="O127" s="19" t="str">
        <f>IFERROR(__xludf.DUMMYFUNCTION("IFNA(REGEXEXTRACT(F127, ""\d{1,2}""),"""")"),"")</f>
        <v/>
      </c>
      <c r="P127" s="14" t="b">
        <f t="shared" si="5"/>
        <v>0</v>
      </c>
    </row>
    <row r="128">
      <c r="A128" s="13" t="s">
        <v>1068</v>
      </c>
      <c r="B128" s="9" t="str">
        <f t="shared" si="1"/>
        <v>Йо.</v>
      </c>
      <c r="C128" s="10" t="s">
        <v>861</v>
      </c>
      <c r="D128" s="11" t="str">
        <f t="shared" si="2"/>
        <v>43</v>
      </c>
      <c r="E128" s="9"/>
      <c r="F128" s="13" t="s">
        <v>954</v>
      </c>
      <c r="G128" s="14"/>
      <c r="H128" s="22"/>
      <c r="I128" s="16" t="s">
        <v>24</v>
      </c>
      <c r="J128" s="73">
        <v>6.0</v>
      </c>
      <c r="K128" s="54"/>
      <c r="L128" s="55">
        <v>3.0</v>
      </c>
      <c r="M128" s="18">
        <f>IFNA( VLOOKUP(LEFT(F128, IFERROR(FIND(" ", F128, 1),1) - 1), lists!$A$31:$B$37, 2, FALSE),"")</f>
        <v>3</v>
      </c>
      <c r="N128" s="18" t="str">
        <f>IFERROR(__xludf.DUMMYFUNCTION("IFNA(VLOOKUP(IFNA(REGEXEXTRACT(F128, ""(Пасхи|50-ці|посту)""),""""),lists!$A$39:$B$41,2,FALSE),"""")"),"")</f>
        <v/>
      </c>
      <c r="O128" s="19" t="str">
        <f>IFERROR(__xludf.DUMMYFUNCTION("IFNA(REGEXEXTRACT(F128, ""\d{1,2}""),"""")"),"6")</f>
        <v>6</v>
      </c>
      <c r="P128" s="14" t="b">
        <f t="shared" si="5"/>
        <v>0</v>
      </c>
    </row>
    <row r="129">
      <c r="A129" s="13" t="s">
        <v>1069</v>
      </c>
      <c r="B129" s="9" t="str">
        <f t="shared" si="1"/>
        <v>Йо.</v>
      </c>
      <c r="C129" s="10" t="s">
        <v>861</v>
      </c>
      <c r="D129" s="11" t="str">
        <f t="shared" si="2"/>
        <v>44</v>
      </c>
      <c r="E129" s="9"/>
      <c r="F129" s="13" t="s">
        <v>956</v>
      </c>
      <c r="G129" s="14"/>
      <c r="H129" s="15" t="s">
        <v>70</v>
      </c>
      <c r="I129" s="16" t="s">
        <v>71</v>
      </c>
      <c r="J129" s="73"/>
      <c r="K129" s="54"/>
      <c r="L129" s="55" t="s">
        <v>71</v>
      </c>
      <c r="M129" s="18" t="str">
        <f>IFNA( VLOOKUP(LEFT(F129, IFERROR(FIND(" ", F129, 1),1) - 1), lists!$A$31:$B$37, 2, FALSE),"")</f>
        <v/>
      </c>
      <c r="N129" s="18" t="str">
        <f>IFERROR(__xludf.DUMMYFUNCTION("IFNA(VLOOKUP(IFNA(REGEXEXTRACT(F129, ""(Пасхи|50-ці|посту)""),""""),lists!$A$39:$B$41,2,FALSE),"""")"),"")</f>
        <v/>
      </c>
      <c r="O129" s="19" t="str">
        <f>IFERROR(__xludf.DUMMYFUNCTION("IFNA(REGEXEXTRACT(F129, ""\d{1,2}""),"""")"),"1")</f>
        <v>1</v>
      </c>
      <c r="P129" s="14" t="b">
        <f t="shared" si="5"/>
        <v>0</v>
      </c>
    </row>
    <row r="130">
      <c r="A130" s="13" t="s">
        <v>1070</v>
      </c>
      <c r="B130" s="9" t="str">
        <f t="shared" si="1"/>
        <v>Йо.</v>
      </c>
      <c r="C130" s="10" t="s">
        <v>861</v>
      </c>
      <c r="D130" s="11" t="str">
        <f t="shared" si="2"/>
        <v>45</v>
      </c>
      <c r="E130" s="9"/>
      <c r="F130" s="13" t="s">
        <v>958</v>
      </c>
      <c r="G130" s="14"/>
      <c r="H130" s="15" t="s">
        <v>70</v>
      </c>
      <c r="I130" s="16" t="s">
        <v>71</v>
      </c>
      <c r="J130" s="73">
        <v>2.0</v>
      </c>
      <c r="K130" s="54"/>
      <c r="L130" s="55" t="s">
        <v>71</v>
      </c>
      <c r="M130" s="18" t="str">
        <f>IFNA( VLOOKUP(LEFT(F130, IFERROR(FIND(" ", F130, 1),1) - 1), lists!$A$31:$B$37, 2, FALSE),"")</f>
        <v/>
      </c>
      <c r="N130" s="18" t="str">
        <f>IFERROR(__xludf.DUMMYFUNCTION("IFNA(VLOOKUP(IFNA(REGEXEXTRACT(F130, ""(Пасхи|50-ці|посту)""),""""),lists!$A$39:$B$41,2,FALSE),"""")"),"")</f>
        <v/>
      </c>
      <c r="O130" s="19" t="str">
        <f>IFERROR(__xludf.DUMMYFUNCTION("IFNA(REGEXEXTRACT(F130, ""\d{1,2}""),"""")"),"2")</f>
        <v>2</v>
      </c>
      <c r="P130" s="14" t="b">
        <f t="shared" si="5"/>
        <v>0</v>
      </c>
    </row>
    <row r="131">
      <c r="A131" s="21" t="s">
        <v>1071</v>
      </c>
      <c r="B131" s="9" t="str">
        <f t="shared" si="1"/>
        <v>Йо.</v>
      </c>
      <c r="C131" s="10" t="s">
        <v>861</v>
      </c>
      <c r="D131" s="11" t="str">
        <f t="shared" si="2"/>
        <v>46</v>
      </c>
      <c r="E131" s="9"/>
      <c r="F131" s="13" t="s">
        <v>960</v>
      </c>
      <c r="G131" s="14"/>
      <c r="H131" s="15" t="s">
        <v>70</v>
      </c>
      <c r="I131" s="16" t="s">
        <v>71</v>
      </c>
      <c r="J131" s="73">
        <v>1.0</v>
      </c>
      <c r="K131" s="54"/>
      <c r="L131" s="55" t="s">
        <v>71</v>
      </c>
      <c r="M131" s="18" t="str">
        <f>IFNA( VLOOKUP(LEFT(F131, IFERROR(FIND(" ", F131, 1),1) - 1), lists!$A$31:$B$37, 2, FALSE),"")</f>
        <v/>
      </c>
      <c r="N131" s="18" t="str">
        <f>IFERROR(__xludf.DUMMYFUNCTION("IFNA(VLOOKUP(IFNA(REGEXEXTRACT(F131, ""(Пасхи|50-ці|посту)""),""""),lists!$A$39:$B$41,2,FALSE),"""")"),"")</f>
        <v/>
      </c>
      <c r="O131" s="19" t="str">
        <f>IFERROR(__xludf.DUMMYFUNCTION("IFNA(REGEXEXTRACT(F131, ""\d{1,2}""),"""")"),"1")</f>
        <v>1</v>
      </c>
      <c r="P131" s="14" t="b">
        <f t="shared" si="5"/>
        <v>0</v>
      </c>
    </row>
    <row r="132">
      <c r="A132" s="13" t="s">
        <v>1072</v>
      </c>
      <c r="B132" s="9" t="str">
        <f t="shared" si="1"/>
        <v>Йо.</v>
      </c>
      <c r="C132" s="10" t="s">
        <v>861</v>
      </c>
      <c r="D132" s="11" t="str">
        <f t="shared" si="2"/>
        <v>47</v>
      </c>
      <c r="E132" s="9"/>
      <c r="F132" s="13" t="s">
        <v>962</v>
      </c>
      <c r="G132" s="14"/>
      <c r="H132" s="22"/>
      <c r="I132" s="16" t="s">
        <v>24</v>
      </c>
      <c r="J132" s="73">
        <v>6.0</v>
      </c>
      <c r="K132" s="54"/>
      <c r="L132" s="55">
        <v>5.0</v>
      </c>
      <c r="M132" s="18">
        <f>IFNA( VLOOKUP(LEFT(F132, IFERROR(FIND(" ", F132, 1),1) - 1), lists!$A$31:$B$37, 2, FALSE),"")</f>
        <v>5</v>
      </c>
      <c r="N132" s="18" t="str">
        <f>IFERROR(__xludf.DUMMYFUNCTION("IFNA(VLOOKUP(IFNA(REGEXEXTRACT(F132, ""(Пасхи|50-ці|посту)""),""""),lists!$A$39:$B$41,2,FALSE),"""")"),"")</f>
        <v/>
      </c>
      <c r="O132" s="19" t="str">
        <f>IFERROR(__xludf.DUMMYFUNCTION("IFNA(REGEXEXTRACT(F132, ""\d{1,2}""),"""")"),"6")</f>
        <v>6</v>
      </c>
      <c r="P132" s="14" t="b">
        <f t="shared" si="5"/>
        <v>0</v>
      </c>
    </row>
    <row r="133">
      <c r="A133" s="13" t="s">
        <v>1073</v>
      </c>
      <c r="B133" s="9" t="str">
        <f t="shared" si="1"/>
        <v>Йо.</v>
      </c>
      <c r="C133" s="10" t="s">
        <v>861</v>
      </c>
      <c r="D133" s="11" t="str">
        <f t="shared" si="2"/>
        <v>48</v>
      </c>
      <c r="E133" s="12" t="s">
        <v>18</v>
      </c>
      <c r="F133" s="13" t="s">
        <v>964</v>
      </c>
      <c r="G133" s="14"/>
      <c r="H133" s="15"/>
      <c r="I133" s="16" t="s">
        <v>24</v>
      </c>
      <c r="J133" s="73">
        <v>6.0</v>
      </c>
      <c r="K133" s="54"/>
      <c r="L133" s="55">
        <v>6.0</v>
      </c>
      <c r="M133" s="18">
        <f>IFNA( VLOOKUP(LEFT(F133, IFERROR(FIND(" ", F133, 1),1) - 1), lists!$A$31:$B$37, 2, FALSE),"")</f>
        <v>6</v>
      </c>
      <c r="N133" s="18" t="str">
        <f>IFERROR(__xludf.DUMMYFUNCTION("IFNA(VLOOKUP(IFNA(REGEXEXTRACT(F133, ""(Пасхи|50-ці|посту)""),""""),lists!$A$39:$B$41,2,FALSE),"""")"),"")</f>
        <v/>
      </c>
      <c r="O133" s="19" t="str">
        <f>IFERROR(__xludf.DUMMYFUNCTION("IFNA(REGEXEXTRACT(F133, ""\d{1,2}""),"""")"),"6")</f>
        <v>6</v>
      </c>
      <c r="P133" s="14" t="b">
        <f t="shared" si="5"/>
        <v>0</v>
      </c>
    </row>
    <row r="134">
      <c r="A134" s="13" t="s">
        <v>1074</v>
      </c>
      <c r="B134" s="9" t="str">
        <f t="shared" si="1"/>
        <v>Йо.</v>
      </c>
      <c r="C134" s="10" t="s">
        <v>861</v>
      </c>
      <c r="D134" s="11" t="str">
        <f t="shared" si="2"/>
        <v>48</v>
      </c>
      <c r="E134" s="12" t="s">
        <v>22</v>
      </c>
      <c r="F134" s="13" t="s">
        <v>966</v>
      </c>
      <c r="G134" s="14"/>
      <c r="H134" s="15" t="s">
        <v>70</v>
      </c>
      <c r="I134" s="16" t="s">
        <v>71</v>
      </c>
      <c r="J134" s="73" t="s">
        <v>71</v>
      </c>
      <c r="K134" s="54"/>
      <c r="L134" s="55" t="s">
        <v>71</v>
      </c>
      <c r="M134" s="18" t="str">
        <f>IFNA( VLOOKUP(LEFT(F134, IFERROR(FIND(" ", F134, 1),1) - 1), lists!$A$31:$B$37, 2, FALSE),"")</f>
        <v/>
      </c>
      <c r="N134" s="18" t="str">
        <f>IFERROR(__xludf.DUMMYFUNCTION("IFNA(VLOOKUP(IFNA(REGEXEXTRACT(F134, ""(Пасхи|50-ці|посту)""),""""),lists!$A$39:$B$41,2,FALSE),"""")"),"")</f>
        <v/>
      </c>
      <c r="O134" s="19" t="str">
        <f>IFERROR(__xludf.DUMMYFUNCTION("IFNA(REGEXEXTRACT(F134, ""\d{1,2}""),"""")"),"")</f>
        <v/>
      </c>
      <c r="P134" s="14" t="b">
        <f t="shared" si="5"/>
        <v>0</v>
      </c>
    </row>
    <row r="135">
      <c r="A135" s="13" t="s">
        <v>1075</v>
      </c>
      <c r="B135" s="9" t="str">
        <f t="shared" si="1"/>
        <v>Йо.</v>
      </c>
      <c r="C135" s="10" t="s">
        <v>861</v>
      </c>
      <c r="D135" s="11" t="str">
        <f t="shared" si="2"/>
        <v>49</v>
      </c>
      <c r="E135" s="9"/>
      <c r="F135" s="78" t="s">
        <v>968</v>
      </c>
      <c r="G135" s="24" t="s">
        <v>969</v>
      </c>
      <c r="H135" s="22"/>
      <c r="I135" s="16" t="s">
        <v>24</v>
      </c>
      <c r="J135" s="73">
        <v>7.0</v>
      </c>
      <c r="K135" s="54"/>
      <c r="L135" s="55">
        <v>1.0</v>
      </c>
      <c r="M135" s="18">
        <f>IFNA( VLOOKUP(LEFT(F135, IFERROR(FIND(" ", F135, 1),1) - 1), lists!$A$31:$B$37, 2, FALSE),"")</f>
        <v>1</v>
      </c>
      <c r="N135" s="18" t="str">
        <f>IFERROR(__xludf.DUMMYFUNCTION("IFNA(VLOOKUP(IFNA(REGEXEXTRACT(F135, ""(Пасхи|50-ці|посту)""),""""),lists!$A$39:$B$41,2,FALSE),"""")"),"")</f>
        <v/>
      </c>
      <c r="O135" s="19" t="str">
        <f>IFERROR(__xludf.DUMMYFUNCTION("IFNA(REGEXEXTRACT(F135, ""\d{1,2}""),"""")"),"7")</f>
        <v>7</v>
      </c>
      <c r="P135" s="14" t="b">
        <f t="shared" si="5"/>
        <v>0</v>
      </c>
    </row>
    <row r="136">
      <c r="A136" s="13" t="s">
        <v>1076</v>
      </c>
      <c r="B136" s="9" t="str">
        <f t="shared" si="1"/>
        <v>Йо.</v>
      </c>
      <c r="C136" s="10" t="s">
        <v>861</v>
      </c>
      <c r="D136" s="11" t="str">
        <f t="shared" si="2"/>
        <v>50</v>
      </c>
      <c r="E136" s="9"/>
      <c r="F136" s="13" t="s">
        <v>971</v>
      </c>
      <c r="G136" s="14"/>
      <c r="H136" s="15" t="s">
        <v>70</v>
      </c>
      <c r="I136" s="16" t="s">
        <v>71</v>
      </c>
      <c r="J136" s="73">
        <v>2.0</v>
      </c>
      <c r="K136" s="54"/>
      <c r="L136" s="55" t="s">
        <v>71</v>
      </c>
      <c r="M136" s="18" t="str">
        <f>IFNA( VLOOKUP(LEFT(F136, IFERROR(FIND(" ", F136, 1),1) - 1), lists!$A$31:$B$37, 2, FALSE),"")</f>
        <v/>
      </c>
      <c r="N136" s="18" t="str">
        <f>IFERROR(__xludf.DUMMYFUNCTION("IFNA(VLOOKUP(IFNA(REGEXEXTRACT(F136, ""(Пасхи|50-ці|посту)""),""""),lists!$A$39:$B$41,2,FALSE),"""")"),"")</f>
        <v/>
      </c>
      <c r="O136" s="19" t="str">
        <f>IFERROR(__xludf.DUMMYFUNCTION("IFNA(REGEXEXTRACT(F136, ""\d{1,2}""),"""")"),"2")</f>
        <v>2</v>
      </c>
      <c r="P136" s="14" t="b">
        <f t="shared" si="5"/>
        <v>0</v>
      </c>
    </row>
    <row r="137">
      <c r="A137" s="13" t="s">
        <v>1077</v>
      </c>
      <c r="B137" s="9" t="str">
        <f t="shared" si="1"/>
        <v>Йо.</v>
      </c>
      <c r="C137" s="10" t="s">
        <v>861</v>
      </c>
      <c r="D137" s="11" t="str">
        <f t="shared" si="2"/>
        <v>51</v>
      </c>
      <c r="E137" s="9"/>
      <c r="F137" s="13" t="s">
        <v>973</v>
      </c>
      <c r="G137" s="14"/>
      <c r="H137" s="15" t="s">
        <v>70</v>
      </c>
      <c r="I137" s="16" t="s">
        <v>71</v>
      </c>
      <c r="J137" s="73">
        <v>11.0</v>
      </c>
      <c r="K137" s="54"/>
      <c r="L137" s="55" t="s">
        <v>71</v>
      </c>
      <c r="M137" s="18" t="str">
        <f>IFNA( VLOOKUP(LEFT(F137, IFERROR(FIND(" ", F137, 1),1) - 1), lists!$A$31:$B$37, 2, FALSE),"")</f>
        <v/>
      </c>
      <c r="N137" s="18" t="str">
        <f>IFERROR(__xludf.DUMMYFUNCTION("IFNA(VLOOKUP(IFNA(REGEXEXTRACT(F137, ""(Пасхи|50-ці|посту)""),""""),lists!$A$39:$B$41,2,FALSE),"""")"),"")</f>
        <v/>
      </c>
      <c r="O137" s="19" t="str">
        <f>IFERROR(__xludf.DUMMYFUNCTION("IFNA(REGEXEXTRACT(F137, ""\d{1,2}""),"""")"),"11")</f>
        <v>11</v>
      </c>
      <c r="P137" s="14" t="b">
        <f t="shared" si="5"/>
        <v>0</v>
      </c>
    </row>
    <row r="138">
      <c r="A138" s="13" t="s">
        <v>1078</v>
      </c>
      <c r="B138" s="9" t="str">
        <f t="shared" si="1"/>
        <v>Йо.</v>
      </c>
      <c r="C138" s="10" t="s">
        <v>861</v>
      </c>
      <c r="D138" s="11" t="str">
        <f t="shared" si="2"/>
        <v>52</v>
      </c>
      <c r="E138" s="9"/>
      <c r="F138" s="21" t="s">
        <v>975</v>
      </c>
      <c r="G138" s="14"/>
      <c r="H138" s="15" t="s">
        <v>70</v>
      </c>
      <c r="I138" s="16" t="s">
        <v>29</v>
      </c>
      <c r="J138" s="73">
        <v>30.0</v>
      </c>
      <c r="K138" s="54"/>
      <c r="L138" s="55">
        <v>6.0</v>
      </c>
      <c r="M138" s="18">
        <f>IFNA( VLOOKUP(LEFT(F138, IFERROR(FIND(" ", F138, 1),1) - 1), lists!$A$31:$B$37, 2, FALSE),"")</f>
        <v>6</v>
      </c>
      <c r="N138" s="18" t="str">
        <f>IFERROR(__xludf.DUMMYFUNCTION("IFNA(VLOOKUP(IFNA(REGEXEXTRACT(F138, ""(Пасхи|50-ці|посту)""),""""),lists!$A$39:$B$41,2,FALSE),"""")"),"")</f>
        <v/>
      </c>
      <c r="O138" s="19" t="str">
        <f>IFERROR(__xludf.DUMMYFUNCTION("IFNA(REGEXEXTRACT(F138, ""\d{1,2}""),"""")"),"3")</f>
        <v>3</v>
      </c>
      <c r="P138" s="14" t="b">
        <f t="shared" si="5"/>
        <v>0</v>
      </c>
    </row>
    <row r="139">
      <c r="A139" s="13" t="s">
        <v>1079</v>
      </c>
      <c r="B139" s="9" t="str">
        <f t="shared" si="1"/>
        <v>Йо.</v>
      </c>
      <c r="C139" s="10" t="s">
        <v>861</v>
      </c>
      <c r="D139" s="11" t="str">
        <f t="shared" si="2"/>
        <v>53</v>
      </c>
      <c r="E139" s="9"/>
      <c r="F139" s="78" t="s">
        <v>977</v>
      </c>
      <c r="G139" s="24" t="s">
        <v>978</v>
      </c>
      <c r="H139" s="22"/>
      <c r="I139" s="16" t="s">
        <v>24</v>
      </c>
      <c r="J139" s="73">
        <v>7.0</v>
      </c>
      <c r="K139" s="54"/>
      <c r="L139" s="55">
        <v>2.0</v>
      </c>
      <c r="M139" s="18">
        <f>IFNA( VLOOKUP(LEFT(F139, IFERROR(FIND(" ", F139, 1),1) - 1), lists!$A$31:$B$37, 2, FALSE),"")</f>
        <v>2</v>
      </c>
      <c r="N139" s="18" t="str">
        <f>IFERROR(__xludf.DUMMYFUNCTION("IFNA(VLOOKUP(IFNA(REGEXEXTRACT(F139, ""(Пасхи|50-ці|посту)""),""""),lists!$A$39:$B$41,2,FALSE),"""")"),"")</f>
        <v/>
      </c>
      <c r="O139" s="19" t="str">
        <f>IFERROR(__xludf.DUMMYFUNCTION("IFNA(REGEXEXTRACT(F139, ""\d{1,2}""),"""")"),"7")</f>
        <v>7</v>
      </c>
      <c r="P139" s="14" t="b">
        <f t="shared" si="5"/>
        <v>0</v>
      </c>
    </row>
    <row r="140">
      <c r="A140" s="13" t="s">
        <v>1080</v>
      </c>
      <c r="B140" s="9" t="str">
        <f t="shared" si="1"/>
        <v>Йо.</v>
      </c>
      <c r="C140" s="10" t="s">
        <v>861</v>
      </c>
      <c r="D140" s="11" t="str">
        <f t="shared" si="2"/>
        <v>54</v>
      </c>
      <c r="E140" s="9"/>
      <c r="F140" s="13" t="s">
        <v>980</v>
      </c>
      <c r="G140" s="14"/>
      <c r="H140" s="22"/>
      <c r="I140" s="16" t="s">
        <v>24</v>
      </c>
      <c r="J140" s="73">
        <v>7.0</v>
      </c>
      <c r="K140" s="54"/>
      <c r="L140" s="55">
        <v>3.0</v>
      </c>
      <c r="M140" s="18">
        <f>IFNA( VLOOKUP(LEFT(F140, IFERROR(FIND(" ", F140, 1),1) - 1), lists!$A$31:$B$37, 2, FALSE),"")</f>
        <v>3</v>
      </c>
      <c r="N140" s="18" t="str">
        <f>IFERROR(__xludf.DUMMYFUNCTION("IFNA(VLOOKUP(IFNA(REGEXEXTRACT(F140, ""(Пасхи|50-ці|посту)""),""""),lists!$A$39:$B$41,2,FALSE),"""")"),"")</f>
        <v/>
      </c>
      <c r="O140" s="19" t="str">
        <f>IFERROR(__xludf.DUMMYFUNCTION("IFNA(REGEXEXTRACT(F140, ""\d{1,2}""),"""")"),"7")</f>
        <v>7</v>
      </c>
      <c r="P140" s="14" t="b">
        <f t="shared" si="5"/>
        <v>0</v>
      </c>
    </row>
    <row r="141">
      <c r="A141" s="13" t="s">
        <v>1081</v>
      </c>
      <c r="B141" s="9" t="str">
        <f t="shared" si="1"/>
        <v>Йо.</v>
      </c>
      <c r="C141" s="10" t="s">
        <v>861</v>
      </c>
      <c r="D141" s="11" t="str">
        <f t="shared" si="2"/>
        <v>55</v>
      </c>
      <c r="E141" s="9"/>
      <c r="F141" s="13" t="s">
        <v>982</v>
      </c>
      <c r="G141" s="14"/>
      <c r="H141" s="22"/>
      <c r="I141" s="16" t="s">
        <v>24</v>
      </c>
      <c r="J141" s="73">
        <v>7.0</v>
      </c>
      <c r="K141" s="54"/>
      <c r="L141" s="55">
        <v>4.0</v>
      </c>
      <c r="M141" s="18">
        <f>IFNA( VLOOKUP(LEFT(F141, IFERROR(FIND(" ", F141, 1),1) - 1), lists!$A$31:$B$37, 2, FALSE),"")</f>
        <v>4</v>
      </c>
      <c r="N141" s="18" t="str">
        <f>IFERROR(__xludf.DUMMYFUNCTION("IFNA(VLOOKUP(IFNA(REGEXEXTRACT(F141, ""(Пасхи|50-ці|посту)""),""""),lists!$A$39:$B$41,2,FALSE),"""")"),"")</f>
        <v/>
      </c>
      <c r="O141" s="19" t="str">
        <f>IFERROR(__xludf.DUMMYFUNCTION("IFNA(REGEXEXTRACT(F141, ""\d{1,2}""),"""")"),"7")</f>
        <v>7</v>
      </c>
      <c r="P141" s="14" t="b">
        <f t="shared" si="5"/>
        <v>0</v>
      </c>
    </row>
    <row r="142">
      <c r="A142" s="13" t="s">
        <v>1082</v>
      </c>
      <c r="B142" s="9" t="str">
        <f t="shared" si="1"/>
        <v>Йо.</v>
      </c>
      <c r="C142" s="10" t="s">
        <v>861</v>
      </c>
      <c r="D142" s="11" t="str">
        <f t="shared" si="2"/>
        <v>56</v>
      </c>
      <c r="E142" s="9"/>
      <c r="F142" s="13" t="s">
        <v>984</v>
      </c>
      <c r="G142" s="14"/>
      <c r="H142" s="22"/>
      <c r="I142" s="16" t="s">
        <v>24</v>
      </c>
      <c r="J142" s="73">
        <v>7.0</v>
      </c>
      <c r="K142" s="54"/>
      <c r="L142" s="55">
        <v>7.0</v>
      </c>
      <c r="M142" s="18">
        <f>IFNA( VLOOKUP(LEFT(F142, IFERROR(FIND(" ", F142, 1),1) - 1), lists!$A$31:$B$37, 2, FALSE),"")</f>
        <v>7</v>
      </c>
      <c r="N142" s="18" t="str">
        <f>IFERROR(__xludf.DUMMYFUNCTION("IFNA(VLOOKUP(IFNA(REGEXEXTRACT(F142, ""(Пасхи|50-ці|посту)""),""""),lists!$A$39:$B$41,2,FALSE),"""")"),"")</f>
        <v/>
      </c>
      <c r="O142" s="19" t="str">
        <f>IFERROR(__xludf.DUMMYFUNCTION("IFNA(REGEXEXTRACT(F142, ""\d{1,2}""),"""")"),"7")</f>
        <v>7</v>
      </c>
      <c r="P142" s="14" t="b">
        <f t="shared" si="5"/>
        <v>0</v>
      </c>
    </row>
    <row r="143">
      <c r="A143" s="13" t="s">
        <v>1083</v>
      </c>
      <c r="B143" s="9" t="str">
        <f t="shared" si="1"/>
        <v>Йо.</v>
      </c>
      <c r="C143" s="10" t="s">
        <v>861</v>
      </c>
      <c r="D143" s="11" t="str">
        <f t="shared" si="2"/>
        <v>57</v>
      </c>
      <c r="E143" s="9"/>
      <c r="F143" s="13" t="s">
        <v>986</v>
      </c>
      <c r="G143" s="14"/>
      <c r="H143" s="15"/>
      <c r="I143" s="16" t="s">
        <v>24</v>
      </c>
      <c r="J143" s="73">
        <v>7.0</v>
      </c>
      <c r="K143" s="54"/>
      <c r="L143" s="55">
        <v>5.0</v>
      </c>
      <c r="M143" s="18">
        <f>IFNA( VLOOKUP(LEFT(F143, IFERROR(FIND(" ", F143, 1),1) - 1), lists!$A$31:$B$37, 2, FALSE),"")</f>
        <v>5</v>
      </c>
      <c r="N143" s="18" t="str">
        <f>IFERROR(__xludf.DUMMYFUNCTION("IFNA(VLOOKUP(IFNA(REGEXEXTRACT(F143, ""(Пасхи|50-ці|посту)""),""""),lists!$A$39:$B$41,2,FALSE),"""")"),"")</f>
        <v/>
      </c>
      <c r="O143" s="19" t="str">
        <f>IFERROR(__xludf.DUMMYFUNCTION("IFNA(REGEXEXTRACT(F143, ""\d{1,2}""),"""")"),"7")</f>
        <v>7</v>
      </c>
      <c r="P143" s="14" t="b">
        <f t="shared" si="5"/>
        <v>0</v>
      </c>
    </row>
    <row r="144">
      <c r="A144" s="13" t="s">
        <v>1084</v>
      </c>
      <c r="B144" s="9" t="str">
        <f t="shared" si="1"/>
        <v>Йо.</v>
      </c>
      <c r="C144" s="10" t="s">
        <v>861</v>
      </c>
      <c r="D144" s="11" t="str">
        <f t="shared" si="2"/>
        <v>58</v>
      </c>
      <c r="E144" s="9"/>
      <c r="F144" s="13" t="s">
        <v>988</v>
      </c>
      <c r="G144" s="14"/>
      <c r="H144" s="15" t="s">
        <v>70</v>
      </c>
      <c r="I144" s="16" t="s">
        <v>71</v>
      </c>
      <c r="J144" s="73">
        <v>2.0</v>
      </c>
      <c r="K144" s="54"/>
      <c r="L144" s="55" t="s">
        <v>71</v>
      </c>
      <c r="M144" s="18" t="str">
        <f>IFNA( VLOOKUP(LEFT(F144, IFERROR(FIND(" ", F144, 1),1) - 1), lists!$A$31:$B$37, 2, FALSE),"")</f>
        <v/>
      </c>
      <c r="N144" s="18" t="str">
        <f>IFERROR(__xludf.DUMMYFUNCTION("IFNA(VLOOKUP(IFNA(REGEXEXTRACT(F144, ""(Пасхи|50-ці|посту)""),""""),lists!$A$39:$B$41,2,FALSE),"""")"),"")</f>
        <v/>
      </c>
      <c r="O144" s="19" t="str">
        <f>IFERROR(__xludf.DUMMYFUNCTION("IFNA(REGEXEXTRACT(F144, ""\d{1,2}""),"""")"),"2")</f>
        <v>2</v>
      </c>
      <c r="P144" s="14" t="b">
        <f t="shared" si="5"/>
        <v>0</v>
      </c>
    </row>
    <row r="145">
      <c r="A145" s="21" t="s">
        <v>1085</v>
      </c>
      <c r="B145" s="9" t="str">
        <f t="shared" si="1"/>
        <v>Йо.</v>
      </c>
      <c r="C145" s="10" t="s">
        <v>861</v>
      </c>
      <c r="D145" s="11" t="str">
        <f t="shared" si="2"/>
        <v>59</v>
      </c>
      <c r="E145" s="12" t="s">
        <v>18</v>
      </c>
      <c r="F145" s="21" t="s">
        <v>990</v>
      </c>
      <c r="G145" s="14"/>
      <c r="H145" s="15" t="s">
        <v>70</v>
      </c>
      <c r="I145" s="16" t="s">
        <v>71</v>
      </c>
      <c r="J145" s="73">
        <v>4.0</v>
      </c>
      <c r="K145" s="54"/>
      <c r="L145" s="55" t="s">
        <v>71</v>
      </c>
      <c r="M145" s="18" t="str">
        <f>IFNA( VLOOKUP(LEFT(F145, IFERROR(FIND(" ", F145, 1),1) - 1), lists!$A$31:$B$37, 2, FALSE),"")</f>
        <v/>
      </c>
      <c r="N145" s="18" t="str">
        <f>IFERROR(__xludf.DUMMYFUNCTION("IFNA(VLOOKUP(IFNA(REGEXEXTRACT(F145, ""(Пасхи|50-ці|посту)""),""""),lists!$A$39:$B$41,2,FALSE),"""")"),"")</f>
        <v/>
      </c>
      <c r="O145" s="19" t="str">
        <f>IFERROR(__xludf.DUMMYFUNCTION("IFNA(REGEXEXTRACT(F145, ""\d{1,2}""),"""")"),"4")</f>
        <v>4</v>
      </c>
      <c r="P145" s="14" t="b">
        <f t="shared" si="5"/>
        <v>0</v>
      </c>
    </row>
    <row r="146">
      <c r="A146" s="21" t="s">
        <v>1086</v>
      </c>
      <c r="B146" s="9" t="str">
        <f t="shared" si="1"/>
        <v>Йо.</v>
      </c>
      <c r="C146" s="10" t="s">
        <v>861</v>
      </c>
      <c r="D146" s="11" t="str">
        <f t="shared" si="2"/>
        <v>59</v>
      </c>
      <c r="E146" s="12" t="s">
        <v>22</v>
      </c>
      <c r="F146" s="21" t="s">
        <v>992</v>
      </c>
      <c r="G146" s="14"/>
      <c r="H146" s="15"/>
      <c r="I146" s="16"/>
      <c r="J146" s="73"/>
      <c r="K146" s="54"/>
      <c r="L146" s="55"/>
      <c r="M146" s="18"/>
      <c r="N146" s="18"/>
      <c r="O146" s="19"/>
      <c r="P146" s="14"/>
    </row>
    <row r="147">
      <c r="A147" s="13" t="s">
        <v>1087</v>
      </c>
      <c r="B147" s="9" t="str">
        <f t="shared" si="1"/>
        <v>Йо.</v>
      </c>
      <c r="C147" s="10" t="s">
        <v>861</v>
      </c>
      <c r="D147" s="11" t="str">
        <f t="shared" si="2"/>
        <v>60</v>
      </c>
      <c r="E147" s="9"/>
      <c r="F147" s="13" t="s">
        <v>1088</v>
      </c>
      <c r="G147" s="14"/>
      <c r="H147" s="15" t="s">
        <v>70</v>
      </c>
      <c r="I147" s="16" t="s">
        <v>71</v>
      </c>
      <c r="J147" s="73">
        <v>14.0</v>
      </c>
      <c r="K147" s="54"/>
      <c r="L147" s="55" t="s">
        <v>71</v>
      </c>
      <c r="M147" s="18" t="str">
        <f>IFNA( VLOOKUP(LEFT(F147, IFERROR(FIND(" ", F147, 1),1) - 1), lists!$A$31:$B$37, 2, FALSE),"")</f>
        <v/>
      </c>
      <c r="N147" s="18" t="str">
        <f>IFERROR(__xludf.DUMMYFUNCTION("IFNA(VLOOKUP(IFNA(REGEXEXTRACT(F147, ""(Пасхи|50-ці|посту)""),""""),lists!$A$39:$B$41,2,FALSE),"""")"),"")</f>
        <v/>
      </c>
      <c r="O147" s="19" t="str">
        <f>IFERROR(__xludf.DUMMYFUNCTION("IFNA(REGEXEXTRACT(F147, ""\d{1,2}""),"""")"),"14")</f>
        <v>14</v>
      </c>
      <c r="P147" s="14" t="b">
        <f t="shared" ref="P147:P470" si="6">AND(OR(I147="",J147="",L147=""),H147="")</f>
        <v>0</v>
      </c>
    </row>
    <row r="148">
      <c r="A148" s="13" t="s">
        <v>1089</v>
      </c>
      <c r="B148" s="9" t="str">
        <f t="shared" si="1"/>
        <v>Йо.</v>
      </c>
      <c r="C148" s="10" t="s">
        <v>861</v>
      </c>
      <c r="D148" s="11" t="str">
        <f t="shared" si="2"/>
        <v>61</v>
      </c>
      <c r="E148" s="12" t="s">
        <v>18</v>
      </c>
      <c r="F148" s="13" t="s">
        <v>1090</v>
      </c>
      <c r="G148" s="14"/>
      <c r="H148" s="15" t="s">
        <v>70</v>
      </c>
      <c r="I148" s="16" t="s">
        <v>71</v>
      </c>
      <c r="J148" s="73">
        <v>9.0</v>
      </c>
      <c r="K148" s="54"/>
      <c r="L148" s="55" t="s">
        <v>71</v>
      </c>
      <c r="M148" s="18" t="str">
        <f>IFNA( VLOOKUP(LEFT(F148, IFERROR(FIND(" ", F148, 1),1) - 1), lists!$A$31:$B$37, 2, FALSE),"")</f>
        <v/>
      </c>
      <c r="N148" s="18" t="str">
        <f>IFERROR(__xludf.DUMMYFUNCTION("IFNA(VLOOKUP(IFNA(REGEXEXTRACT(F148, ""(Пасхи|50-ці|посту)""),""""),lists!$A$39:$B$41,2,FALSE),"""")"),"")</f>
        <v/>
      </c>
      <c r="O148" s="19" t="str">
        <f>IFERROR(__xludf.DUMMYFUNCTION("IFNA(REGEXEXTRACT(F148, ""\d{1,2}""),"""")"),"9")</f>
        <v>9</v>
      </c>
      <c r="P148" s="14" t="b">
        <f t="shared" si="6"/>
        <v>0</v>
      </c>
    </row>
    <row r="149">
      <c r="A149" s="13" t="s">
        <v>1091</v>
      </c>
      <c r="B149" s="9" t="str">
        <f t="shared" si="1"/>
        <v>Йо.</v>
      </c>
      <c r="C149" s="10" t="s">
        <v>861</v>
      </c>
      <c r="D149" s="11" t="str">
        <f t="shared" si="2"/>
        <v>61</v>
      </c>
      <c r="E149" s="12" t="s">
        <v>22</v>
      </c>
      <c r="F149" s="13" t="s">
        <v>998</v>
      </c>
      <c r="G149" s="9"/>
      <c r="H149" s="15" t="s">
        <v>70</v>
      </c>
      <c r="I149" s="16" t="s">
        <v>71</v>
      </c>
      <c r="J149" s="73">
        <v>26.0</v>
      </c>
      <c r="K149" s="55"/>
      <c r="L149" s="55" t="s">
        <v>71</v>
      </c>
      <c r="M149" s="18" t="str">
        <f>IFNA( VLOOKUP(LEFT(F149, IFERROR(FIND(" ", F149, 1),1) - 1), lists!$A$31:$B$37, 2, FALSE),"")</f>
        <v/>
      </c>
      <c r="N149" s="18" t="str">
        <f>IFERROR(__xludf.DUMMYFUNCTION("IFNA(VLOOKUP(IFNA(REGEXEXTRACT(F149, ""(Пасхи|50-ці|посту)""),""""),lists!$A$39:$B$41,2,FALSE),"""")"),"")</f>
        <v/>
      </c>
      <c r="O149" s="19" t="str">
        <f>IFERROR(__xludf.DUMMYFUNCTION("IFNA(REGEXEXTRACT(F149, ""\d{1,2}""),"""")"),"26")</f>
        <v>26</v>
      </c>
      <c r="P149" s="14" t="b">
        <f t="shared" si="6"/>
        <v>0</v>
      </c>
    </row>
    <row r="150">
      <c r="A150" s="30" t="s">
        <v>1092</v>
      </c>
      <c r="B150" s="24" t="str">
        <f t="shared" si="1"/>
        <v>Йо.</v>
      </c>
      <c r="C150" s="10" t="s">
        <v>861</v>
      </c>
      <c r="D150" s="28" t="str">
        <f t="shared" si="2"/>
        <v>61</v>
      </c>
      <c r="E150" s="29" t="s">
        <v>116</v>
      </c>
      <c r="F150" s="30" t="s">
        <v>1000</v>
      </c>
      <c r="G150" s="24"/>
      <c r="H150" s="15" t="s">
        <v>70</v>
      </c>
      <c r="I150" s="16" t="s">
        <v>71</v>
      </c>
      <c r="J150" s="73">
        <v>26.0</v>
      </c>
      <c r="K150" s="55"/>
      <c r="L150" s="55" t="s">
        <v>71</v>
      </c>
      <c r="M150" s="18" t="str">
        <f>IFNA( VLOOKUP(LEFT(F150, IFERROR(FIND(" ", F150, 1),1) - 1), lists!$A$31:$B$37, 2, FALSE),"")</f>
        <v/>
      </c>
      <c r="N150" s="18" t="str">
        <f>IFERROR(__xludf.DUMMYFUNCTION("IFNA(VLOOKUP(IFNA(REGEXEXTRACT(F150, ""(Пасхи|50-ці|посту)""),""""),lists!$A$39:$B$41,2,FALSE),"""")"),"")</f>
        <v/>
      </c>
      <c r="O150" s="19" t="str">
        <f>IFERROR(__xludf.DUMMYFUNCTION("IFNA(REGEXEXTRACT(F150, ""\d{1,2}""),"""")"),"")</f>
        <v/>
      </c>
      <c r="P150" s="14" t="b">
        <f t="shared" si="6"/>
        <v>0</v>
      </c>
    </row>
    <row r="151">
      <c r="A151" s="13" t="s">
        <v>1093</v>
      </c>
      <c r="B151" s="9" t="str">
        <f t="shared" si="1"/>
        <v>Йо.</v>
      </c>
      <c r="C151" s="10" t="s">
        <v>861</v>
      </c>
      <c r="D151" s="11" t="str">
        <f t="shared" si="2"/>
        <v>62</v>
      </c>
      <c r="E151" s="9"/>
      <c r="F151" s="13" t="s">
        <v>1002</v>
      </c>
      <c r="G151" s="14"/>
      <c r="H151" s="15" t="s">
        <v>70</v>
      </c>
      <c r="I151" s="16" t="s">
        <v>71</v>
      </c>
      <c r="J151" s="73">
        <v>11.0</v>
      </c>
      <c r="K151" s="55"/>
      <c r="L151" s="55" t="s">
        <v>71</v>
      </c>
      <c r="M151" s="18" t="str">
        <f>IFNA( VLOOKUP(LEFT(F151, IFERROR(FIND(" ", F151, 1),1) - 1), lists!$A$31:$B$37, 2, FALSE),"")</f>
        <v/>
      </c>
      <c r="N151" s="18" t="str">
        <f>IFERROR(__xludf.DUMMYFUNCTION("IFNA(VLOOKUP(IFNA(REGEXEXTRACT(F151, ""(Пасхи|50-ці|посту)""),""""),lists!$A$39:$B$41,2,FALSE),"""")"),"")</f>
        <v/>
      </c>
      <c r="O151" s="19" t="str">
        <f>IFERROR(__xludf.DUMMYFUNCTION("IFNA(REGEXEXTRACT(F151, ""\d{1,2}""),"""")"),"11")</f>
        <v>11</v>
      </c>
      <c r="P151" s="14" t="b">
        <f t="shared" si="6"/>
        <v>0</v>
      </c>
    </row>
    <row r="152">
      <c r="A152" s="13" t="s">
        <v>1094</v>
      </c>
      <c r="B152" s="9" t="str">
        <f t="shared" si="1"/>
        <v>Йо.</v>
      </c>
      <c r="C152" s="10" t="s">
        <v>861</v>
      </c>
      <c r="D152" s="11" t="str">
        <f t="shared" si="2"/>
        <v>63</v>
      </c>
      <c r="E152" s="9"/>
      <c r="F152" s="21" t="s">
        <v>1004</v>
      </c>
      <c r="G152" s="14"/>
      <c r="H152" s="15" t="s">
        <v>70</v>
      </c>
      <c r="I152" s="16" t="s">
        <v>71</v>
      </c>
      <c r="J152" s="73">
        <v>7.0</v>
      </c>
      <c r="K152" s="55"/>
      <c r="L152" s="55" t="s">
        <v>71</v>
      </c>
      <c r="M152" s="18" t="str">
        <f>IFNA( VLOOKUP(LEFT(F152, IFERROR(FIND(" ", F152, 1),1) - 1), lists!$A$31:$B$37, 2, FALSE),"")</f>
        <v/>
      </c>
      <c r="N152" s="18" t="str">
        <f>IFERROR(__xludf.DUMMYFUNCTION("IFNA(VLOOKUP(IFNA(REGEXEXTRACT(F152, ""(Пасхи|50-ці|посту)""),""""),lists!$A$39:$B$41,2,FALSE),"""")"),"pentecost")</f>
        <v>pentecost</v>
      </c>
      <c r="O152" s="19" t="str">
        <f>IFERROR(__xludf.DUMMYFUNCTION("IFNA(REGEXEXTRACT(F152, ""\d{1,2}""),"""")"),"7")</f>
        <v>7</v>
      </c>
      <c r="P152" s="14" t="b">
        <f t="shared" si="6"/>
        <v>0</v>
      </c>
    </row>
    <row r="153">
      <c r="A153" s="13" t="s">
        <v>1095</v>
      </c>
      <c r="B153" s="9" t="str">
        <f t="shared" si="1"/>
        <v>Йо.</v>
      </c>
      <c r="C153" s="10" t="s">
        <v>861</v>
      </c>
      <c r="D153" s="11" t="str">
        <f t="shared" si="2"/>
        <v>64</v>
      </c>
      <c r="E153" s="9"/>
      <c r="F153" s="13" t="s">
        <v>1006</v>
      </c>
      <c r="G153" s="14"/>
      <c r="H153" s="15" t="s">
        <v>70</v>
      </c>
      <c r="I153" s="16" t="s">
        <v>71</v>
      </c>
      <c r="J153" s="73">
        <v>8.0</v>
      </c>
      <c r="K153" s="55"/>
      <c r="L153" s="55" t="s">
        <v>71</v>
      </c>
      <c r="M153" s="18" t="str">
        <f>IFNA( VLOOKUP(LEFT(F153, IFERROR(FIND(" ", F153, 1),1) - 1), lists!$A$31:$B$37, 2, FALSE),"")</f>
        <v/>
      </c>
      <c r="N153" s="18" t="str">
        <f>IFERROR(__xludf.DUMMYFUNCTION("IFNA(VLOOKUP(IFNA(REGEXEXTRACT(F153, ""(Пасхи|50-ці|посту)""),""""),lists!$A$39:$B$41,2,FALSE),"""")"),"")</f>
        <v/>
      </c>
      <c r="O153" s="19" t="str">
        <f>IFERROR(__xludf.DUMMYFUNCTION("IFNA(REGEXEXTRACT(F153, ""\d{1,2}""),"""")"),"8")</f>
        <v>8</v>
      </c>
      <c r="P153" s="14" t="b">
        <f t="shared" si="6"/>
        <v>0</v>
      </c>
    </row>
    <row r="154" ht="27.0" customHeight="1">
      <c r="A154" s="13" t="s">
        <v>1096</v>
      </c>
      <c r="B154" s="9" t="str">
        <f t="shared" si="1"/>
        <v>Йо.</v>
      </c>
      <c r="C154" s="10" t="s">
        <v>861</v>
      </c>
      <c r="D154" s="11" t="str">
        <f t="shared" si="2"/>
        <v>65</v>
      </c>
      <c r="E154" s="26" t="s">
        <v>22</v>
      </c>
      <c r="F154" s="13" t="s">
        <v>1008</v>
      </c>
      <c r="G154" s="14"/>
      <c r="H154" s="15"/>
      <c r="I154" s="16" t="s">
        <v>24</v>
      </c>
      <c r="J154" s="53">
        <v>7.0</v>
      </c>
      <c r="K154" s="54"/>
      <c r="L154" s="55">
        <v>7.0</v>
      </c>
      <c r="M154" s="18" t="str">
        <f>IFNA( VLOOKUP(LEFT(F154, IFERROR(FIND(" ", F154, 1),1) - 1), lists!$A$31:$B$37, 2, FALSE),"")</f>
        <v/>
      </c>
      <c r="N154" s="18" t="str">
        <f>IFERROR(__xludf.DUMMYFUNCTION("IFNA(VLOOKUP(IFNA(REGEXEXTRACT(F154, ""(Пасхи|50-ці|посту)""),""""),lists!$A$39:$B$41,2,FALSE),"""")"),"")</f>
        <v/>
      </c>
      <c r="O154" s="19" t="str">
        <f>IFERROR(__xludf.DUMMYFUNCTION("IFNA(REGEXEXTRACT(F154, ""\d{1,2}""),"""")"),"8")</f>
        <v>8</v>
      </c>
      <c r="P154" s="14" t="b">
        <f t="shared" si="6"/>
        <v>0</v>
      </c>
    </row>
    <row r="155">
      <c r="A155" s="13" t="s">
        <v>1097</v>
      </c>
      <c r="B155" s="9" t="str">
        <f t="shared" si="1"/>
        <v>Йо.</v>
      </c>
      <c r="C155" s="10" t="s">
        <v>861</v>
      </c>
      <c r="D155" s="11" t="str">
        <f t="shared" si="2"/>
        <v>65</v>
      </c>
      <c r="E155" s="26" t="s">
        <v>116</v>
      </c>
      <c r="F155" s="21" t="s">
        <v>1010</v>
      </c>
      <c r="G155" s="14"/>
      <c r="H155" s="15" t="s">
        <v>70</v>
      </c>
      <c r="I155" s="16"/>
      <c r="J155" s="73" t="s">
        <v>71</v>
      </c>
      <c r="K155" s="55"/>
      <c r="L155" s="55" t="s">
        <v>71</v>
      </c>
      <c r="M155" s="18" t="str">
        <f>IFNA( VLOOKUP(LEFT(F155, IFERROR(FIND(" ", F155, 1),1) - 1), lists!$A$31:$B$37, 2, FALSE),"")</f>
        <v/>
      </c>
      <c r="N155" s="18" t="str">
        <f>IFERROR(__xludf.DUMMYFUNCTION("IFNA(VLOOKUP(IFNA(REGEXEXTRACT(F155, ""(Пасхи|50-ці|посту)""),""""),lists!$A$39:$B$41,2,FALSE),"""")"),"")</f>
        <v/>
      </c>
      <c r="O155" s="19" t="str">
        <f>IFERROR(__xludf.DUMMYFUNCTION("IFNA(REGEXEXTRACT(F155, ""\d{1,2}""),"""")"),"")</f>
        <v/>
      </c>
      <c r="P155" s="14" t="b">
        <f t="shared" si="6"/>
        <v>0</v>
      </c>
    </row>
    <row r="156">
      <c r="A156" s="13" t="s">
        <v>1098</v>
      </c>
      <c r="B156" s="9" t="str">
        <f t="shared" si="1"/>
        <v>Йо.</v>
      </c>
      <c r="C156" s="10" t="s">
        <v>861</v>
      </c>
      <c r="D156" s="11" t="str">
        <f t="shared" si="2"/>
        <v>65</v>
      </c>
      <c r="E156" s="26" t="s">
        <v>18</v>
      </c>
      <c r="F156" s="13" t="s">
        <v>1012</v>
      </c>
      <c r="G156" s="14"/>
      <c r="H156" s="15" t="s">
        <v>70</v>
      </c>
      <c r="I156" s="16" t="s">
        <v>24</v>
      </c>
      <c r="J156" s="53">
        <v>7.0</v>
      </c>
      <c r="K156" s="54"/>
      <c r="L156" s="55">
        <v>7.0</v>
      </c>
      <c r="M156" s="18" t="str">
        <f>IFNA( VLOOKUP(LEFT(F156, IFERROR(FIND(" ", F156, 1),1) - 1), lists!$A$31:$B$37, 2, FALSE),"")</f>
        <v/>
      </c>
      <c r="N156" s="18" t="str">
        <f>IFERROR(__xludf.DUMMYFUNCTION("IFNA(VLOOKUP(IFNA(REGEXEXTRACT(F156, ""(Пасхи|50-ці|посту)""),""""),lists!$A$39:$B$41,2,FALSE),"""")"),"")</f>
        <v/>
      </c>
      <c r="O156" s="19" t="str">
        <f>IFERROR(__xludf.DUMMYFUNCTION("IFNA(REGEXEXTRACT(F156, ""\d{1,2}""),"""")"),"9")</f>
        <v>9</v>
      </c>
      <c r="P156" s="14" t="b">
        <f t="shared" si="6"/>
        <v>0</v>
      </c>
    </row>
    <row r="157">
      <c r="A157" s="13" t="s">
        <v>1099</v>
      </c>
      <c r="B157" s="9" t="str">
        <f t="shared" si="1"/>
        <v>Йо.</v>
      </c>
      <c r="C157" s="10" t="s">
        <v>861</v>
      </c>
      <c r="D157" s="11" t="str">
        <f t="shared" si="2"/>
        <v>66</v>
      </c>
      <c r="E157" s="9"/>
      <c r="F157" s="13" t="s">
        <v>1014</v>
      </c>
      <c r="G157" s="14"/>
      <c r="H157" s="15" t="s">
        <v>70</v>
      </c>
      <c r="I157" s="16"/>
      <c r="J157" s="73">
        <v>10.0</v>
      </c>
      <c r="K157" s="55"/>
      <c r="L157" s="55" t="s">
        <v>71</v>
      </c>
      <c r="M157" s="18" t="str">
        <f>IFNA( VLOOKUP(LEFT(F157, IFERROR(FIND(" ", F157, 1),1) - 1), lists!$A$31:$B$37, 2, FALSE),"")</f>
        <v/>
      </c>
      <c r="N157" s="18" t="str">
        <f>IFERROR(__xludf.DUMMYFUNCTION("IFNA(VLOOKUP(IFNA(REGEXEXTRACT(F157, ""(Пасхи|50-ці|посту)""),""""),lists!$A$39:$B$41,2,FALSE),"""")"),"")</f>
        <v/>
      </c>
      <c r="O157" s="19" t="str">
        <f>IFERROR(__xludf.DUMMYFUNCTION("IFNA(REGEXEXTRACT(F157, ""\d{1,2}""),"""")"),"10")</f>
        <v>10</v>
      </c>
      <c r="P157" s="14" t="b">
        <f t="shared" si="6"/>
        <v>0</v>
      </c>
    </row>
    <row r="158">
      <c r="A158" s="13" t="s">
        <v>1100</v>
      </c>
      <c r="B158" s="9" t="str">
        <f t="shared" si="1"/>
        <v>Йо.</v>
      </c>
      <c r="C158" s="10" t="s">
        <v>861</v>
      </c>
      <c r="D158" s="11" t="str">
        <f t="shared" si="2"/>
        <v>67</v>
      </c>
      <c r="E158" s="9"/>
      <c r="F158" s="21" t="s">
        <v>1016</v>
      </c>
      <c r="G158" s="9" t="s">
        <v>1017</v>
      </c>
      <c r="H158" s="15" t="s">
        <v>70</v>
      </c>
      <c r="I158" s="16" t="s">
        <v>24</v>
      </c>
      <c r="J158" s="53">
        <v>7.0</v>
      </c>
      <c r="K158" s="55"/>
      <c r="L158" s="55">
        <v>6.0</v>
      </c>
      <c r="M158" s="18" t="str">
        <f>IFNA( VLOOKUP(LEFT(F158, IFERROR(FIND(" ", F158, 1),1) - 1), lists!$A$31:$B$37, 2, FALSE),"")</f>
        <v/>
      </c>
      <c r="N158" s="18" t="str">
        <f>IFERROR(__xludf.DUMMYFUNCTION("IFNA(VLOOKUP(IFNA(REGEXEXTRACT(F158, ""(Пасхи|50-ці|посту)""),""""),lists!$A$39:$B$41,2,FALSE),"""")"),"")</f>
        <v/>
      </c>
      <c r="O158" s="19" t="str">
        <f>IFERROR(__xludf.DUMMYFUNCTION("IFNA(REGEXEXTRACT(F158, ""\d{1,2}""),"""")"),"11")</f>
        <v>11</v>
      </c>
      <c r="P158" s="14" t="b">
        <f t="shared" si="6"/>
        <v>0</v>
      </c>
    </row>
    <row r="159">
      <c r="A159" s="13" t="s">
        <v>1101</v>
      </c>
      <c r="B159" s="9" t="str">
        <f t="shared" si="1"/>
        <v>Лк.</v>
      </c>
      <c r="C159" s="10" t="s">
        <v>1102</v>
      </c>
      <c r="D159" s="11" t="str">
        <f t="shared" si="2"/>
        <v>1</v>
      </c>
      <c r="E159" s="9"/>
      <c r="F159" s="13" t="s">
        <v>1103</v>
      </c>
      <c r="G159" s="14"/>
      <c r="H159" s="15" t="s">
        <v>70</v>
      </c>
      <c r="I159" s="16" t="s">
        <v>71</v>
      </c>
      <c r="J159" s="73" t="s">
        <v>71</v>
      </c>
      <c r="K159" s="55"/>
      <c r="L159" s="55" t="s">
        <v>71</v>
      </c>
      <c r="M159" s="18" t="str">
        <f>IFNA( VLOOKUP(LEFT(F159, IFERROR(FIND(" ", F159, 1),1) - 1), lists!$A$31:$B$37, 2, FALSE),"")</f>
        <v/>
      </c>
      <c r="N159" s="18" t="str">
        <f>IFERROR(__xludf.DUMMYFUNCTION("IFNA(VLOOKUP(IFNA(REGEXEXTRACT(F159, ""(Пасхи|50-ці|посту)""),""""),lists!$A$39:$B$41,2,FALSE),"""")"),"")</f>
        <v/>
      </c>
      <c r="O159" s="19" t="str">
        <f>IFERROR(__xludf.DUMMYFUNCTION("IFNA(REGEXEXTRACT(F159, ""\d{1,2}""),"""")"),"")</f>
        <v/>
      </c>
      <c r="P159" s="14" t="b">
        <f t="shared" si="6"/>
        <v>0</v>
      </c>
    </row>
    <row r="160">
      <c r="A160" s="13" t="s">
        <v>1104</v>
      </c>
      <c r="B160" s="9" t="str">
        <f t="shared" si="1"/>
        <v>Лк.</v>
      </c>
      <c r="C160" s="10" t="s">
        <v>1102</v>
      </c>
      <c r="D160" s="11" t="str">
        <f t="shared" si="2"/>
        <v>2</v>
      </c>
      <c r="E160" s="9"/>
      <c r="F160" s="13" t="s">
        <v>1105</v>
      </c>
      <c r="G160" s="14"/>
      <c r="H160" s="15" t="s">
        <v>70</v>
      </c>
      <c r="I160" s="16" t="s">
        <v>71</v>
      </c>
      <c r="J160" s="73">
        <v>23.0</v>
      </c>
      <c r="K160" s="54"/>
      <c r="L160" s="55" t="s">
        <v>71</v>
      </c>
      <c r="M160" s="18" t="str">
        <f>IFNA( VLOOKUP(LEFT(F160, IFERROR(FIND(" ", F160, 1),1) - 1), lists!$A$31:$B$37, 2, FALSE),"")</f>
        <v/>
      </c>
      <c r="N160" s="18" t="str">
        <f>IFERROR(__xludf.DUMMYFUNCTION("IFNA(VLOOKUP(IFNA(REGEXEXTRACT(F160, ""(Пасхи|50-ці|посту)""),""""),lists!$A$39:$B$41,2,FALSE),"""")"),"")</f>
        <v/>
      </c>
      <c r="O160" s="19" t="str">
        <f>IFERROR(__xludf.DUMMYFUNCTION("IFNA(REGEXEXTRACT(F160, ""\d{1,2}""),"""")"),"23")</f>
        <v>23</v>
      </c>
      <c r="P160" s="14" t="b">
        <f t="shared" si="6"/>
        <v>0</v>
      </c>
    </row>
    <row r="161">
      <c r="A161" s="13" t="s">
        <v>1106</v>
      </c>
      <c r="B161" s="9" t="str">
        <f t="shared" si="1"/>
        <v>Лк.</v>
      </c>
      <c r="C161" s="10" t="s">
        <v>1102</v>
      </c>
      <c r="D161" s="11" t="str">
        <f t="shared" si="2"/>
        <v>3</v>
      </c>
      <c r="E161" s="12" t="s">
        <v>18</v>
      </c>
      <c r="F161" s="13" t="s">
        <v>1107</v>
      </c>
      <c r="G161" s="14"/>
      <c r="H161" s="15" t="s">
        <v>70</v>
      </c>
      <c r="I161" s="16" t="s">
        <v>71</v>
      </c>
      <c r="J161" s="73" t="s">
        <v>71</v>
      </c>
      <c r="K161" s="55"/>
      <c r="L161" s="55" t="s">
        <v>71</v>
      </c>
      <c r="M161" s="18" t="str">
        <f>IFNA( VLOOKUP(LEFT(F161, IFERROR(FIND(" ", F161, 1),1) - 1), lists!$A$31:$B$37, 2, FALSE),"")</f>
        <v/>
      </c>
      <c r="N161" s="18" t="str">
        <f>IFERROR(__xludf.DUMMYFUNCTION("IFNA(VLOOKUP(IFNA(REGEXEXTRACT(F161, ""(Пасхи|50-ці|посту)""),""""),lists!$A$39:$B$41,2,FALSE),"""")"),"")</f>
        <v/>
      </c>
      <c r="O161" s="19" t="str">
        <f>IFERROR(__xludf.DUMMYFUNCTION("IFNA(REGEXEXTRACT(F161, ""\d{1,2}""),"""")"),"")</f>
        <v/>
      </c>
      <c r="P161" s="14" t="b">
        <f t="shared" si="6"/>
        <v>0</v>
      </c>
    </row>
    <row r="162">
      <c r="A162" s="13" t="s">
        <v>1108</v>
      </c>
      <c r="B162" s="9" t="str">
        <f t="shared" si="1"/>
        <v>Лк.</v>
      </c>
      <c r="C162" s="10" t="s">
        <v>1102</v>
      </c>
      <c r="D162" s="11" t="str">
        <f t="shared" si="2"/>
        <v>3</v>
      </c>
      <c r="E162" s="12" t="s">
        <v>22</v>
      </c>
      <c r="F162" s="13" t="s">
        <v>1109</v>
      </c>
      <c r="G162" s="14"/>
      <c r="H162" s="15" t="s">
        <v>70</v>
      </c>
      <c r="I162" s="16" t="s">
        <v>71</v>
      </c>
      <c r="J162" s="73" t="s">
        <v>71</v>
      </c>
      <c r="K162" s="55"/>
      <c r="L162" s="55" t="s">
        <v>71</v>
      </c>
      <c r="M162" s="18" t="str">
        <f>IFNA( VLOOKUP(LEFT(F162, IFERROR(FIND(" ", F162, 1),1) - 1), lists!$A$31:$B$37, 2, FALSE),"")</f>
        <v/>
      </c>
      <c r="N162" s="18" t="str">
        <f>IFERROR(__xludf.DUMMYFUNCTION("IFNA(VLOOKUP(IFNA(REGEXEXTRACT(F162, ""(Пасхи|50-ці|посту)""),""""),lists!$A$39:$B$41,2,FALSE),"""")"),"")</f>
        <v/>
      </c>
      <c r="O162" s="19" t="str">
        <f>IFERROR(__xludf.DUMMYFUNCTION("IFNA(REGEXEXTRACT(F162, ""\d{1,2}""),"""")"),"")</f>
        <v/>
      </c>
      <c r="P162" s="14" t="b">
        <f t="shared" si="6"/>
        <v>0</v>
      </c>
    </row>
    <row r="163">
      <c r="A163" s="79" t="s">
        <v>1110</v>
      </c>
      <c r="B163" s="9" t="str">
        <f t="shared" si="1"/>
        <v>Лк.</v>
      </c>
      <c r="C163" s="10" t="s">
        <v>1102</v>
      </c>
      <c r="D163" s="11" t="str">
        <f t="shared" si="2"/>
        <v>4</v>
      </c>
      <c r="E163" s="9"/>
      <c r="F163" s="13" t="s">
        <v>1111</v>
      </c>
      <c r="G163" s="14"/>
      <c r="H163" s="15" t="s">
        <v>70</v>
      </c>
      <c r="I163" s="16" t="s">
        <v>71</v>
      </c>
      <c r="J163" s="73" t="s">
        <v>71</v>
      </c>
      <c r="K163" s="55"/>
      <c r="L163" s="55" t="s">
        <v>71</v>
      </c>
      <c r="M163" s="18" t="str">
        <f>IFNA( VLOOKUP(LEFT(F163, IFERROR(FIND(" ", F163, 1),1) - 1), lists!$A$31:$B$37, 2, FALSE),"")</f>
        <v/>
      </c>
      <c r="N163" s="18" t="str">
        <f>IFERROR(__xludf.DUMMYFUNCTION("IFNA(VLOOKUP(IFNA(REGEXEXTRACT(F163, ""(Пасхи|50-ці|посту)""),""""),lists!$A$39:$B$41,2,FALSE),"""")"),"")</f>
        <v/>
      </c>
      <c r="O163" s="19" t="str">
        <f>IFERROR(__xludf.DUMMYFUNCTION("IFNA(REGEXEXTRACT(F163, ""\d{1,2}""),"""")"),"")</f>
        <v/>
      </c>
      <c r="P163" s="14" t="b">
        <f t="shared" si="6"/>
        <v>0</v>
      </c>
    </row>
    <row r="164">
      <c r="A164" s="13" t="s">
        <v>1112</v>
      </c>
      <c r="B164" s="9" t="str">
        <f t="shared" si="1"/>
        <v>Лк.</v>
      </c>
      <c r="C164" s="10" t="s">
        <v>1102</v>
      </c>
      <c r="D164" s="11" t="str">
        <f t="shared" si="2"/>
        <v>5</v>
      </c>
      <c r="E164" s="9"/>
      <c r="F164" s="13" t="s">
        <v>1113</v>
      </c>
      <c r="G164" s="14"/>
      <c r="H164" s="15" t="s">
        <v>70</v>
      </c>
      <c r="I164" s="16" t="s">
        <v>71</v>
      </c>
      <c r="J164" s="73">
        <v>3.0</v>
      </c>
      <c r="K164" s="55"/>
      <c r="L164" s="55" t="s">
        <v>71</v>
      </c>
      <c r="M164" s="18" t="str">
        <f>IFNA( VLOOKUP(LEFT(F164, IFERROR(FIND(" ", F164, 1),1) - 1), lists!$A$31:$B$37, 2, FALSE),"")</f>
        <v/>
      </c>
      <c r="N164" s="18" t="str">
        <f>IFERROR(__xludf.DUMMYFUNCTION("IFNA(VLOOKUP(IFNA(REGEXEXTRACT(F164, ""(Пасхи|50-ці|посту)""),""""),lists!$A$39:$B$41,2,FALSE),"""")"),"")</f>
        <v/>
      </c>
      <c r="O164" s="19" t="str">
        <f>IFERROR(__xludf.DUMMYFUNCTION("IFNA(REGEXEXTRACT(F164, ""\d{1,2}""),"""")"),"3")</f>
        <v>3</v>
      </c>
      <c r="P164" s="14" t="b">
        <f t="shared" si="6"/>
        <v>0</v>
      </c>
    </row>
    <row r="165">
      <c r="A165" s="79" t="s">
        <v>1114</v>
      </c>
      <c r="B165" s="9" t="str">
        <f t="shared" si="1"/>
        <v>Лк.</v>
      </c>
      <c r="C165" s="10" t="s">
        <v>1102</v>
      </c>
      <c r="D165" s="11" t="str">
        <f t="shared" si="2"/>
        <v>6</v>
      </c>
      <c r="E165" s="9"/>
      <c r="F165" s="13" t="s">
        <v>1115</v>
      </c>
      <c r="G165" s="14"/>
      <c r="H165" s="15" t="s">
        <v>70</v>
      </c>
      <c r="I165" s="16" t="s">
        <v>71</v>
      </c>
      <c r="J165" s="73" t="s">
        <v>71</v>
      </c>
      <c r="K165" s="54"/>
      <c r="L165" s="55" t="s">
        <v>71</v>
      </c>
      <c r="M165" s="18" t="str">
        <f>IFNA( VLOOKUP(LEFT(F165, IFERROR(FIND(" ", F165, 1),1) - 1), lists!$A$31:$B$37, 2, FALSE),"")</f>
        <v/>
      </c>
      <c r="N165" s="18" t="str">
        <f>IFERROR(__xludf.DUMMYFUNCTION("IFNA(VLOOKUP(IFNA(REGEXEXTRACT(F165, ""(Пасхи|50-ці|посту)""),""""),lists!$A$39:$B$41,2,FALSE),"""")"),"")</f>
        <v/>
      </c>
      <c r="O165" s="19" t="str">
        <f>IFERROR(__xludf.DUMMYFUNCTION("IFNA(REGEXEXTRACT(F165, ""\d{1,2}""),"""")"),"")</f>
        <v/>
      </c>
      <c r="P165" s="14" t="b">
        <f t="shared" si="6"/>
        <v>0</v>
      </c>
    </row>
    <row r="166">
      <c r="A166" s="13" t="s">
        <v>1116</v>
      </c>
      <c r="B166" s="9" t="str">
        <f t="shared" si="1"/>
        <v>Лк.</v>
      </c>
      <c r="C166" s="10" t="s">
        <v>1102</v>
      </c>
      <c r="D166" s="11" t="str">
        <f t="shared" si="2"/>
        <v>7</v>
      </c>
      <c r="E166" s="9"/>
      <c r="F166" s="21" t="s">
        <v>1117</v>
      </c>
      <c r="G166" s="14"/>
      <c r="H166" s="15" t="s">
        <v>70</v>
      </c>
      <c r="I166" s="16" t="s">
        <v>71</v>
      </c>
      <c r="J166" s="73" t="s">
        <v>71</v>
      </c>
      <c r="K166" s="55"/>
      <c r="L166" s="55" t="s">
        <v>71</v>
      </c>
      <c r="M166" s="18" t="str">
        <f>IFNA( VLOOKUP(LEFT(F166, IFERROR(FIND(" ", F166, 1),1) - 1), lists!$A$31:$B$37, 2, FALSE),"")</f>
        <v/>
      </c>
      <c r="N166" s="18" t="str">
        <f>IFERROR(__xludf.DUMMYFUNCTION("IFNA(VLOOKUP(IFNA(REGEXEXTRACT(F166, ""(Пасхи|50-ці|посту)""),""""),lists!$A$39:$B$41,2,FALSE),"""")"),"")</f>
        <v/>
      </c>
      <c r="O166" s="19" t="str">
        <f>IFERROR(__xludf.DUMMYFUNCTION("IFNA(REGEXEXTRACT(F166, ""\d{1,2}""),"""")"),"")</f>
        <v/>
      </c>
      <c r="P166" s="14" t="b">
        <f t="shared" si="6"/>
        <v>0</v>
      </c>
    </row>
    <row r="167">
      <c r="A167" s="13" t="s">
        <v>1118</v>
      </c>
      <c r="B167" s="9" t="str">
        <f t="shared" si="1"/>
        <v>Лк.</v>
      </c>
      <c r="C167" s="10" t="s">
        <v>1102</v>
      </c>
      <c r="D167" s="11" t="str">
        <f t="shared" si="2"/>
        <v>8</v>
      </c>
      <c r="E167" s="80" t="s">
        <v>18</v>
      </c>
      <c r="F167" s="13" t="s">
        <v>1119</v>
      </c>
      <c r="G167" s="14"/>
      <c r="H167" s="15" t="s">
        <v>70</v>
      </c>
      <c r="I167" s="16" t="s">
        <v>71</v>
      </c>
      <c r="J167" s="73" t="s">
        <v>71</v>
      </c>
      <c r="K167" s="54"/>
      <c r="L167" s="55" t="s">
        <v>71</v>
      </c>
      <c r="M167" s="18" t="str">
        <f>IFNA( VLOOKUP(LEFT(F167, IFERROR(FIND(" ", F167, 1),1) - 1), lists!$A$31:$B$37, 2, FALSE),"")</f>
        <v/>
      </c>
      <c r="N167" s="18" t="str">
        <f>IFERROR(__xludf.DUMMYFUNCTION("IFNA(VLOOKUP(IFNA(REGEXEXTRACT(F167, ""(Пасхи|50-ці|посту)""),""""),lists!$A$39:$B$41,2,FALSE),"""")"),"")</f>
        <v/>
      </c>
      <c r="O167" s="19" t="str">
        <f>IFERROR(__xludf.DUMMYFUNCTION("IFNA(REGEXEXTRACT(F167, ""\d{1,2}""),"""")"),"")</f>
        <v/>
      </c>
      <c r="P167" s="14" t="b">
        <f t="shared" si="6"/>
        <v>0</v>
      </c>
    </row>
    <row r="168">
      <c r="A168" s="13" t="s">
        <v>1120</v>
      </c>
      <c r="B168" s="9" t="str">
        <f t="shared" si="1"/>
        <v>Лк.</v>
      </c>
      <c r="C168" s="10" t="s">
        <v>1102</v>
      </c>
      <c r="D168" s="11" t="str">
        <f t="shared" si="2"/>
        <v>8</v>
      </c>
      <c r="E168" s="80" t="s">
        <v>22</v>
      </c>
      <c r="F168" s="13" t="s">
        <v>1121</v>
      </c>
      <c r="G168" s="9"/>
      <c r="H168" s="15" t="s">
        <v>70</v>
      </c>
      <c r="I168" s="16" t="s">
        <v>71</v>
      </c>
      <c r="J168" s="73" t="s">
        <v>71</v>
      </c>
      <c r="K168" s="55"/>
      <c r="L168" s="55" t="s">
        <v>71</v>
      </c>
      <c r="M168" s="18" t="str">
        <f>IFNA( VLOOKUP(LEFT(F168, IFERROR(FIND(" ", F168, 1),1) - 1), lists!$A$31:$B$37, 2, FALSE),"")</f>
        <v/>
      </c>
      <c r="N168" s="18" t="str">
        <f>IFERROR(__xludf.DUMMYFUNCTION("IFNA(VLOOKUP(IFNA(REGEXEXTRACT(F168, ""(Пасхи|50-ці|посту)""),""""),lists!$A$39:$B$41,2,FALSE),"""")"),"")</f>
        <v/>
      </c>
      <c r="O168" s="19" t="str">
        <f>IFERROR(__xludf.DUMMYFUNCTION("IFNA(REGEXEXTRACT(F168, ""\d{1,2}""),"""")"),"")</f>
        <v/>
      </c>
      <c r="P168" s="14" t="b">
        <f t="shared" si="6"/>
        <v>0</v>
      </c>
    </row>
    <row r="169">
      <c r="A169" s="13" t="s">
        <v>1122</v>
      </c>
      <c r="B169" s="9" t="str">
        <f t="shared" si="1"/>
        <v>Лк.</v>
      </c>
      <c r="C169" s="10" t="s">
        <v>1102</v>
      </c>
      <c r="D169" s="11" t="str">
        <f t="shared" si="2"/>
        <v>9</v>
      </c>
      <c r="E169" s="9"/>
      <c r="F169" s="13" t="s">
        <v>1123</v>
      </c>
      <c r="G169" s="14"/>
      <c r="H169" s="15" t="s">
        <v>70</v>
      </c>
      <c r="I169" s="16" t="s">
        <v>71</v>
      </c>
      <c r="J169" s="73" t="s">
        <v>71</v>
      </c>
      <c r="K169" s="55"/>
      <c r="L169" s="55" t="s">
        <v>71</v>
      </c>
      <c r="M169" s="18" t="str">
        <f>IFNA( VLOOKUP(LEFT(F169, IFERROR(FIND(" ", F169, 1),1) - 1), lists!$A$31:$B$37, 2, FALSE),"")</f>
        <v/>
      </c>
      <c r="N169" s="18" t="str">
        <f>IFERROR(__xludf.DUMMYFUNCTION("IFNA(VLOOKUP(IFNA(REGEXEXTRACT(F169, ""(Пасхи|50-ці|посту)""),""""),lists!$A$39:$B$41,2,FALSE),"""")"),"")</f>
        <v/>
      </c>
      <c r="O169" s="19" t="str">
        <f>IFERROR(__xludf.DUMMYFUNCTION("IFNA(REGEXEXTRACT(F169, ""\d{1,2}""),"""")"),"")</f>
        <v/>
      </c>
      <c r="P169" s="14" t="b">
        <f t="shared" si="6"/>
        <v>0</v>
      </c>
    </row>
    <row r="170">
      <c r="A170" s="13" t="s">
        <v>1124</v>
      </c>
      <c r="B170" s="9" t="str">
        <f t="shared" si="1"/>
        <v>Лк.</v>
      </c>
      <c r="C170" s="10" t="s">
        <v>1102</v>
      </c>
      <c r="D170" s="11" t="str">
        <f t="shared" si="2"/>
        <v>10</v>
      </c>
      <c r="E170" s="9"/>
      <c r="F170" s="13" t="s">
        <v>1125</v>
      </c>
      <c r="G170" s="14"/>
      <c r="H170" s="22"/>
      <c r="I170" s="16" t="s">
        <v>29</v>
      </c>
      <c r="J170" s="73">
        <v>18.0</v>
      </c>
      <c r="K170" s="55"/>
      <c r="L170" s="55">
        <v>1.0</v>
      </c>
      <c r="M170" s="18">
        <f>IFNA( VLOOKUP(LEFT(F170, IFERROR(FIND(" ", F170, 1),1) - 1), lists!$A$31:$B$37, 2, FALSE),"")</f>
        <v>1</v>
      </c>
      <c r="N170" s="18" t="str">
        <f>IFERROR(__xludf.DUMMYFUNCTION("IFNA(VLOOKUP(IFNA(REGEXEXTRACT(F170, ""(Пасхи|50-ці|посту)""),""""),lists!$A$39:$B$41,2,FALSE),"""")"),"")</f>
        <v/>
      </c>
      <c r="O170" s="19" t="str">
        <f>IFERROR(__xludf.DUMMYFUNCTION("IFNA(REGEXEXTRACT(F170, ""\d{1,2}""),"""")"),"18")</f>
        <v>18</v>
      </c>
      <c r="P170" s="14" t="b">
        <f t="shared" si="6"/>
        <v>0</v>
      </c>
    </row>
    <row r="171">
      <c r="A171" s="13" t="s">
        <v>1126</v>
      </c>
      <c r="B171" s="9" t="str">
        <f t="shared" si="1"/>
        <v>Лк.</v>
      </c>
      <c r="C171" s="10" t="s">
        <v>1102</v>
      </c>
      <c r="D171" s="11" t="str">
        <f t="shared" si="2"/>
        <v>11</v>
      </c>
      <c r="E171" s="9"/>
      <c r="F171" s="13" t="s">
        <v>1127</v>
      </c>
      <c r="G171" s="14"/>
      <c r="H171" s="22"/>
      <c r="I171" s="16" t="s">
        <v>29</v>
      </c>
      <c r="J171" s="73">
        <v>18.0</v>
      </c>
      <c r="K171" s="55"/>
      <c r="L171" s="55">
        <v>2.0</v>
      </c>
      <c r="M171" s="18">
        <f>IFNA( VLOOKUP(LEFT(F171, IFERROR(FIND(" ", F171, 1),1) - 1), lists!$A$31:$B$37, 2, FALSE),"")</f>
        <v>2</v>
      </c>
      <c r="N171" s="18" t="str">
        <f>IFERROR(__xludf.DUMMYFUNCTION("IFNA(VLOOKUP(IFNA(REGEXEXTRACT(F171, ""(Пасхи|50-ці|посту)""),""""),lists!$A$39:$B$41,2,FALSE),"""")"),"")</f>
        <v/>
      </c>
      <c r="O171" s="19" t="str">
        <f>IFERROR(__xludf.DUMMYFUNCTION("IFNA(REGEXEXTRACT(F171, ""\d{1,2}""),"""")"),"18")</f>
        <v>18</v>
      </c>
      <c r="P171" s="14" t="b">
        <f t="shared" si="6"/>
        <v>0</v>
      </c>
    </row>
    <row r="172">
      <c r="A172" s="13" t="s">
        <v>1128</v>
      </c>
      <c r="B172" s="9" t="str">
        <f t="shared" si="1"/>
        <v>Лк.</v>
      </c>
      <c r="C172" s="10" t="s">
        <v>1102</v>
      </c>
      <c r="D172" s="11" t="str">
        <f t="shared" si="2"/>
        <v>12</v>
      </c>
      <c r="E172" s="9"/>
      <c r="F172" s="13" t="s">
        <v>1129</v>
      </c>
      <c r="G172" s="14"/>
      <c r="H172" s="22"/>
      <c r="I172" s="16" t="s">
        <v>29</v>
      </c>
      <c r="J172" s="73">
        <v>18.0</v>
      </c>
      <c r="K172" s="55"/>
      <c r="L172" s="55">
        <v>3.0</v>
      </c>
      <c r="M172" s="18">
        <f>IFNA( VLOOKUP(LEFT(F172, IFERROR(FIND(" ", F172, 1),1) - 1), lists!$A$31:$B$37, 2, FALSE),"")</f>
        <v>3</v>
      </c>
      <c r="N172" s="18" t="str">
        <f>IFERROR(__xludf.DUMMYFUNCTION("IFNA(VLOOKUP(IFNA(REGEXEXTRACT(F172, ""(Пасхи|50-ці|посту)""),""""),lists!$A$39:$B$41,2,FALSE),"""")"),"")</f>
        <v/>
      </c>
      <c r="O172" s="19" t="str">
        <f>IFERROR(__xludf.DUMMYFUNCTION("IFNA(REGEXEXTRACT(F172, ""\d{1,2}""),"""")"),"18")</f>
        <v>18</v>
      </c>
      <c r="P172" s="14" t="b">
        <f t="shared" si="6"/>
        <v>0</v>
      </c>
    </row>
    <row r="173">
      <c r="A173" s="13" t="s">
        <v>1130</v>
      </c>
      <c r="B173" s="9" t="str">
        <f t="shared" si="1"/>
        <v>Лк.</v>
      </c>
      <c r="C173" s="10" t="s">
        <v>1102</v>
      </c>
      <c r="D173" s="11" t="str">
        <f t="shared" si="2"/>
        <v>13</v>
      </c>
      <c r="E173" s="9"/>
      <c r="F173" s="13" t="s">
        <v>1131</v>
      </c>
      <c r="G173" s="36"/>
      <c r="H173" s="15" t="s">
        <v>70</v>
      </c>
      <c r="I173" s="16" t="s">
        <v>29</v>
      </c>
      <c r="J173" s="73">
        <v>18.0</v>
      </c>
      <c r="K173" s="54"/>
      <c r="L173" s="55">
        <v>4.0</v>
      </c>
      <c r="M173" s="18">
        <f>IFNA( VLOOKUP(LEFT(F173, IFERROR(FIND(" ", F173, 1),1) - 1), lists!$A$31:$B$37, 2, FALSE),"")</f>
        <v>4</v>
      </c>
      <c r="N173" s="18" t="str">
        <f>IFERROR(__xludf.DUMMYFUNCTION("IFNA(VLOOKUP(IFNA(REGEXEXTRACT(F173, ""(Пасхи|50-ці|посту)""),""""),lists!$A$39:$B$41,2,FALSE),"""")"),"")</f>
        <v/>
      </c>
      <c r="O173" s="19" t="str">
        <f>IFERROR(__xludf.DUMMYFUNCTION("IFNA(REGEXEXTRACT(F173, ""\d{1,2}""),"""")"),"18")</f>
        <v>18</v>
      </c>
      <c r="P173" s="14" t="b">
        <f t="shared" si="6"/>
        <v>0</v>
      </c>
    </row>
    <row r="174">
      <c r="A174" s="13" t="s">
        <v>1132</v>
      </c>
      <c r="B174" s="9" t="str">
        <f t="shared" si="1"/>
        <v>Лк.</v>
      </c>
      <c r="C174" s="10" t="s">
        <v>1102</v>
      </c>
      <c r="D174" s="11" t="str">
        <f t="shared" si="2"/>
        <v>14</v>
      </c>
      <c r="E174" s="9"/>
      <c r="F174" s="13" t="s">
        <v>1133</v>
      </c>
      <c r="G174" s="36"/>
      <c r="H174" s="15" t="s">
        <v>70</v>
      </c>
      <c r="I174" s="16" t="s">
        <v>29</v>
      </c>
      <c r="J174" s="73">
        <v>18.0</v>
      </c>
      <c r="K174" s="54"/>
      <c r="L174" s="55">
        <v>5.0</v>
      </c>
      <c r="M174" s="18">
        <f>IFNA( VLOOKUP(LEFT(F174, IFERROR(FIND(" ", F174, 1),1) - 1), lists!$A$31:$B$37, 2, FALSE),"")</f>
        <v>5</v>
      </c>
      <c r="N174" s="18" t="str">
        <f>IFERROR(__xludf.DUMMYFUNCTION("IFNA(VLOOKUP(IFNA(REGEXEXTRACT(F174, ""(Пасхи|50-ці|посту)""),""""),lists!$A$39:$B$41,2,FALSE),"""")"),"")</f>
        <v/>
      </c>
      <c r="O174" s="19" t="str">
        <f>IFERROR(__xludf.DUMMYFUNCTION("IFNA(REGEXEXTRACT(F174, ""\d{1,2}""),"""")"),"18")</f>
        <v>18</v>
      </c>
      <c r="P174" s="14" t="b">
        <f t="shared" si="6"/>
        <v>0</v>
      </c>
    </row>
    <row r="175">
      <c r="A175" s="13" t="s">
        <v>1134</v>
      </c>
      <c r="B175" s="9" t="str">
        <f t="shared" si="1"/>
        <v>Лк.</v>
      </c>
      <c r="C175" s="10" t="s">
        <v>1102</v>
      </c>
      <c r="D175" s="11" t="str">
        <f t="shared" si="2"/>
        <v>15</v>
      </c>
      <c r="E175" s="9"/>
      <c r="F175" s="13" t="s">
        <v>1135</v>
      </c>
      <c r="G175" s="14"/>
      <c r="H175" s="22"/>
      <c r="I175" s="16" t="s">
        <v>29</v>
      </c>
      <c r="J175" s="73">
        <v>18.0</v>
      </c>
      <c r="K175" s="54"/>
      <c r="L175" s="55">
        <v>6.0</v>
      </c>
      <c r="M175" s="18">
        <f>IFNA( VLOOKUP(LEFT(F175, IFERROR(FIND(" ", F175, 1),1) - 1), lists!$A$31:$B$37, 2, FALSE),"")</f>
        <v>6</v>
      </c>
      <c r="N175" s="18" t="str">
        <f>IFERROR(__xludf.DUMMYFUNCTION("IFNA(VLOOKUP(IFNA(REGEXEXTRACT(F175, ""(Пасхи|50-ці|посту)""),""""),lists!$A$39:$B$41,2,FALSE),"""")"),"")</f>
        <v/>
      </c>
      <c r="O175" s="19" t="str">
        <f>IFERROR(__xludf.DUMMYFUNCTION("IFNA(REGEXEXTRACT(F175, ""\d{1,2}""),"""")"),"18")</f>
        <v>18</v>
      </c>
      <c r="P175" s="14" t="b">
        <f t="shared" si="6"/>
        <v>0</v>
      </c>
    </row>
    <row r="176">
      <c r="A176" s="13" t="s">
        <v>1136</v>
      </c>
      <c r="B176" s="9" t="str">
        <f t="shared" si="1"/>
        <v>Лк.</v>
      </c>
      <c r="C176" s="10" t="s">
        <v>1102</v>
      </c>
      <c r="D176" s="11" t="str">
        <f t="shared" si="2"/>
        <v>16</v>
      </c>
      <c r="E176" s="9"/>
      <c r="F176" s="13" t="s">
        <v>1137</v>
      </c>
      <c r="G176" s="14"/>
      <c r="H176" s="22"/>
      <c r="I176" s="16" t="s">
        <v>29</v>
      </c>
      <c r="J176" s="73">
        <v>19.0</v>
      </c>
      <c r="K176" s="54"/>
      <c r="L176" s="55">
        <v>1.0</v>
      </c>
      <c r="M176" s="18">
        <f>IFNA( VLOOKUP(LEFT(F176, IFERROR(FIND(" ", F176, 1),1) - 1), lists!$A$31:$B$37, 2, FALSE),"")</f>
        <v>1</v>
      </c>
      <c r="N176" s="18" t="str">
        <f>IFERROR(__xludf.DUMMYFUNCTION("IFNA(VLOOKUP(IFNA(REGEXEXTRACT(F176, ""(Пасхи|50-ці|посту)""),""""),lists!$A$39:$B$41,2,FALSE),"""")"),"")</f>
        <v/>
      </c>
      <c r="O176" s="19" t="str">
        <f>IFERROR(__xludf.DUMMYFUNCTION("IFNA(REGEXEXTRACT(F176, ""\d{1,2}""),"""")"),"19")</f>
        <v>19</v>
      </c>
      <c r="P176" s="14" t="b">
        <f t="shared" si="6"/>
        <v>0</v>
      </c>
    </row>
    <row r="177">
      <c r="A177" s="13" t="s">
        <v>1138</v>
      </c>
      <c r="B177" s="9" t="str">
        <f t="shared" si="1"/>
        <v>Лк.</v>
      </c>
      <c r="C177" s="10" t="s">
        <v>1102</v>
      </c>
      <c r="D177" s="11" t="str">
        <f t="shared" si="2"/>
        <v>17</v>
      </c>
      <c r="E177" s="9"/>
      <c r="F177" s="21" t="s">
        <v>1139</v>
      </c>
      <c r="G177" s="14"/>
      <c r="H177" s="22"/>
      <c r="I177" s="16" t="s">
        <v>29</v>
      </c>
      <c r="J177" s="73">
        <v>18.0</v>
      </c>
      <c r="K177" s="54"/>
      <c r="L177" s="55">
        <v>7.0</v>
      </c>
      <c r="M177" s="18">
        <f>IFNA( VLOOKUP(LEFT(F177, IFERROR(FIND(" ", F177, 1),1) - 1), lists!$A$31:$B$37, 2, FALSE),"")</f>
        <v>7</v>
      </c>
      <c r="N177" s="18" t="str">
        <f>IFERROR(__xludf.DUMMYFUNCTION("IFNA(VLOOKUP(IFNA(REGEXEXTRACT(F177, ""(Пасхи|50-ці|посту)""),""""),lists!$A$39:$B$41,2,FALSE),"""")"),"")</f>
        <v/>
      </c>
      <c r="O177" s="19" t="str">
        <f>IFERROR(__xludf.DUMMYFUNCTION("IFNA(REGEXEXTRACT(F177, ""\d{1,2}""),"""")"),"18")</f>
        <v>18</v>
      </c>
      <c r="P177" s="14" t="b">
        <f t="shared" si="6"/>
        <v>0</v>
      </c>
    </row>
    <row r="178">
      <c r="A178" s="13" t="s">
        <v>1140</v>
      </c>
      <c r="B178" s="9" t="str">
        <f t="shared" si="1"/>
        <v>Лк.</v>
      </c>
      <c r="C178" s="10" t="s">
        <v>1102</v>
      </c>
      <c r="D178" s="11" t="str">
        <f t="shared" si="2"/>
        <v>18</v>
      </c>
      <c r="E178" s="9"/>
      <c r="F178" s="13" t="s">
        <v>1141</v>
      </c>
      <c r="G178" s="14"/>
      <c r="H178" s="22"/>
      <c r="I178" s="16" t="s">
        <v>29</v>
      </c>
      <c r="J178" s="73">
        <v>19.0</v>
      </c>
      <c r="K178" s="54"/>
      <c r="L178" s="55">
        <v>2.0</v>
      </c>
      <c r="M178" s="18">
        <f>IFNA( VLOOKUP(LEFT(F178, IFERROR(FIND(" ", F178, 1),1) - 1), lists!$A$31:$B$37, 2, FALSE),"")</f>
        <v>2</v>
      </c>
      <c r="N178" s="18" t="str">
        <f>IFERROR(__xludf.DUMMYFUNCTION("IFNA(VLOOKUP(IFNA(REGEXEXTRACT(F178, ""(Пасхи|50-ці|посту)""),""""),lists!$A$39:$B$41,2,FALSE),"""")"),"")</f>
        <v/>
      </c>
      <c r="O178" s="19" t="str">
        <f>IFERROR(__xludf.DUMMYFUNCTION("IFNA(REGEXEXTRACT(F178, ""\d{1,2}""),"""")"),"19")</f>
        <v>19</v>
      </c>
      <c r="P178" s="14" t="b">
        <f t="shared" si="6"/>
        <v>0</v>
      </c>
    </row>
    <row r="179">
      <c r="A179" s="13" t="s">
        <v>1142</v>
      </c>
      <c r="B179" s="9" t="str">
        <f t="shared" si="1"/>
        <v>Лк.</v>
      </c>
      <c r="C179" s="10" t="s">
        <v>1102</v>
      </c>
      <c r="D179" s="11" t="str">
        <f t="shared" si="2"/>
        <v>19</v>
      </c>
      <c r="E179" s="9"/>
      <c r="F179" s="13" t="s">
        <v>1143</v>
      </c>
      <c r="G179" s="14"/>
      <c r="H179" s="22"/>
      <c r="I179" s="16" t="s">
        <v>29</v>
      </c>
      <c r="J179" s="73">
        <v>19.0</v>
      </c>
      <c r="K179" s="54"/>
      <c r="L179" s="55">
        <v>6.0</v>
      </c>
      <c r="M179" s="18">
        <f>IFNA( VLOOKUP(LEFT(F179, IFERROR(FIND(" ", F179, 1),1) - 1), lists!$A$31:$B$37, 2, FALSE),"")</f>
        <v>6</v>
      </c>
      <c r="N179" s="18" t="str">
        <f>IFERROR(__xludf.DUMMYFUNCTION("IFNA(VLOOKUP(IFNA(REGEXEXTRACT(F179, ""(Пасхи|50-ці|посту)""),""""),lists!$A$39:$B$41,2,FALSE),"""")"),"")</f>
        <v/>
      </c>
      <c r="O179" s="19" t="str">
        <f>IFERROR(__xludf.DUMMYFUNCTION("IFNA(REGEXEXTRACT(F179, ""\d{1,2}""),"""")"),"19")</f>
        <v>19</v>
      </c>
      <c r="P179" s="14" t="b">
        <f t="shared" si="6"/>
        <v>0</v>
      </c>
    </row>
    <row r="180">
      <c r="A180" s="13" t="s">
        <v>1144</v>
      </c>
      <c r="B180" s="9" t="str">
        <f t="shared" si="1"/>
        <v>Лк.</v>
      </c>
      <c r="C180" s="10" t="s">
        <v>1102</v>
      </c>
      <c r="D180" s="11" t="str">
        <f t="shared" si="2"/>
        <v>20</v>
      </c>
      <c r="E180" s="9"/>
      <c r="F180" s="13" t="s">
        <v>1145</v>
      </c>
      <c r="G180" s="14"/>
      <c r="H180" s="22"/>
      <c r="I180" s="16" t="s">
        <v>29</v>
      </c>
      <c r="J180" s="73">
        <v>20.0</v>
      </c>
      <c r="K180" s="54"/>
      <c r="L180" s="55">
        <v>6.0</v>
      </c>
      <c r="M180" s="18">
        <f>IFNA( VLOOKUP(LEFT(F180, IFERROR(FIND(" ", F180, 1),1) - 1), lists!$A$31:$B$37, 2, FALSE),"")</f>
        <v>6</v>
      </c>
      <c r="N180" s="18" t="str">
        <f>IFERROR(__xludf.DUMMYFUNCTION("IFNA(VLOOKUP(IFNA(REGEXEXTRACT(F180, ""(Пасхи|50-ці|посту)""),""""),lists!$A$39:$B$41,2,FALSE),"""")"),"")</f>
        <v/>
      </c>
      <c r="O180" s="19" t="str">
        <f>IFERROR(__xludf.DUMMYFUNCTION("IFNA(REGEXEXTRACT(F180, ""\d{1,2}""),"""")"),"20")</f>
        <v>20</v>
      </c>
      <c r="P180" s="14" t="b">
        <f t="shared" si="6"/>
        <v>0</v>
      </c>
    </row>
    <row r="181">
      <c r="A181" s="13" t="s">
        <v>1146</v>
      </c>
      <c r="B181" s="9" t="str">
        <f t="shared" si="1"/>
        <v>Лк.</v>
      </c>
      <c r="C181" s="10" t="s">
        <v>1102</v>
      </c>
      <c r="D181" s="11" t="str">
        <f t="shared" si="2"/>
        <v>21</v>
      </c>
      <c r="E181" s="9"/>
      <c r="F181" s="13" t="s">
        <v>1147</v>
      </c>
      <c r="G181" s="14"/>
      <c r="H181" s="22"/>
      <c r="I181" s="16" t="s">
        <v>29</v>
      </c>
      <c r="J181" s="73">
        <v>19.0</v>
      </c>
      <c r="K181" s="54"/>
      <c r="L181" s="55">
        <v>3.0</v>
      </c>
      <c r="M181" s="18">
        <f>IFNA( VLOOKUP(LEFT(F181, IFERROR(FIND(" ", F181, 1),1) - 1), lists!$A$31:$B$37, 2, FALSE),"")</f>
        <v>3</v>
      </c>
      <c r="N181" s="18" t="str">
        <f>IFERROR(__xludf.DUMMYFUNCTION("IFNA(VLOOKUP(IFNA(REGEXEXTRACT(F181, ""(Пасхи|50-ці|посту)""),""""),lists!$A$39:$B$41,2,FALSE),"""")"),"")</f>
        <v/>
      </c>
      <c r="O181" s="19" t="str">
        <f>IFERROR(__xludf.DUMMYFUNCTION("IFNA(REGEXEXTRACT(F181, ""\d{1,2}""),"""")"),"19")</f>
        <v>19</v>
      </c>
      <c r="P181" s="14" t="b">
        <f t="shared" si="6"/>
        <v>0</v>
      </c>
    </row>
    <row r="182">
      <c r="A182" s="13" t="s">
        <v>1148</v>
      </c>
      <c r="B182" s="9" t="str">
        <f t="shared" si="1"/>
        <v>Лк.</v>
      </c>
      <c r="C182" s="10" t="s">
        <v>1102</v>
      </c>
      <c r="D182" s="11" t="str">
        <f t="shared" si="2"/>
        <v>22</v>
      </c>
      <c r="E182" s="9"/>
      <c r="F182" s="13" t="s">
        <v>1149</v>
      </c>
      <c r="G182" s="14"/>
      <c r="H182" s="22"/>
      <c r="I182" s="16" t="s">
        <v>29</v>
      </c>
      <c r="J182" s="73">
        <v>21.0</v>
      </c>
      <c r="K182" s="54"/>
      <c r="L182" s="55">
        <v>6.0</v>
      </c>
      <c r="M182" s="18">
        <f>IFNA( VLOOKUP(LEFT(F182, IFERROR(FIND(" ", F182, 1),1) - 1), lists!$A$31:$B$37, 2, FALSE),"")</f>
        <v>6</v>
      </c>
      <c r="N182" s="18" t="str">
        <f>IFERROR(__xludf.DUMMYFUNCTION("IFNA(VLOOKUP(IFNA(REGEXEXTRACT(F182, ""(Пасхи|50-ці|посту)""),""""),lists!$A$39:$B$41,2,FALSE),"""")"),"")</f>
        <v/>
      </c>
      <c r="O182" s="19" t="str">
        <f>IFERROR(__xludf.DUMMYFUNCTION("IFNA(REGEXEXTRACT(F182, ""\d{1,2}""),"""")"),"21")</f>
        <v>21</v>
      </c>
      <c r="P182" s="14" t="b">
        <f t="shared" si="6"/>
        <v>0</v>
      </c>
    </row>
    <row r="183">
      <c r="A183" s="13" t="s">
        <v>1150</v>
      </c>
      <c r="B183" s="9" t="str">
        <f t="shared" si="1"/>
        <v>Лк.</v>
      </c>
      <c r="C183" s="10" t="s">
        <v>1102</v>
      </c>
      <c r="D183" s="11" t="str">
        <f t="shared" si="2"/>
        <v>23</v>
      </c>
      <c r="E183" s="9"/>
      <c r="F183" s="13" t="s">
        <v>1151</v>
      </c>
      <c r="G183" s="14"/>
      <c r="H183" s="22"/>
      <c r="I183" s="16" t="s">
        <v>29</v>
      </c>
      <c r="J183" s="73">
        <v>19.0</v>
      </c>
      <c r="K183" s="54"/>
      <c r="L183" s="55">
        <v>4.0</v>
      </c>
      <c r="M183" s="18">
        <f>IFNA( VLOOKUP(LEFT(F183, IFERROR(FIND(" ", F183, 1),1) - 1), lists!$A$31:$B$37, 2, FALSE),"")</f>
        <v>4</v>
      </c>
      <c r="N183" s="18" t="str">
        <f>IFERROR(__xludf.DUMMYFUNCTION("IFNA(VLOOKUP(IFNA(REGEXEXTRACT(F183, ""(Пасхи|50-ці|посту)""),""""),lists!$A$39:$B$41,2,FALSE),"""")"),"")</f>
        <v/>
      </c>
      <c r="O183" s="19" t="str">
        <f>IFERROR(__xludf.DUMMYFUNCTION("IFNA(REGEXEXTRACT(F183, ""\d{1,2}""),"""")"),"19")</f>
        <v>19</v>
      </c>
      <c r="P183" s="14" t="b">
        <f t="shared" si="6"/>
        <v>0</v>
      </c>
    </row>
    <row r="184">
      <c r="A184" s="79" t="s">
        <v>1152</v>
      </c>
      <c r="B184" s="9" t="str">
        <f t="shared" si="1"/>
        <v>Лк.</v>
      </c>
      <c r="C184" s="10" t="s">
        <v>1102</v>
      </c>
      <c r="D184" s="11" t="str">
        <f t="shared" si="2"/>
        <v>24</v>
      </c>
      <c r="E184" s="9"/>
      <c r="F184" s="21" t="s">
        <v>1153</v>
      </c>
      <c r="G184" s="36"/>
      <c r="H184" s="15" t="s">
        <v>70</v>
      </c>
      <c r="I184" s="16" t="s">
        <v>29</v>
      </c>
      <c r="J184" s="73">
        <v>19.0</v>
      </c>
      <c r="K184" s="54"/>
      <c r="L184" s="55">
        <v>5.0</v>
      </c>
      <c r="M184" s="18">
        <f>IFNA( VLOOKUP(LEFT(F184, IFERROR(FIND(" ", F184, 1),1) - 1), lists!$A$31:$B$37, 2, FALSE),"")</f>
        <v>5</v>
      </c>
      <c r="N184" s="18" t="str">
        <f>IFERROR(__xludf.DUMMYFUNCTION("IFNA(VLOOKUP(IFNA(REGEXEXTRACT(F184, ""(Пасхи|50-ці|посту)""),""""),lists!$A$39:$B$41,2,FALSE),"""")"),"")</f>
        <v/>
      </c>
      <c r="O184" s="19" t="str">
        <f>IFERROR(__xludf.DUMMYFUNCTION("IFNA(REGEXEXTRACT(F184, ""\d{1,2}""),"""")"),"19")</f>
        <v>19</v>
      </c>
      <c r="P184" s="14" t="b">
        <f t="shared" si="6"/>
        <v>0</v>
      </c>
    </row>
    <row r="185">
      <c r="A185" s="13" t="s">
        <v>1154</v>
      </c>
      <c r="B185" s="9" t="str">
        <f t="shared" si="1"/>
        <v>Лк.</v>
      </c>
      <c r="C185" s="10" t="s">
        <v>1102</v>
      </c>
      <c r="D185" s="11" t="str">
        <f t="shared" si="2"/>
        <v>25</v>
      </c>
      <c r="E185" s="9"/>
      <c r="F185" s="13" t="s">
        <v>1155</v>
      </c>
      <c r="G185" s="14"/>
      <c r="H185" s="22"/>
      <c r="I185" s="16" t="s">
        <v>29</v>
      </c>
      <c r="J185" s="73">
        <v>20.0</v>
      </c>
      <c r="K185" s="54"/>
      <c r="L185" s="55">
        <v>1.0</v>
      </c>
      <c r="M185" s="18">
        <f>IFNA( VLOOKUP(LEFT(F185, IFERROR(FIND(" ", F185, 1),1) - 1), lists!$A$31:$B$37, 2, FALSE),"")</f>
        <v>1</v>
      </c>
      <c r="N185" s="18" t="str">
        <f>IFERROR(__xludf.DUMMYFUNCTION("IFNA(VLOOKUP(IFNA(REGEXEXTRACT(F185, ""(Пасхи|50-ці|посту)""),""""),lists!$A$39:$B$41,2,FALSE),"""")"),"")</f>
        <v/>
      </c>
      <c r="O185" s="19" t="str">
        <f>IFERROR(__xludf.DUMMYFUNCTION("IFNA(REGEXEXTRACT(F185, ""\d{1,2}""),"""")"),"20")</f>
        <v>20</v>
      </c>
      <c r="P185" s="14" t="b">
        <f t="shared" si="6"/>
        <v>0</v>
      </c>
    </row>
    <row r="186">
      <c r="A186" s="13" t="s">
        <v>1156</v>
      </c>
      <c r="B186" s="9" t="str">
        <f t="shared" si="1"/>
        <v>Лк.</v>
      </c>
      <c r="C186" s="10" t="s">
        <v>1102</v>
      </c>
      <c r="D186" s="11" t="str">
        <f t="shared" si="2"/>
        <v>26</v>
      </c>
      <c r="E186" s="9"/>
      <c r="F186" s="13" t="s">
        <v>1157</v>
      </c>
      <c r="G186" s="14"/>
      <c r="H186" s="22"/>
      <c r="I186" s="16" t="s">
        <v>29</v>
      </c>
      <c r="J186" s="73">
        <v>19.0</v>
      </c>
      <c r="K186" s="54"/>
      <c r="L186" s="55">
        <v>7.0</v>
      </c>
      <c r="M186" s="18">
        <f>IFNA( VLOOKUP(LEFT(F186, IFERROR(FIND(" ", F186, 1),1) - 1), lists!$A$31:$B$37, 2, FALSE),"")</f>
        <v>7</v>
      </c>
      <c r="N186" s="18" t="str">
        <f>IFERROR(__xludf.DUMMYFUNCTION("IFNA(VLOOKUP(IFNA(REGEXEXTRACT(F186, ""(Пасхи|50-ці|посту)""),""""),lists!$A$39:$B$41,2,FALSE),"""")"),"")</f>
        <v/>
      </c>
      <c r="O186" s="19" t="str">
        <f>IFERROR(__xludf.DUMMYFUNCTION("IFNA(REGEXEXTRACT(F186, ""\d{1,2}""),"""")"),"19")</f>
        <v>19</v>
      </c>
      <c r="P186" s="14" t="b">
        <f t="shared" si="6"/>
        <v>0</v>
      </c>
    </row>
    <row r="187">
      <c r="A187" s="13" t="s">
        <v>1158</v>
      </c>
      <c r="B187" s="9" t="str">
        <f t="shared" si="1"/>
        <v>Лк.</v>
      </c>
      <c r="C187" s="10" t="s">
        <v>1102</v>
      </c>
      <c r="D187" s="11" t="str">
        <f t="shared" si="2"/>
        <v>27</v>
      </c>
      <c r="E187" s="9"/>
      <c r="F187" s="13" t="s">
        <v>1159</v>
      </c>
      <c r="G187" s="14"/>
      <c r="H187" s="22"/>
      <c r="I187" s="16" t="s">
        <v>29</v>
      </c>
      <c r="J187" s="73">
        <v>20.0</v>
      </c>
      <c r="K187" s="54"/>
      <c r="L187" s="55">
        <v>2.0</v>
      </c>
      <c r="M187" s="18">
        <f>IFNA( VLOOKUP(LEFT(F187, IFERROR(FIND(" ", F187, 1),1) - 1), lists!$A$31:$B$37, 2, FALSE),"")</f>
        <v>2</v>
      </c>
      <c r="N187" s="18" t="str">
        <f>IFERROR(__xludf.DUMMYFUNCTION("IFNA(VLOOKUP(IFNA(REGEXEXTRACT(F187, ""(Пасхи|50-ці|посту)""),""""),lists!$A$39:$B$41,2,FALSE),"""")"),"")</f>
        <v/>
      </c>
      <c r="O187" s="19" t="str">
        <f>IFERROR(__xludf.DUMMYFUNCTION("IFNA(REGEXEXTRACT(F187, ""\d{1,2}""),"""")"),"20")</f>
        <v>20</v>
      </c>
      <c r="P187" s="14" t="b">
        <f t="shared" si="6"/>
        <v>0</v>
      </c>
    </row>
    <row r="188">
      <c r="A188" s="13" t="s">
        <v>1160</v>
      </c>
      <c r="B188" s="9" t="str">
        <f t="shared" si="1"/>
        <v>Лк.</v>
      </c>
      <c r="C188" s="10" t="s">
        <v>1102</v>
      </c>
      <c r="D188" s="11" t="str">
        <f t="shared" si="2"/>
        <v>28</v>
      </c>
      <c r="E188" s="9"/>
      <c r="F188" s="13" t="s">
        <v>1161</v>
      </c>
      <c r="G188" s="14"/>
      <c r="H188" s="22"/>
      <c r="I188" s="16" t="s">
        <v>29</v>
      </c>
      <c r="J188" s="73">
        <v>20.0</v>
      </c>
      <c r="K188" s="54"/>
      <c r="L188" s="55">
        <v>3.0</v>
      </c>
      <c r="M188" s="18">
        <f>IFNA( VLOOKUP(LEFT(F188, IFERROR(FIND(" ", F188, 1),1) - 1), lists!$A$31:$B$37, 2, FALSE),"")</f>
        <v>3</v>
      </c>
      <c r="N188" s="18" t="str">
        <f>IFERROR(__xludf.DUMMYFUNCTION("IFNA(VLOOKUP(IFNA(REGEXEXTRACT(F188, ""(Пасхи|50-ці|посту)""),""""),lists!$A$39:$B$41,2,FALSE),"""")"),"")</f>
        <v/>
      </c>
      <c r="O188" s="19" t="str">
        <f>IFERROR(__xludf.DUMMYFUNCTION("IFNA(REGEXEXTRACT(F188, ""\d{1,2}""),"""")"),"20")</f>
        <v>20</v>
      </c>
      <c r="P188" s="14" t="b">
        <f t="shared" si="6"/>
        <v>0</v>
      </c>
    </row>
    <row r="189">
      <c r="A189" s="13" t="s">
        <v>1162</v>
      </c>
      <c r="B189" s="9" t="str">
        <f t="shared" si="1"/>
        <v>Лк.</v>
      </c>
      <c r="C189" s="10" t="s">
        <v>1102</v>
      </c>
      <c r="D189" s="11" t="str">
        <f t="shared" si="2"/>
        <v>29</v>
      </c>
      <c r="E189" s="9"/>
      <c r="F189" s="13" t="s">
        <v>1163</v>
      </c>
      <c r="G189" s="14"/>
      <c r="H189" s="22"/>
      <c r="I189" s="16" t="s">
        <v>29</v>
      </c>
      <c r="J189" s="73">
        <v>22.0</v>
      </c>
      <c r="K189" s="54"/>
      <c r="L189" s="55">
        <v>6.0</v>
      </c>
      <c r="M189" s="18">
        <f>IFNA( VLOOKUP(LEFT(F189, IFERROR(FIND(" ", F189, 1),1) - 1), lists!$A$31:$B$37, 2, FALSE),"")</f>
        <v>6</v>
      </c>
      <c r="N189" s="18" t="str">
        <f>IFERROR(__xludf.DUMMYFUNCTION("IFNA(VLOOKUP(IFNA(REGEXEXTRACT(F189, ""(Пасхи|50-ці|посту)""),""""),lists!$A$39:$B$41,2,FALSE),"""")"),"")</f>
        <v/>
      </c>
      <c r="O189" s="19" t="str">
        <f>IFERROR(__xludf.DUMMYFUNCTION("IFNA(REGEXEXTRACT(F189, ""\d{1,2}""),"""")"),"22")</f>
        <v>22</v>
      </c>
      <c r="P189" s="14" t="b">
        <f t="shared" si="6"/>
        <v>0</v>
      </c>
    </row>
    <row r="190">
      <c r="A190" s="13" t="s">
        <v>1164</v>
      </c>
      <c r="B190" s="9" t="str">
        <f t="shared" si="1"/>
        <v>Лк.</v>
      </c>
      <c r="C190" s="10" t="s">
        <v>1102</v>
      </c>
      <c r="D190" s="11" t="str">
        <f t="shared" si="2"/>
        <v>30</v>
      </c>
      <c r="E190" s="9"/>
      <c r="F190" s="13" t="s">
        <v>1165</v>
      </c>
      <c r="G190" s="14"/>
      <c r="H190" s="22"/>
      <c r="I190" s="16" t="s">
        <v>29</v>
      </c>
      <c r="J190" s="73">
        <v>20.0</v>
      </c>
      <c r="K190" s="54"/>
      <c r="L190" s="55">
        <v>7.0</v>
      </c>
      <c r="M190" s="18">
        <f>IFNA( VLOOKUP(LEFT(F190, IFERROR(FIND(" ", F190, 1),1) - 1), lists!$A$31:$B$37, 2, FALSE),"")</f>
        <v>7</v>
      </c>
      <c r="N190" s="18" t="str">
        <f>IFERROR(__xludf.DUMMYFUNCTION("IFNA(VLOOKUP(IFNA(REGEXEXTRACT(F190, ""(Пасхи|50-ці|посту)""),""""),lists!$A$39:$B$41,2,FALSE),"""")"),"")</f>
        <v/>
      </c>
      <c r="O190" s="19" t="str">
        <f>IFERROR(__xludf.DUMMYFUNCTION("IFNA(REGEXEXTRACT(F190, ""\d{1,2}""),"""")"),"20")</f>
        <v>20</v>
      </c>
      <c r="P190" s="14" t="b">
        <f t="shared" si="6"/>
        <v>0</v>
      </c>
    </row>
    <row r="191">
      <c r="A191" s="13" t="s">
        <v>1166</v>
      </c>
      <c r="B191" s="9" t="str">
        <f t="shared" si="1"/>
        <v>Лк.</v>
      </c>
      <c r="C191" s="10" t="s">
        <v>1102</v>
      </c>
      <c r="D191" s="11" t="str">
        <f t="shared" si="2"/>
        <v>31</v>
      </c>
      <c r="E191" s="9"/>
      <c r="F191" s="13" t="s">
        <v>1167</v>
      </c>
      <c r="G191" s="36"/>
      <c r="H191" s="15" t="s">
        <v>70</v>
      </c>
      <c r="I191" s="16" t="s">
        <v>29</v>
      </c>
      <c r="J191" s="73">
        <v>20.0</v>
      </c>
      <c r="K191" s="54"/>
      <c r="L191" s="55">
        <v>4.0</v>
      </c>
      <c r="M191" s="18">
        <f>IFNA( VLOOKUP(LEFT(F191, IFERROR(FIND(" ", F191, 1),1) - 1), lists!$A$31:$B$37, 2, FALSE),"")</f>
        <v>4</v>
      </c>
      <c r="N191" s="18" t="str">
        <f>IFERROR(__xludf.DUMMYFUNCTION("IFNA(VLOOKUP(IFNA(REGEXEXTRACT(F191, ""(Пасхи|50-ці|посту)""),""""),lists!$A$39:$B$41,2,FALSE),"""")"),"")</f>
        <v/>
      </c>
      <c r="O191" s="19" t="str">
        <f>IFERROR(__xludf.DUMMYFUNCTION("IFNA(REGEXEXTRACT(F191, ""\d{1,2}""),"""")"),"20")</f>
        <v>20</v>
      </c>
      <c r="P191" s="14" t="b">
        <f t="shared" si="6"/>
        <v>0</v>
      </c>
    </row>
    <row r="192">
      <c r="A192" s="13" t="s">
        <v>1168</v>
      </c>
      <c r="B192" s="9" t="str">
        <f t="shared" si="1"/>
        <v>Лк.</v>
      </c>
      <c r="C192" s="10" t="s">
        <v>1102</v>
      </c>
      <c r="D192" s="11" t="str">
        <f t="shared" si="2"/>
        <v>32</v>
      </c>
      <c r="E192" s="9"/>
      <c r="F192" s="13" t="s">
        <v>1169</v>
      </c>
      <c r="G192" s="14"/>
      <c r="H192" s="22"/>
      <c r="I192" s="16" t="s">
        <v>29</v>
      </c>
      <c r="J192" s="73">
        <v>20.0</v>
      </c>
      <c r="K192" s="54"/>
      <c r="L192" s="55">
        <v>5.0</v>
      </c>
      <c r="M192" s="18">
        <f>IFNA( VLOOKUP(LEFT(F192, IFERROR(FIND(" ", F192, 1),1) - 1), lists!$A$31:$B$37, 2, FALSE),"")</f>
        <v>5</v>
      </c>
      <c r="N192" s="18" t="str">
        <f>IFERROR(__xludf.DUMMYFUNCTION("IFNA(VLOOKUP(IFNA(REGEXEXTRACT(F192, ""(Пасхи|50-ці|посту)""),""""),lists!$A$39:$B$41,2,FALSE),"""")"),"")</f>
        <v/>
      </c>
      <c r="O192" s="19" t="str">
        <f>IFERROR(__xludf.DUMMYFUNCTION("IFNA(REGEXEXTRACT(F192, ""\d{1,2}""),"""")"),"20")</f>
        <v>20</v>
      </c>
      <c r="P192" s="14" t="b">
        <f t="shared" si="6"/>
        <v>0</v>
      </c>
    </row>
    <row r="193">
      <c r="A193" s="13" t="s">
        <v>1170</v>
      </c>
      <c r="B193" s="9" t="str">
        <f t="shared" si="1"/>
        <v>Лк.</v>
      </c>
      <c r="C193" s="10" t="s">
        <v>1102</v>
      </c>
      <c r="D193" s="11" t="str">
        <f t="shared" si="2"/>
        <v>33</v>
      </c>
      <c r="E193" s="9"/>
      <c r="F193" s="13" t="s">
        <v>1171</v>
      </c>
      <c r="G193" s="36"/>
      <c r="H193" s="15" t="s">
        <v>70</v>
      </c>
      <c r="I193" s="16" t="s">
        <v>29</v>
      </c>
      <c r="J193" s="73">
        <v>21.0</v>
      </c>
      <c r="K193" s="54"/>
      <c r="L193" s="55">
        <v>1.0</v>
      </c>
      <c r="M193" s="18">
        <f>IFNA( VLOOKUP(LEFT(F193, IFERROR(FIND(" ", F193, 1),1) - 1), lists!$A$31:$B$37, 2, FALSE),"")</f>
        <v>1</v>
      </c>
      <c r="N193" s="18" t="str">
        <f>IFERROR(__xludf.DUMMYFUNCTION("IFNA(VLOOKUP(IFNA(REGEXEXTRACT(F193, ""(Пасхи|50-ці|посту)""),""""),lists!$A$39:$B$41,2,FALSE),"""")"),"")</f>
        <v/>
      </c>
      <c r="O193" s="19" t="str">
        <f>IFERROR(__xludf.DUMMYFUNCTION("IFNA(REGEXEXTRACT(F193, ""\d{1,2}""),"""")"),"21")</f>
        <v>21</v>
      </c>
      <c r="P193" s="14" t="b">
        <f t="shared" si="6"/>
        <v>0</v>
      </c>
    </row>
    <row r="194">
      <c r="A194" s="13" t="s">
        <v>1172</v>
      </c>
      <c r="B194" s="9" t="str">
        <f t="shared" si="1"/>
        <v>Лк.</v>
      </c>
      <c r="C194" s="10" t="s">
        <v>1102</v>
      </c>
      <c r="D194" s="11" t="str">
        <f t="shared" si="2"/>
        <v>34</v>
      </c>
      <c r="E194" s="9"/>
      <c r="F194" s="13" t="s">
        <v>1173</v>
      </c>
      <c r="G194" s="14"/>
      <c r="H194" s="22"/>
      <c r="I194" s="16" t="s">
        <v>29</v>
      </c>
      <c r="J194" s="73">
        <v>21.0</v>
      </c>
      <c r="K194" s="54"/>
      <c r="L194" s="55">
        <v>2.0</v>
      </c>
      <c r="M194" s="18">
        <f>IFNA( VLOOKUP(LEFT(F194, IFERROR(FIND(" ", F194, 1),1) - 1), lists!$A$31:$B$37, 2, FALSE),"")</f>
        <v>2</v>
      </c>
      <c r="N194" s="18" t="str">
        <f>IFERROR(__xludf.DUMMYFUNCTION("IFNA(VLOOKUP(IFNA(REGEXEXTRACT(F194, ""(Пасхи|50-ці|посту)""),""""),lists!$A$39:$B$41,2,FALSE),"""")"),"")</f>
        <v/>
      </c>
      <c r="O194" s="19" t="str">
        <f>IFERROR(__xludf.DUMMYFUNCTION("IFNA(REGEXEXTRACT(F194, ""\d{1,2}""),"""")"),"21")</f>
        <v>21</v>
      </c>
      <c r="P194" s="14" t="b">
        <f t="shared" si="6"/>
        <v>0</v>
      </c>
    </row>
    <row r="195">
      <c r="A195" s="13" t="s">
        <v>1174</v>
      </c>
      <c r="B195" s="9" t="str">
        <f t="shared" si="1"/>
        <v>Лк.</v>
      </c>
      <c r="C195" s="10" t="s">
        <v>1102</v>
      </c>
      <c r="D195" s="11" t="str">
        <f t="shared" si="2"/>
        <v>35</v>
      </c>
      <c r="E195" s="9"/>
      <c r="F195" s="13" t="s">
        <v>1175</v>
      </c>
      <c r="G195" s="14"/>
      <c r="H195" s="22"/>
      <c r="I195" s="16" t="s">
        <v>29</v>
      </c>
      <c r="J195" s="73">
        <v>21.0</v>
      </c>
      <c r="K195" s="55"/>
      <c r="L195" s="55">
        <v>7.0</v>
      </c>
      <c r="M195" s="18">
        <f>IFNA( VLOOKUP(LEFT(F195, IFERROR(FIND(" ", F195, 1),1) - 1), lists!$A$31:$B$37, 2, FALSE),"")</f>
        <v>7</v>
      </c>
      <c r="N195" s="18" t="str">
        <f>IFERROR(__xludf.DUMMYFUNCTION("IFNA(VLOOKUP(IFNA(REGEXEXTRACT(F195, ""(Пасхи|50-ці|посту)""),""""),lists!$A$39:$B$41,2,FALSE),"""")"),"")</f>
        <v/>
      </c>
      <c r="O195" s="19" t="str">
        <f>IFERROR(__xludf.DUMMYFUNCTION("IFNA(REGEXEXTRACT(F195, ""\d{1,2}""),"""")"),"21")</f>
        <v>21</v>
      </c>
      <c r="P195" s="14" t="b">
        <f t="shared" si="6"/>
        <v>0</v>
      </c>
    </row>
    <row r="196">
      <c r="A196" s="13" t="s">
        <v>1176</v>
      </c>
      <c r="B196" s="9" t="str">
        <f t="shared" si="1"/>
        <v>Лк.</v>
      </c>
      <c r="C196" s="10" t="s">
        <v>1102</v>
      </c>
      <c r="D196" s="11" t="str">
        <f t="shared" si="2"/>
        <v>36</v>
      </c>
      <c r="E196" s="9"/>
      <c r="F196" s="13" t="s">
        <v>1177</v>
      </c>
      <c r="G196" s="36"/>
      <c r="H196" s="15" t="s">
        <v>70</v>
      </c>
      <c r="I196" s="16" t="s">
        <v>29</v>
      </c>
      <c r="J196" s="73">
        <v>23.0</v>
      </c>
      <c r="K196" s="54"/>
      <c r="L196" s="55">
        <v>6.0</v>
      </c>
      <c r="M196" s="18">
        <f>IFNA( VLOOKUP(LEFT(F196, IFERROR(FIND(" ", F196, 1),1) - 1), lists!$A$31:$B$37, 2, FALSE),"")</f>
        <v>6</v>
      </c>
      <c r="N196" s="18" t="str">
        <f>IFERROR(__xludf.DUMMYFUNCTION("IFNA(VLOOKUP(IFNA(REGEXEXTRACT(F196, ""(Пасхи|50-ці|посту)""),""""),lists!$A$39:$B$41,2,FALSE),"""")"),"")</f>
        <v/>
      </c>
      <c r="O196" s="19" t="str">
        <f>IFERROR(__xludf.DUMMYFUNCTION("IFNA(REGEXEXTRACT(F196, ""\d{1,2}""),"""")"),"23")</f>
        <v>23</v>
      </c>
      <c r="P196" s="14" t="b">
        <f t="shared" si="6"/>
        <v>0</v>
      </c>
    </row>
    <row r="197">
      <c r="A197" s="13" t="s">
        <v>1178</v>
      </c>
      <c r="B197" s="9" t="str">
        <f t="shared" si="1"/>
        <v>Лк.</v>
      </c>
      <c r="C197" s="10" t="s">
        <v>1102</v>
      </c>
      <c r="D197" s="11" t="str">
        <f t="shared" si="2"/>
        <v>37</v>
      </c>
      <c r="E197" s="9"/>
      <c r="F197" s="13" t="s">
        <v>1179</v>
      </c>
      <c r="G197" s="14"/>
      <c r="H197" s="22"/>
      <c r="I197" s="16" t="s">
        <v>29</v>
      </c>
      <c r="J197" s="73">
        <v>21.0</v>
      </c>
      <c r="K197" s="54"/>
      <c r="L197" s="55">
        <v>3.0</v>
      </c>
      <c r="M197" s="18">
        <f>IFNA( VLOOKUP(LEFT(F197, IFERROR(FIND(" ", F197, 1),1) - 1), lists!$A$31:$B$37, 2, FALSE),"")</f>
        <v>3</v>
      </c>
      <c r="N197" s="18" t="str">
        <f>IFERROR(__xludf.DUMMYFUNCTION("IFNA(VLOOKUP(IFNA(REGEXEXTRACT(F197, ""(Пасхи|50-ці|посту)""),""""),lists!$A$39:$B$41,2,FALSE),"""")"),"")</f>
        <v/>
      </c>
      <c r="O197" s="19" t="str">
        <f>IFERROR(__xludf.DUMMYFUNCTION("IFNA(REGEXEXTRACT(F197, ""\d{1,2}""),"""")"),"21")</f>
        <v>21</v>
      </c>
      <c r="P197" s="14" t="b">
        <f t="shared" si="6"/>
        <v>0</v>
      </c>
    </row>
    <row r="198">
      <c r="A198" s="13" t="s">
        <v>1180</v>
      </c>
      <c r="B198" s="9" t="str">
        <f t="shared" si="1"/>
        <v>Лк.</v>
      </c>
      <c r="C198" s="10" t="s">
        <v>1102</v>
      </c>
      <c r="D198" s="11" t="str">
        <f t="shared" si="2"/>
        <v>38</v>
      </c>
      <c r="E198" s="9"/>
      <c r="F198" s="13" t="s">
        <v>1181</v>
      </c>
      <c r="G198" s="14"/>
      <c r="H198" s="22"/>
      <c r="I198" s="16" t="s">
        <v>29</v>
      </c>
      <c r="J198" s="73">
        <v>23.0</v>
      </c>
      <c r="K198" s="54"/>
      <c r="L198" s="55">
        <v>7.0</v>
      </c>
      <c r="M198" s="18">
        <f>IFNA( VLOOKUP(LEFT(F198, IFERROR(FIND(" ", F198, 1),1) - 1), lists!$A$31:$B$37, 2, FALSE),"")</f>
        <v>7</v>
      </c>
      <c r="N198" s="18" t="str">
        <f>IFERROR(__xludf.DUMMYFUNCTION("IFNA(VLOOKUP(IFNA(REGEXEXTRACT(F198, ""(Пасхи|50-ці|посту)""),""""),lists!$A$39:$B$41,2,FALSE),"""")"),"")</f>
        <v/>
      </c>
      <c r="O198" s="19" t="str">
        <f>IFERROR(__xludf.DUMMYFUNCTION("IFNA(REGEXEXTRACT(F198, ""\d{1,2}""),"""")"),"23")</f>
        <v>23</v>
      </c>
      <c r="P198" s="14" t="b">
        <f t="shared" si="6"/>
        <v>0</v>
      </c>
    </row>
    <row r="199">
      <c r="A199" s="13" t="s">
        <v>1182</v>
      </c>
      <c r="B199" s="9" t="str">
        <f t="shared" si="1"/>
        <v>Лк.</v>
      </c>
      <c r="C199" s="10" t="s">
        <v>1102</v>
      </c>
      <c r="D199" s="11" t="str">
        <f t="shared" si="2"/>
        <v>39</v>
      </c>
      <c r="E199" s="9"/>
      <c r="F199" s="13" t="s">
        <v>1183</v>
      </c>
      <c r="G199" s="14"/>
      <c r="H199" s="22"/>
      <c r="I199" s="16" t="s">
        <v>29</v>
      </c>
      <c r="J199" s="73">
        <v>24.0</v>
      </c>
      <c r="K199" s="54"/>
      <c r="L199" s="55">
        <v>7.0</v>
      </c>
      <c r="M199" s="18">
        <f>IFNA( VLOOKUP(LEFT(F199, IFERROR(FIND(" ", F199, 1),1) - 1), lists!$A$31:$B$37, 2, FALSE),"")</f>
        <v>7</v>
      </c>
      <c r="N199" s="18" t="str">
        <f>IFERROR(__xludf.DUMMYFUNCTION("IFNA(VLOOKUP(IFNA(REGEXEXTRACT(F199, ""(Пасхи|50-ці|посту)""),""""),lists!$A$39:$B$41,2,FALSE),"""")"),"")</f>
        <v/>
      </c>
      <c r="O199" s="19" t="str">
        <f>IFERROR(__xludf.DUMMYFUNCTION("IFNA(REGEXEXTRACT(F199, ""\d{1,2}""),"""")"),"24")</f>
        <v>24</v>
      </c>
      <c r="P199" s="14" t="b">
        <f t="shared" si="6"/>
        <v>0</v>
      </c>
    </row>
    <row r="200">
      <c r="A200" s="13" t="s">
        <v>1184</v>
      </c>
      <c r="B200" s="9" t="str">
        <f t="shared" si="1"/>
        <v>Лк.</v>
      </c>
      <c r="C200" s="10" t="s">
        <v>1102</v>
      </c>
      <c r="D200" s="11" t="str">
        <f t="shared" si="2"/>
        <v>40</v>
      </c>
      <c r="E200" s="9"/>
      <c r="F200" s="21" t="s">
        <v>1185</v>
      </c>
      <c r="G200" s="14"/>
      <c r="H200" s="22"/>
      <c r="I200" s="16" t="s">
        <v>29</v>
      </c>
      <c r="J200" s="73">
        <v>24.0</v>
      </c>
      <c r="K200" s="54"/>
      <c r="L200" s="55">
        <v>6.0</v>
      </c>
      <c r="M200" s="18">
        <f>IFNA( VLOOKUP(LEFT(F200, IFERROR(FIND(" ", F200, 1),1) - 1), lists!$A$31:$B$37, 2, FALSE),"")</f>
        <v>6</v>
      </c>
      <c r="N200" s="18" t="str">
        <f>IFERROR(__xludf.DUMMYFUNCTION("IFNA(VLOOKUP(IFNA(REGEXEXTRACT(F200, ""(Пасхи|50-ці|посту)""),""""),lists!$A$39:$B$41,2,FALSE),"""")"),"")</f>
        <v/>
      </c>
      <c r="O200" s="19" t="str">
        <f>IFERROR(__xludf.DUMMYFUNCTION("IFNA(REGEXEXTRACT(F200, ""\d{1,2}""),"""")"),"24")</f>
        <v>24</v>
      </c>
      <c r="P200" s="14" t="b">
        <f t="shared" si="6"/>
        <v>0</v>
      </c>
    </row>
    <row r="201">
      <c r="A201" s="13" t="s">
        <v>1186</v>
      </c>
      <c r="B201" s="9" t="str">
        <f t="shared" si="1"/>
        <v>Лк.</v>
      </c>
      <c r="C201" s="10" t="s">
        <v>1102</v>
      </c>
      <c r="D201" s="11" t="str">
        <f t="shared" si="2"/>
        <v>41</v>
      </c>
      <c r="E201" s="9"/>
      <c r="F201" s="13" t="s">
        <v>1187</v>
      </c>
      <c r="G201" s="14"/>
      <c r="H201" s="22"/>
      <c r="I201" s="16" t="s">
        <v>29</v>
      </c>
      <c r="J201" s="73">
        <v>21.0</v>
      </c>
      <c r="K201" s="54"/>
      <c r="L201" s="55">
        <v>4.0</v>
      </c>
      <c r="M201" s="18">
        <f>IFNA( VLOOKUP(LEFT(F201, IFERROR(FIND(" ", F201, 1),1) - 1), lists!$A$31:$B$37, 2, FALSE),"")</f>
        <v>4</v>
      </c>
      <c r="N201" s="18" t="str">
        <f>IFERROR(__xludf.DUMMYFUNCTION("IFNA(VLOOKUP(IFNA(REGEXEXTRACT(F201, ""(Пасхи|50-ці|посту)""),""""),lists!$A$39:$B$41,2,FALSE),"""")"),"")</f>
        <v/>
      </c>
      <c r="O201" s="19" t="str">
        <f>IFERROR(__xludf.DUMMYFUNCTION("IFNA(REGEXEXTRACT(F201, ""\d{1,2}""),"""")"),"21")</f>
        <v>21</v>
      </c>
      <c r="P201" s="14" t="b">
        <f t="shared" si="6"/>
        <v>0</v>
      </c>
    </row>
    <row r="202">
      <c r="A202" s="13" t="s">
        <v>1188</v>
      </c>
      <c r="B202" s="9" t="str">
        <f t="shared" si="1"/>
        <v>Лк.</v>
      </c>
      <c r="C202" s="10" t="s">
        <v>1102</v>
      </c>
      <c r="D202" s="11" t="str">
        <f t="shared" si="2"/>
        <v>42</v>
      </c>
      <c r="E202" s="9"/>
      <c r="F202" s="13" t="s">
        <v>1189</v>
      </c>
      <c r="G202" s="14"/>
      <c r="H202" s="22"/>
      <c r="I202" s="16" t="s">
        <v>29</v>
      </c>
      <c r="J202" s="73">
        <v>21.0</v>
      </c>
      <c r="K202" s="54"/>
      <c r="L202" s="55">
        <v>5.0</v>
      </c>
      <c r="M202" s="18">
        <f>IFNA( VLOOKUP(LEFT(F202, IFERROR(FIND(" ", F202, 1),1) - 1), lists!$A$31:$B$37, 2, FALSE),"")</f>
        <v>5</v>
      </c>
      <c r="N202" s="18" t="str">
        <f>IFERROR(__xludf.DUMMYFUNCTION("IFNA(VLOOKUP(IFNA(REGEXEXTRACT(F202, ""(Пасхи|50-ці|посту)""),""""),lists!$A$39:$B$41,2,FALSE),"""")"),"")</f>
        <v/>
      </c>
      <c r="O202" s="19" t="str">
        <f>IFERROR(__xludf.DUMMYFUNCTION("IFNA(REGEXEXTRACT(F202, ""\d{1,2}""),"""")"),"21")</f>
        <v>21</v>
      </c>
      <c r="P202" s="14" t="b">
        <f t="shared" si="6"/>
        <v>0</v>
      </c>
    </row>
    <row r="203">
      <c r="A203" s="13" t="s">
        <v>1190</v>
      </c>
      <c r="B203" s="9" t="str">
        <f t="shared" si="1"/>
        <v>Лк.</v>
      </c>
      <c r="C203" s="10" t="s">
        <v>1102</v>
      </c>
      <c r="D203" s="11" t="str">
        <f t="shared" si="2"/>
        <v>43</v>
      </c>
      <c r="E203" s="9"/>
      <c r="F203" s="13" t="s">
        <v>1191</v>
      </c>
      <c r="G203" s="14"/>
      <c r="H203" s="22"/>
      <c r="I203" s="16" t="s">
        <v>29</v>
      </c>
      <c r="J203" s="73">
        <v>22.0</v>
      </c>
      <c r="K203" s="54"/>
      <c r="L203" s="55">
        <v>1.0</v>
      </c>
      <c r="M203" s="18">
        <f>IFNA( VLOOKUP(LEFT(F203, IFERROR(FIND(" ", F203, 1),1) - 1), lists!$A$31:$B$37, 2, FALSE),"")</f>
        <v>1</v>
      </c>
      <c r="N203" s="18" t="str">
        <f>IFERROR(__xludf.DUMMYFUNCTION("IFNA(VLOOKUP(IFNA(REGEXEXTRACT(F203, ""(Пасхи|50-ці|посту)""),""""),lists!$A$39:$B$41,2,FALSE),"""")"),"")</f>
        <v/>
      </c>
      <c r="O203" s="19" t="str">
        <f>IFERROR(__xludf.DUMMYFUNCTION("IFNA(REGEXEXTRACT(F203, ""\d{1,2}""),"""")"),"22")</f>
        <v>22</v>
      </c>
      <c r="P203" s="14" t="b">
        <f t="shared" si="6"/>
        <v>0</v>
      </c>
    </row>
    <row r="204">
      <c r="A204" s="13" t="s">
        <v>1192</v>
      </c>
      <c r="B204" s="9" t="str">
        <f t="shared" si="1"/>
        <v>Лк.</v>
      </c>
      <c r="C204" s="10" t="s">
        <v>1102</v>
      </c>
      <c r="D204" s="11" t="str">
        <f t="shared" si="2"/>
        <v>44</v>
      </c>
      <c r="E204" s="9"/>
      <c r="F204" s="13" t="s">
        <v>1193</v>
      </c>
      <c r="G204" s="14"/>
      <c r="H204" s="22"/>
      <c r="I204" s="16" t="s">
        <v>29</v>
      </c>
      <c r="J204" s="73">
        <v>22.0</v>
      </c>
      <c r="K204" s="54"/>
      <c r="L204" s="55">
        <v>2.0</v>
      </c>
      <c r="M204" s="18">
        <f>IFNA( VLOOKUP(LEFT(F204, IFERROR(FIND(" ", F204, 1),1) - 1), lists!$A$31:$B$37, 2, FALSE),"")</f>
        <v>2</v>
      </c>
      <c r="N204" s="18" t="str">
        <f>IFERROR(__xludf.DUMMYFUNCTION("IFNA(VLOOKUP(IFNA(REGEXEXTRACT(F204, ""(Пасхи|50-ці|посту)""),""""),lists!$A$39:$B$41,2,FALSE),"""")"),"")</f>
        <v/>
      </c>
      <c r="O204" s="19" t="str">
        <f>IFERROR(__xludf.DUMMYFUNCTION("IFNA(REGEXEXTRACT(F204, ""\d{1,2}""),"""")"),"22")</f>
        <v>22</v>
      </c>
      <c r="P204" s="14" t="b">
        <f t="shared" si="6"/>
        <v>0</v>
      </c>
    </row>
    <row r="205">
      <c r="A205" s="13" t="s">
        <v>1194</v>
      </c>
      <c r="B205" s="9" t="str">
        <f t="shared" si="1"/>
        <v>Лк.</v>
      </c>
      <c r="C205" s="10" t="s">
        <v>1102</v>
      </c>
      <c r="D205" s="11" t="str">
        <f t="shared" si="2"/>
        <v>45</v>
      </c>
      <c r="E205" s="9"/>
      <c r="F205" s="13" t="s">
        <v>1195</v>
      </c>
      <c r="G205" s="9" t="s">
        <v>1196</v>
      </c>
      <c r="H205" s="15" t="s">
        <v>70</v>
      </c>
      <c r="I205" s="16" t="s">
        <v>71</v>
      </c>
      <c r="J205" s="73" t="s">
        <v>71</v>
      </c>
      <c r="K205" s="54"/>
      <c r="L205" s="55" t="s">
        <v>71</v>
      </c>
      <c r="M205" s="18" t="str">
        <f>IFNA( VLOOKUP(LEFT(F205, IFERROR(FIND(" ", F205, 1),1) - 1), lists!$A$31:$B$37, 2, FALSE),"")</f>
        <v/>
      </c>
      <c r="N205" s="18" t="str">
        <f>IFERROR(__xludf.DUMMYFUNCTION("IFNA(VLOOKUP(IFNA(REGEXEXTRACT(F205, ""(Пасхи|50-ці|посту)""),""""),lists!$A$39:$B$41,2,FALSE),"""")"),"")</f>
        <v/>
      </c>
      <c r="O205" s="19" t="str">
        <f>IFERROR(__xludf.DUMMYFUNCTION("IFNA(REGEXEXTRACT(F205, ""\d{1,2}""),"""")"),"")</f>
        <v/>
      </c>
      <c r="P205" s="14" t="b">
        <f t="shared" si="6"/>
        <v>0</v>
      </c>
    </row>
    <row r="206">
      <c r="A206" s="13" t="s">
        <v>1197</v>
      </c>
      <c r="B206" s="9" t="str">
        <f t="shared" si="1"/>
        <v>Лк.</v>
      </c>
      <c r="C206" s="10" t="s">
        <v>1102</v>
      </c>
      <c r="D206" s="11" t="str">
        <f t="shared" si="2"/>
        <v>46</v>
      </c>
      <c r="E206" s="9"/>
      <c r="F206" s="13" t="s">
        <v>1198</v>
      </c>
      <c r="G206" s="14"/>
      <c r="H206" s="22"/>
      <c r="I206" s="16" t="s">
        <v>29</v>
      </c>
      <c r="J206" s="73">
        <v>25.0</v>
      </c>
      <c r="K206" s="54"/>
      <c r="L206" s="55">
        <v>6.0</v>
      </c>
      <c r="M206" s="18">
        <f>IFNA( VLOOKUP(LEFT(F206, IFERROR(FIND(" ", F206, 1),1) - 1), lists!$A$31:$B$37, 2, FALSE),"")</f>
        <v>6</v>
      </c>
      <c r="N206" s="18" t="str">
        <f>IFERROR(__xludf.DUMMYFUNCTION("IFNA(VLOOKUP(IFNA(REGEXEXTRACT(F206, ""(Пасхи|50-ці|посту)""),""""),lists!$A$39:$B$41,2,FALSE),"""")"),"")</f>
        <v/>
      </c>
      <c r="O206" s="19" t="str">
        <f>IFERROR(__xludf.DUMMYFUNCTION("IFNA(REGEXEXTRACT(F206, ""\d{1,2}""),"""")"),"25")</f>
        <v>25</v>
      </c>
      <c r="P206" s="14" t="b">
        <f t="shared" si="6"/>
        <v>0</v>
      </c>
    </row>
    <row r="207">
      <c r="A207" s="13" t="s">
        <v>1199</v>
      </c>
      <c r="B207" s="9" t="str">
        <f t="shared" si="1"/>
        <v>Лк.</v>
      </c>
      <c r="C207" s="10" t="s">
        <v>1102</v>
      </c>
      <c r="D207" s="11" t="str">
        <f t="shared" si="2"/>
        <v>47</v>
      </c>
      <c r="E207" s="9"/>
      <c r="F207" s="13" t="s">
        <v>1200</v>
      </c>
      <c r="G207" s="14"/>
      <c r="H207" s="22"/>
      <c r="I207" s="16" t="s">
        <v>29</v>
      </c>
      <c r="J207" s="73">
        <v>22.0</v>
      </c>
      <c r="K207" s="54"/>
      <c r="L207" s="55">
        <v>3.0</v>
      </c>
      <c r="M207" s="18">
        <f>IFNA( VLOOKUP(LEFT(F207, IFERROR(FIND(" ", F207, 1),1) - 1), lists!$A$31:$B$37, 2, FALSE),"")</f>
        <v>3</v>
      </c>
      <c r="N207" s="18" t="str">
        <f>IFERROR(__xludf.DUMMYFUNCTION("IFNA(VLOOKUP(IFNA(REGEXEXTRACT(F207, ""(Пасхи|50-ці|посту)""),""""),lists!$A$39:$B$41,2,FALSE),"""")"),"")</f>
        <v/>
      </c>
      <c r="O207" s="19" t="str">
        <f>IFERROR(__xludf.DUMMYFUNCTION("IFNA(REGEXEXTRACT(F207, ""\d{1,2}""),"""")"),"22")</f>
        <v>22</v>
      </c>
      <c r="P207" s="14" t="b">
        <f t="shared" si="6"/>
        <v>0</v>
      </c>
    </row>
    <row r="208">
      <c r="A208" s="13" t="s">
        <v>1201</v>
      </c>
      <c r="B208" s="9" t="str">
        <f t="shared" si="1"/>
        <v>Лк.</v>
      </c>
      <c r="C208" s="10" t="s">
        <v>1102</v>
      </c>
      <c r="D208" s="11" t="str">
        <f t="shared" si="2"/>
        <v>48</v>
      </c>
      <c r="E208" s="12" t="s">
        <v>18</v>
      </c>
      <c r="F208" s="13" t="s">
        <v>1202</v>
      </c>
      <c r="G208" s="14"/>
      <c r="H208" s="22"/>
      <c r="I208" s="16" t="s">
        <v>29</v>
      </c>
      <c r="J208" s="73">
        <v>22.0</v>
      </c>
      <c r="K208" s="54"/>
      <c r="L208" s="55">
        <v>4.0</v>
      </c>
      <c r="M208" s="18">
        <f>IFNA( VLOOKUP(LEFT(F208, IFERROR(FIND(" ", F208, 1),1) - 1), lists!$A$31:$B$37, 2, FALSE),"")</f>
        <v>4</v>
      </c>
      <c r="N208" s="18" t="str">
        <f>IFERROR(__xludf.DUMMYFUNCTION("IFNA(VLOOKUP(IFNA(REGEXEXTRACT(F208, ""(Пасхи|50-ці|посту)""),""""),lists!$A$39:$B$41,2,FALSE),"""")"),"")</f>
        <v/>
      </c>
      <c r="O208" s="19" t="str">
        <f>IFERROR(__xludf.DUMMYFUNCTION("IFNA(REGEXEXTRACT(F208, ""\d{1,2}""),"""")"),"22")</f>
        <v>22</v>
      </c>
      <c r="P208" s="14" t="b">
        <f t="shared" si="6"/>
        <v>0</v>
      </c>
    </row>
    <row r="209">
      <c r="A209" s="13" t="s">
        <v>1203</v>
      </c>
      <c r="B209" s="9" t="str">
        <f t="shared" si="1"/>
        <v>Лк.</v>
      </c>
      <c r="C209" s="10" t="s">
        <v>1102</v>
      </c>
      <c r="D209" s="11" t="str">
        <f t="shared" si="2"/>
        <v>48</v>
      </c>
      <c r="E209" s="12" t="s">
        <v>22</v>
      </c>
      <c r="F209" s="13" t="s">
        <v>1204</v>
      </c>
      <c r="G209" s="14"/>
      <c r="H209" s="15" t="s">
        <v>70</v>
      </c>
      <c r="I209" s="16" t="s">
        <v>71</v>
      </c>
      <c r="J209" s="73" t="s">
        <v>71</v>
      </c>
      <c r="K209" s="54"/>
      <c r="L209" s="55" t="s">
        <v>71</v>
      </c>
      <c r="M209" s="18" t="str">
        <f>IFNA( VLOOKUP(LEFT(F209, IFERROR(FIND(" ", F209, 1),1) - 1), lists!$A$31:$B$37, 2, FALSE),"")</f>
        <v/>
      </c>
      <c r="N209" s="18" t="str">
        <f>IFERROR(__xludf.DUMMYFUNCTION("IFNA(VLOOKUP(IFNA(REGEXEXTRACT(F209, ""(Пасхи|50-ці|посту)""),""""),lists!$A$39:$B$41,2,FALSE),"""")"),"")</f>
        <v/>
      </c>
      <c r="O209" s="19" t="str">
        <f>IFERROR(__xludf.DUMMYFUNCTION("IFNA(REGEXEXTRACT(F209, ""\d{1,2}""),"""")"),"")</f>
        <v/>
      </c>
      <c r="P209" s="14" t="b">
        <f t="shared" si="6"/>
        <v>0</v>
      </c>
    </row>
    <row r="210">
      <c r="A210" s="13" t="s">
        <v>1205</v>
      </c>
      <c r="B210" s="9" t="str">
        <f t="shared" si="1"/>
        <v>Лк.</v>
      </c>
      <c r="C210" s="10" t="s">
        <v>1102</v>
      </c>
      <c r="D210" s="11" t="str">
        <f t="shared" si="2"/>
        <v>49</v>
      </c>
      <c r="E210" s="9"/>
      <c r="F210" s="13" t="s">
        <v>1206</v>
      </c>
      <c r="G210" s="14"/>
      <c r="H210" s="22"/>
      <c r="I210" s="16" t="s">
        <v>29</v>
      </c>
      <c r="J210" s="73">
        <v>26.0</v>
      </c>
      <c r="K210" s="54"/>
      <c r="L210" s="55">
        <v>6.0</v>
      </c>
      <c r="M210" s="18">
        <f>IFNA( VLOOKUP(LEFT(F210, IFERROR(FIND(" ", F210, 1),1) - 1), lists!$A$31:$B$37, 2, FALSE),"")</f>
        <v>6</v>
      </c>
      <c r="N210" s="18" t="str">
        <f>IFERROR(__xludf.DUMMYFUNCTION("IFNA(VLOOKUP(IFNA(REGEXEXTRACT(F210, ""(Пасхи|50-ці|посту)""),""""),lists!$A$39:$B$41,2,FALSE),"""")"),"")</f>
        <v/>
      </c>
      <c r="O210" s="19" t="str">
        <f>IFERROR(__xludf.DUMMYFUNCTION("IFNA(REGEXEXTRACT(F210, ""\d{1,2}""),"""")"),"26")</f>
        <v>26</v>
      </c>
      <c r="P210" s="14" t="b">
        <f t="shared" si="6"/>
        <v>0</v>
      </c>
    </row>
    <row r="211">
      <c r="A211" s="13" t="s">
        <v>1207</v>
      </c>
      <c r="B211" s="9" t="str">
        <f t="shared" si="1"/>
        <v>Лк.</v>
      </c>
      <c r="C211" s="10" t="s">
        <v>1102</v>
      </c>
      <c r="D211" s="11" t="str">
        <f t="shared" si="2"/>
        <v>50</v>
      </c>
      <c r="E211" s="9"/>
      <c r="F211" s="13" t="s">
        <v>1208</v>
      </c>
      <c r="G211" s="14"/>
      <c r="H211" s="15" t="s">
        <v>70</v>
      </c>
      <c r="I211" s="16" t="s">
        <v>71</v>
      </c>
      <c r="J211" s="73">
        <v>22.0</v>
      </c>
      <c r="K211" s="55"/>
      <c r="L211" s="55">
        <v>5.0</v>
      </c>
      <c r="M211" s="18">
        <f>IFNA( VLOOKUP(LEFT(F211, IFERROR(FIND(" ", F211, 1),1) - 1), lists!$A$31:$B$37, 2, FALSE),"")</f>
        <v>5</v>
      </c>
      <c r="N211" s="18" t="str">
        <f>IFERROR(__xludf.DUMMYFUNCTION("IFNA(VLOOKUP(IFNA(REGEXEXTRACT(F211, ""(Пасхи|50-ці|посту)""),""""),lists!$A$39:$B$41,2,FALSE),"""")"),"")</f>
        <v/>
      </c>
      <c r="O211" s="19" t="str">
        <f>IFERROR(__xludf.DUMMYFUNCTION("IFNA(REGEXEXTRACT(F211, ""\d{1,2}""),"""")"),"22")</f>
        <v>22</v>
      </c>
      <c r="P211" s="14" t="b">
        <f t="shared" si="6"/>
        <v>0</v>
      </c>
    </row>
    <row r="212">
      <c r="A212" s="13" t="s">
        <v>1209</v>
      </c>
      <c r="B212" s="9" t="str">
        <f t="shared" si="1"/>
        <v>Лк.</v>
      </c>
      <c r="C212" s="10" t="s">
        <v>1102</v>
      </c>
      <c r="D212" s="11" t="str">
        <f t="shared" si="2"/>
        <v>51</v>
      </c>
      <c r="E212" s="12" t="s">
        <v>18</v>
      </c>
      <c r="F212" s="13" t="s">
        <v>1210</v>
      </c>
      <c r="G212" s="14"/>
      <c r="H212" s="22"/>
      <c r="I212" s="16" t="s">
        <v>29</v>
      </c>
      <c r="J212" s="73">
        <v>27.0</v>
      </c>
      <c r="K212" s="54"/>
      <c r="L212" s="55">
        <v>6.0</v>
      </c>
      <c r="M212" s="18">
        <f>IFNA( VLOOKUP(LEFT(F212, IFERROR(FIND(" ", F212, 1),1) - 1), lists!$A$31:$B$37, 2, FALSE),"")</f>
        <v>6</v>
      </c>
      <c r="N212" s="18" t="str">
        <f>IFERROR(__xludf.DUMMYFUNCTION("IFNA(VLOOKUP(IFNA(REGEXEXTRACT(F212, ""(Пасхи|50-ці|посту)""),""""),lists!$A$39:$B$41,2,FALSE),"""")"),"")</f>
        <v/>
      </c>
      <c r="O212" s="19" t="str">
        <f>IFERROR(__xludf.DUMMYFUNCTION("IFNA(REGEXEXTRACT(F212, ""\d{1,2}""),"""")"),"27")</f>
        <v>27</v>
      </c>
      <c r="P212" s="14" t="b">
        <f t="shared" si="6"/>
        <v>0</v>
      </c>
    </row>
    <row r="213">
      <c r="A213" s="13" t="s">
        <v>1211</v>
      </c>
      <c r="B213" s="9" t="str">
        <f t="shared" si="1"/>
        <v>Лк.</v>
      </c>
      <c r="C213" s="10" t="s">
        <v>1102</v>
      </c>
      <c r="D213" s="11" t="str">
        <f t="shared" si="2"/>
        <v>51</v>
      </c>
      <c r="E213" s="12" t="s">
        <v>22</v>
      </c>
      <c r="F213" s="13" t="s">
        <v>1212</v>
      </c>
      <c r="G213" s="14"/>
      <c r="H213" s="15" t="s">
        <v>70</v>
      </c>
      <c r="I213" s="16" t="s">
        <v>71</v>
      </c>
      <c r="J213" s="73" t="s">
        <v>71</v>
      </c>
      <c r="K213" s="54"/>
      <c r="L213" s="55" t="s">
        <v>71</v>
      </c>
      <c r="M213" s="18" t="str">
        <f>IFNA( VLOOKUP(LEFT(F213, IFERROR(FIND(" ", F213, 1),1) - 1), lists!$A$31:$B$37, 2, FALSE),"")</f>
        <v/>
      </c>
      <c r="N213" s="18" t="str">
        <f>IFERROR(__xludf.DUMMYFUNCTION("IFNA(VLOOKUP(IFNA(REGEXEXTRACT(F213, ""(Пасхи|50-ці|посту)""),""""),lists!$A$39:$B$41,2,FALSE),"""")"),"")</f>
        <v/>
      </c>
      <c r="O213" s="19" t="str">
        <f>IFERROR(__xludf.DUMMYFUNCTION("IFNA(REGEXEXTRACT(F213, ""\d{1,2}""),"""")"),"")</f>
        <v/>
      </c>
      <c r="P213" s="14" t="b">
        <f t="shared" si="6"/>
        <v>0</v>
      </c>
    </row>
    <row r="214">
      <c r="A214" s="13" t="s">
        <v>1213</v>
      </c>
      <c r="B214" s="9" t="str">
        <f t="shared" si="1"/>
        <v>Лк.</v>
      </c>
      <c r="C214" s="10" t="s">
        <v>1102</v>
      </c>
      <c r="D214" s="11" t="str">
        <f t="shared" si="2"/>
        <v>52</v>
      </c>
      <c r="E214" s="9"/>
      <c r="F214" s="13" t="s">
        <v>1214</v>
      </c>
      <c r="G214" s="14"/>
      <c r="H214" s="22"/>
      <c r="I214" s="16" t="s">
        <v>29</v>
      </c>
      <c r="J214" s="73">
        <v>23.0</v>
      </c>
      <c r="K214" s="55"/>
      <c r="L214" s="55">
        <v>1.0</v>
      </c>
      <c r="M214" s="18">
        <f>IFNA( VLOOKUP(LEFT(F214, IFERROR(FIND(" ", F214, 1),1) - 1), lists!$A$31:$B$37, 2, FALSE),"")</f>
        <v>1</v>
      </c>
      <c r="N214" s="18" t="str">
        <f>IFERROR(__xludf.DUMMYFUNCTION("IFNA(VLOOKUP(IFNA(REGEXEXTRACT(F214, ""(Пасхи|50-ці|посту)""),""""),lists!$A$39:$B$41,2,FALSE),"""")"),"")</f>
        <v/>
      </c>
      <c r="O214" s="19" t="str">
        <f>IFERROR(__xludf.DUMMYFUNCTION("IFNA(REGEXEXTRACT(F214, ""\d{1,2}""),"""")"),"23")</f>
        <v>23</v>
      </c>
      <c r="P214" s="14" t="b">
        <f t="shared" si="6"/>
        <v>0</v>
      </c>
    </row>
    <row r="215">
      <c r="A215" s="13" t="s">
        <v>1215</v>
      </c>
      <c r="B215" s="9" t="str">
        <f t="shared" si="1"/>
        <v>Лк.</v>
      </c>
      <c r="C215" s="10" t="s">
        <v>1102</v>
      </c>
      <c r="D215" s="11" t="str">
        <f t="shared" si="2"/>
        <v>53</v>
      </c>
      <c r="E215" s="9"/>
      <c r="F215" s="13" t="s">
        <v>1216</v>
      </c>
      <c r="G215" s="14"/>
      <c r="H215" s="22"/>
      <c r="I215" s="16" t="s">
        <v>29</v>
      </c>
      <c r="J215" s="73">
        <v>25.0</v>
      </c>
      <c r="K215" s="54"/>
      <c r="L215" s="55">
        <v>7.0</v>
      </c>
      <c r="M215" s="18">
        <f>IFNA( VLOOKUP(LEFT(F215, IFERROR(FIND(" ", F215, 1),1) - 1), lists!$A$31:$B$37, 2, FALSE),"")</f>
        <v>7</v>
      </c>
      <c r="N215" s="18" t="str">
        <f>IFERROR(__xludf.DUMMYFUNCTION("IFNA(VLOOKUP(IFNA(REGEXEXTRACT(F215, ""(Пасхи|50-ці|посту)""),""""),lists!$A$39:$B$41,2,FALSE),"""")"),"")</f>
        <v/>
      </c>
      <c r="O215" s="19" t="str">
        <f>IFERROR(__xludf.DUMMYFUNCTION("IFNA(REGEXEXTRACT(F215, ""\d{1,2}""),"""")"),"25")</f>
        <v>25</v>
      </c>
      <c r="P215" s="14" t="b">
        <f t="shared" si="6"/>
        <v>0</v>
      </c>
    </row>
    <row r="216">
      <c r="A216" s="13" t="s">
        <v>1217</v>
      </c>
      <c r="B216" s="9" t="str">
        <f t="shared" si="1"/>
        <v>Лк.</v>
      </c>
      <c r="C216" s="10" t="s">
        <v>1102</v>
      </c>
      <c r="D216" s="11" t="str">
        <f t="shared" si="2"/>
        <v>54</v>
      </c>
      <c r="E216" s="9"/>
      <c r="F216" s="13" t="s">
        <v>1218</v>
      </c>
      <c r="G216" s="14"/>
      <c r="H216" s="15" t="s">
        <v>70</v>
      </c>
      <c r="I216" s="16" t="s">
        <v>71</v>
      </c>
      <c r="J216" s="73" t="s">
        <v>71</v>
      </c>
      <c r="K216" s="54"/>
      <c r="L216" s="55" t="s">
        <v>71</v>
      </c>
      <c r="M216" s="18" t="str">
        <f>IFNA( VLOOKUP(LEFT(F216, IFERROR(FIND(" ", F216, 1),1) - 1), lists!$A$31:$B$37, 2, FALSE),"")</f>
        <v/>
      </c>
      <c r="N216" s="18" t="str">
        <f>IFERROR(__xludf.DUMMYFUNCTION("IFNA(VLOOKUP(IFNA(REGEXEXTRACT(F216, ""(Пасхи|50-ці|посту)""),""""),lists!$A$39:$B$41,2,FALSE),"""")"),"")</f>
        <v/>
      </c>
      <c r="O216" s="19" t="str">
        <f>IFERROR(__xludf.DUMMYFUNCTION("IFNA(REGEXEXTRACT(F216, ""\d{1,2}""),"""")"),"")</f>
        <v/>
      </c>
      <c r="P216" s="14" t="b">
        <f t="shared" si="6"/>
        <v>0</v>
      </c>
    </row>
    <row r="217">
      <c r="A217" s="13" t="s">
        <v>1219</v>
      </c>
      <c r="B217" s="9" t="str">
        <f t="shared" si="1"/>
        <v>Лк.</v>
      </c>
      <c r="C217" s="10" t="s">
        <v>1102</v>
      </c>
      <c r="D217" s="11" t="str">
        <f t="shared" si="2"/>
        <v>55</v>
      </c>
      <c r="E217" s="9"/>
      <c r="F217" s="13" t="s">
        <v>1220</v>
      </c>
      <c r="G217" s="14"/>
      <c r="H217" s="22"/>
      <c r="I217" s="16" t="s">
        <v>29</v>
      </c>
      <c r="J217" s="73">
        <v>23.0</v>
      </c>
      <c r="K217" s="54"/>
      <c r="L217" s="55">
        <v>2.0</v>
      </c>
      <c r="M217" s="18">
        <f>IFNA( VLOOKUP(LEFT(F217, IFERROR(FIND(" ", F217, 1),1) - 1), lists!$A$31:$B$37, 2, FALSE),"")</f>
        <v>2</v>
      </c>
      <c r="N217" s="18" t="str">
        <f>IFERROR(__xludf.DUMMYFUNCTION("IFNA(VLOOKUP(IFNA(REGEXEXTRACT(F217, ""(Пасхи|50-ці|посту)""),""""),lists!$A$39:$B$41,2,FALSE),"""")"),"")</f>
        <v/>
      </c>
      <c r="O217" s="19" t="str">
        <f>IFERROR(__xludf.DUMMYFUNCTION("IFNA(REGEXEXTRACT(F217, ""\d{1,2}""),"""")"),"23")</f>
        <v>23</v>
      </c>
      <c r="P217" s="14" t="b">
        <f t="shared" si="6"/>
        <v>0</v>
      </c>
    </row>
    <row r="218">
      <c r="A218" s="13" t="s">
        <v>1221</v>
      </c>
      <c r="B218" s="9" t="str">
        <f t="shared" si="1"/>
        <v>Лк.</v>
      </c>
      <c r="C218" s="10" t="s">
        <v>1102</v>
      </c>
      <c r="D218" s="11" t="str">
        <f t="shared" si="2"/>
        <v>56</v>
      </c>
      <c r="E218" s="9"/>
      <c r="F218" s="13" t="s">
        <v>1222</v>
      </c>
      <c r="G218" s="14"/>
      <c r="H218" s="22"/>
      <c r="I218" s="16" t="s">
        <v>29</v>
      </c>
      <c r="J218" s="73">
        <v>23.0</v>
      </c>
      <c r="K218" s="54"/>
      <c r="L218" s="55">
        <v>3.0</v>
      </c>
      <c r="M218" s="18">
        <f>IFNA( VLOOKUP(LEFT(F218, IFERROR(FIND(" ", F218, 1),1) - 1), lists!$A$31:$B$37, 2, FALSE),"")</f>
        <v>3</v>
      </c>
      <c r="N218" s="18" t="str">
        <f>IFERROR(__xludf.DUMMYFUNCTION("IFNA(VLOOKUP(IFNA(REGEXEXTRACT(F218, ""(Пасхи|50-ці|посту)""),""""),lists!$A$39:$B$41,2,FALSE),"""")"),"")</f>
        <v/>
      </c>
      <c r="O218" s="19" t="str">
        <f>IFERROR(__xludf.DUMMYFUNCTION("IFNA(REGEXEXTRACT(F218, ""\d{1,2}""),"""")"),"23")</f>
        <v>23</v>
      </c>
      <c r="P218" s="14" t="b">
        <f t="shared" si="6"/>
        <v>0</v>
      </c>
    </row>
    <row r="219">
      <c r="A219" s="13" t="s">
        <v>1223</v>
      </c>
      <c r="B219" s="9" t="str">
        <f t="shared" si="1"/>
        <v>Лк.</v>
      </c>
      <c r="C219" s="10" t="s">
        <v>1102</v>
      </c>
      <c r="D219" s="11" t="str">
        <f t="shared" si="2"/>
        <v>57</v>
      </c>
      <c r="E219" s="9"/>
      <c r="F219" s="13" t="s">
        <v>1224</v>
      </c>
      <c r="G219" s="14"/>
      <c r="H219" s="22"/>
      <c r="I219" s="16" t="s">
        <v>29</v>
      </c>
      <c r="J219" s="73">
        <v>23.0</v>
      </c>
      <c r="K219" s="54"/>
      <c r="L219" s="55">
        <v>4.0</v>
      </c>
      <c r="M219" s="18">
        <f>IFNA( VLOOKUP(LEFT(F219, IFERROR(FIND(" ", F219, 1),1) - 1), lists!$A$31:$B$37, 2, FALSE),"")</f>
        <v>4</v>
      </c>
      <c r="N219" s="18" t="str">
        <f>IFERROR(__xludf.DUMMYFUNCTION("IFNA(VLOOKUP(IFNA(REGEXEXTRACT(F219, ""(Пасхи|50-ці|посту)""),""""),lists!$A$39:$B$41,2,FALSE),"""")"),"")</f>
        <v/>
      </c>
      <c r="O219" s="19" t="str">
        <f>IFERROR(__xludf.DUMMYFUNCTION("IFNA(REGEXEXTRACT(F219, ""\d{1,2}""),"""")"),"23")</f>
        <v>23</v>
      </c>
      <c r="P219" s="14" t="b">
        <f t="shared" si="6"/>
        <v>0</v>
      </c>
    </row>
    <row r="220">
      <c r="A220" s="13" t="s">
        <v>1225</v>
      </c>
      <c r="B220" s="9" t="str">
        <f t="shared" si="1"/>
        <v>Лк.</v>
      </c>
      <c r="C220" s="10" t="s">
        <v>1102</v>
      </c>
      <c r="D220" s="11" t="str">
        <f t="shared" si="2"/>
        <v>58</v>
      </c>
      <c r="E220" s="9"/>
      <c r="F220" s="13" t="s">
        <v>1226</v>
      </c>
      <c r="G220" s="14"/>
      <c r="H220" s="22"/>
      <c r="I220" s="16" t="s">
        <v>29</v>
      </c>
      <c r="J220" s="73">
        <v>23.0</v>
      </c>
      <c r="K220" s="54"/>
      <c r="L220" s="55">
        <v>5.0</v>
      </c>
      <c r="M220" s="18">
        <f>IFNA( VLOOKUP(LEFT(F220, IFERROR(FIND(" ", F220, 1),1) - 1), lists!$A$31:$B$37, 2, FALSE),"")</f>
        <v>5</v>
      </c>
      <c r="N220" s="18" t="str">
        <f>IFERROR(__xludf.DUMMYFUNCTION("IFNA(VLOOKUP(IFNA(REGEXEXTRACT(F220, ""(Пасхи|50-ці|посту)""),""""),lists!$A$39:$B$41,2,FALSE),"""")"),"")</f>
        <v/>
      </c>
      <c r="O220" s="19" t="str">
        <f>IFERROR(__xludf.DUMMYFUNCTION("IFNA(REGEXEXTRACT(F220, ""\d{1,2}""),"""")"),"23")</f>
        <v>23</v>
      </c>
      <c r="P220" s="14" t="b">
        <f t="shared" si="6"/>
        <v>0</v>
      </c>
    </row>
    <row r="221">
      <c r="A221" s="13" t="s">
        <v>1227</v>
      </c>
      <c r="B221" s="9" t="str">
        <f t="shared" si="1"/>
        <v>Лк.</v>
      </c>
      <c r="C221" s="10" t="s">
        <v>1102</v>
      </c>
      <c r="D221" s="11" t="str">
        <f t="shared" si="2"/>
        <v>59</v>
      </c>
      <c r="E221" s="9"/>
      <c r="F221" s="13" t="s">
        <v>1228</v>
      </c>
      <c r="G221" s="14"/>
      <c r="H221" s="22"/>
      <c r="I221" s="16" t="s">
        <v>29</v>
      </c>
      <c r="J221" s="73">
        <v>24.0</v>
      </c>
      <c r="K221" s="54"/>
      <c r="L221" s="55">
        <v>1.0</v>
      </c>
      <c r="M221" s="18">
        <f>IFNA( VLOOKUP(LEFT(F221, IFERROR(FIND(" ", F221, 1),1) - 1), lists!$A$31:$B$37, 2, FALSE),"")</f>
        <v>1</v>
      </c>
      <c r="N221" s="18" t="str">
        <f>IFERROR(__xludf.DUMMYFUNCTION("IFNA(VLOOKUP(IFNA(REGEXEXTRACT(F221, ""(Пасхи|50-ці|посту)""),""""),lists!$A$39:$B$41,2,FALSE),"""")"),"")</f>
        <v/>
      </c>
      <c r="O221" s="19" t="str">
        <f>IFERROR(__xludf.DUMMYFUNCTION("IFNA(REGEXEXTRACT(F221, ""\d{1,2}""),"""")"),"24")</f>
        <v>24</v>
      </c>
      <c r="P221" s="14" t="b">
        <f t="shared" si="6"/>
        <v>0</v>
      </c>
    </row>
    <row r="222">
      <c r="A222" s="13" t="s">
        <v>1229</v>
      </c>
      <c r="B222" s="9" t="str">
        <f t="shared" si="1"/>
        <v>Лк.</v>
      </c>
      <c r="C222" s="10" t="s">
        <v>1102</v>
      </c>
      <c r="D222" s="11" t="str">
        <f t="shared" si="2"/>
        <v>60</v>
      </c>
      <c r="E222" s="9"/>
      <c r="F222" s="13" t="s">
        <v>1230</v>
      </c>
      <c r="G222" s="14"/>
      <c r="H222" s="22"/>
      <c r="I222" s="16" t="s">
        <v>29</v>
      </c>
      <c r="J222" s="73">
        <v>24.0</v>
      </c>
      <c r="K222" s="54"/>
      <c r="L222" s="55">
        <v>2.0</v>
      </c>
      <c r="M222" s="18">
        <f>IFNA( VLOOKUP(LEFT(F222, IFERROR(FIND(" ", F222, 1),1) - 1), lists!$A$31:$B$37, 2, FALSE),"")</f>
        <v>2</v>
      </c>
      <c r="N222" s="18" t="str">
        <f>IFERROR(__xludf.DUMMYFUNCTION("IFNA(VLOOKUP(IFNA(REGEXEXTRACT(F222, ""(Пасхи|50-ці|посту)""),""""),lists!$A$39:$B$41,2,FALSE),"""")"),"")</f>
        <v/>
      </c>
      <c r="O222" s="19" t="str">
        <f>IFERROR(__xludf.DUMMYFUNCTION("IFNA(REGEXEXTRACT(F222, ""\d{1,2}""),"""")"),"24")</f>
        <v>24</v>
      </c>
      <c r="P222" s="14" t="b">
        <f t="shared" si="6"/>
        <v>0</v>
      </c>
    </row>
    <row r="223">
      <c r="A223" s="13" t="s">
        <v>1231</v>
      </c>
      <c r="B223" s="9" t="str">
        <f t="shared" si="1"/>
        <v>Лк.</v>
      </c>
      <c r="C223" s="10" t="s">
        <v>1102</v>
      </c>
      <c r="D223" s="11" t="str">
        <f t="shared" si="2"/>
        <v>61</v>
      </c>
      <c r="E223" s="9"/>
      <c r="F223" s="13" t="s">
        <v>1232</v>
      </c>
      <c r="G223" s="14"/>
      <c r="H223" s="22"/>
      <c r="I223" s="16" t="s">
        <v>29</v>
      </c>
      <c r="J223" s="73">
        <v>24.0</v>
      </c>
      <c r="K223" s="54"/>
      <c r="L223" s="55">
        <v>3.0</v>
      </c>
      <c r="M223" s="18">
        <f>IFNA( VLOOKUP(LEFT(F223, IFERROR(FIND(" ", F223, 1),1) - 1), lists!$A$31:$B$37, 2, FALSE),"")</f>
        <v>3</v>
      </c>
      <c r="N223" s="18" t="str">
        <f>IFERROR(__xludf.DUMMYFUNCTION("IFNA(VLOOKUP(IFNA(REGEXEXTRACT(F223, ""(Пасхи|50-ці|посту)""),""""),lists!$A$39:$B$41,2,FALSE),"""")"),"")</f>
        <v/>
      </c>
      <c r="O223" s="19" t="str">
        <f>IFERROR(__xludf.DUMMYFUNCTION("IFNA(REGEXEXTRACT(F223, ""\d{1,2}""),"""")"),"24")</f>
        <v>24</v>
      </c>
      <c r="P223" s="14" t="b">
        <f t="shared" si="6"/>
        <v>0</v>
      </c>
    </row>
    <row r="224">
      <c r="A224" s="13" t="s">
        <v>1233</v>
      </c>
      <c r="B224" s="9" t="str">
        <f t="shared" si="1"/>
        <v>Лк.</v>
      </c>
      <c r="C224" s="10" t="s">
        <v>1102</v>
      </c>
      <c r="D224" s="11" t="str">
        <f t="shared" si="2"/>
        <v>62</v>
      </c>
      <c r="E224" s="9"/>
      <c r="F224" s="13" t="s">
        <v>1234</v>
      </c>
      <c r="G224" s="14"/>
      <c r="H224" s="22"/>
      <c r="I224" s="16" t="s">
        <v>29</v>
      </c>
      <c r="J224" s="73">
        <v>24.0</v>
      </c>
      <c r="K224" s="54"/>
      <c r="L224" s="55">
        <v>4.0</v>
      </c>
      <c r="M224" s="18">
        <f>IFNA( VLOOKUP(LEFT(F224, IFERROR(FIND(" ", F224, 1),1) - 1), lists!$A$31:$B$37, 2, FALSE),"")</f>
        <v>4</v>
      </c>
      <c r="N224" s="18" t="str">
        <f>IFERROR(__xludf.DUMMYFUNCTION("IFNA(VLOOKUP(IFNA(REGEXEXTRACT(F224, ""(Пасхи|50-ці|посту)""),""""),lists!$A$39:$B$41,2,FALSE),"""")"),"")</f>
        <v/>
      </c>
      <c r="O224" s="19" t="str">
        <f>IFERROR(__xludf.DUMMYFUNCTION("IFNA(REGEXEXTRACT(F224, ""\d{1,2}""),"""")"),"24")</f>
        <v>24</v>
      </c>
      <c r="P224" s="14" t="b">
        <f t="shared" si="6"/>
        <v>0</v>
      </c>
    </row>
    <row r="225">
      <c r="A225" s="13" t="s">
        <v>1235</v>
      </c>
      <c r="B225" s="9" t="str">
        <f t="shared" si="1"/>
        <v>Лк.</v>
      </c>
      <c r="C225" s="10" t="s">
        <v>1102</v>
      </c>
      <c r="D225" s="11" t="str">
        <f t="shared" si="2"/>
        <v>63</v>
      </c>
      <c r="E225" s="80" t="s">
        <v>18</v>
      </c>
      <c r="F225" s="13" t="s">
        <v>1236</v>
      </c>
      <c r="G225" s="14"/>
      <c r="H225" s="15"/>
      <c r="I225" s="16" t="s">
        <v>29</v>
      </c>
      <c r="J225" s="73">
        <v>24.0</v>
      </c>
      <c r="K225" s="54"/>
      <c r="L225" s="55">
        <v>5.0</v>
      </c>
      <c r="M225" s="18">
        <f>IFNA( VLOOKUP(LEFT(F225, IFERROR(FIND(" ", F225, 1),1) - 1), lists!$A$31:$B$37, 2, FALSE),"")</f>
        <v>5</v>
      </c>
      <c r="N225" s="18" t="str">
        <f>IFERROR(__xludf.DUMMYFUNCTION("IFNA(VLOOKUP(IFNA(REGEXEXTRACT(F225, ""(Пасхи|50-ці|посту)""),""""),lists!$A$39:$B$41,2,FALSE),"""")"),"")</f>
        <v/>
      </c>
      <c r="O225" s="19" t="str">
        <f>IFERROR(__xludf.DUMMYFUNCTION("IFNA(REGEXEXTRACT(F225, ""\d{1,2}""),"""")"),"24")</f>
        <v>24</v>
      </c>
      <c r="P225" s="14" t="b">
        <f t="shared" si="6"/>
        <v>0</v>
      </c>
    </row>
    <row r="226">
      <c r="A226" s="13" t="s">
        <v>1237</v>
      </c>
      <c r="B226" s="9" t="str">
        <f t="shared" si="1"/>
        <v>Лк.</v>
      </c>
      <c r="C226" s="10" t="s">
        <v>1102</v>
      </c>
      <c r="D226" s="11" t="str">
        <f t="shared" si="2"/>
        <v>63</v>
      </c>
      <c r="E226" s="80" t="s">
        <v>22</v>
      </c>
      <c r="F226" s="13" t="s">
        <v>1238</v>
      </c>
      <c r="G226" s="14"/>
      <c r="H226" s="15" t="s">
        <v>70</v>
      </c>
      <c r="I226" s="16" t="s">
        <v>71</v>
      </c>
      <c r="J226" s="73" t="s">
        <v>71</v>
      </c>
      <c r="K226" s="54"/>
      <c r="L226" s="55" t="s">
        <v>71</v>
      </c>
      <c r="M226" s="18" t="str">
        <f>IFNA( VLOOKUP(LEFT(F226, IFERROR(FIND(" ", F226, 1),1) - 1), lists!$A$31:$B$37, 2, FALSE),"")</f>
        <v/>
      </c>
      <c r="N226" s="18" t="str">
        <f>IFERROR(__xludf.DUMMYFUNCTION("IFNA(VLOOKUP(IFNA(REGEXEXTRACT(F226, ""(Пасхи|50-ці|посту)""),""""),lists!$A$39:$B$41,2,FALSE),"""")"),"")</f>
        <v/>
      </c>
      <c r="O226" s="19" t="str">
        <f>IFERROR(__xludf.DUMMYFUNCTION("IFNA(REGEXEXTRACT(F226, ""\d{1,2}""),"""")"),"")</f>
        <v/>
      </c>
      <c r="P226" s="14" t="b">
        <f t="shared" si="6"/>
        <v>0</v>
      </c>
    </row>
    <row r="227">
      <c r="A227" s="13" t="s">
        <v>1239</v>
      </c>
      <c r="B227" s="9" t="str">
        <f t="shared" si="1"/>
        <v>Лк.</v>
      </c>
      <c r="C227" s="10" t="s">
        <v>1102</v>
      </c>
      <c r="D227" s="11" t="str">
        <f t="shared" si="2"/>
        <v>64</v>
      </c>
      <c r="E227" s="9"/>
      <c r="F227" s="13" t="s">
        <v>1240</v>
      </c>
      <c r="G227" s="14"/>
      <c r="H227" s="15" t="s">
        <v>70</v>
      </c>
      <c r="I227" s="16" t="s">
        <v>71</v>
      </c>
      <c r="J227" s="73">
        <v>6.0</v>
      </c>
      <c r="K227" s="54"/>
      <c r="L227" s="55" t="s">
        <v>71</v>
      </c>
      <c r="M227" s="18" t="str">
        <f>IFNA( VLOOKUP(LEFT(F227, IFERROR(FIND(" ", F227, 1),1) - 1), lists!$A$31:$B$37, 2, FALSE),"")</f>
        <v/>
      </c>
      <c r="N227" s="18" t="str">
        <f>IFERROR(__xludf.DUMMYFUNCTION("IFNA(VLOOKUP(IFNA(REGEXEXTRACT(F227, ""(Пасхи|50-ці|посту)""),""""),lists!$A$39:$B$41,2,FALSE),"""")"),"")</f>
        <v/>
      </c>
      <c r="O227" s="19" t="str">
        <f>IFERROR(__xludf.DUMMYFUNCTION("IFNA(REGEXEXTRACT(F227, ""\d{1,2}""),"""")"),"6")</f>
        <v>6</v>
      </c>
      <c r="P227" s="14" t="b">
        <f t="shared" si="6"/>
        <v>0</v>
      </c>
    </row>
    <row r="228">
      <c r="A228" s="13" t="s">
        <v>1241</v>
      </c>
      <c r="B228" s="9" t="str">
        <f t="shared" si="1"/>
        <v>Лк.</v>
      </c>
      <c r="C228" s="10" t="s">
        <v>1102</v>
      </c>
      <c r="D228" s="11" t="str">
        <f t="shared" si="2"/>
        <v>65</v>
      </c>
      <c r="E228" s="9"/>
      <c r="F228" s="13" t="s">
        <v>1242</v>
      </c>
      <c r="G228" s="14"/>
      <c r="H228" s="22"/>
      <c r="I228" s="16" t="s">
        <v>29</v>
      </c>
      <c r="J228" s="73">
        <v>25.0</v>
      </c>
      <c r="K228" s="54"/>
      <c r="L228" s="55">
        <v>1.0</v>
      </c>
      <c r="M228" s="18">
        <f>IFNA( VLOOKUP(LEFT(F228, IFERROR(FIND(" ", F228, 1),1) - 1), lists!$A$31:$B$37, 2, FALSE),"")</f>
        <v>1</v>
      </c>
      <c r="N228" s="18" t="str">
        <f>IFERROR(__xludf.DUMMYFUNCTION("IFNA(VLOOKUP(IFNA(REGEXEXTRACT(F228, ""(Пасхи|50-ці|посту)""),""""),lists!$A$39:$B$41,2,FALSE),"""")"),"")</f>
        <v/>
      </c>
      <c r="O228" s="19" t="str">
        <f>IFERROR(__xludf.DUMMYFUNCTION("IFNA(REGEXEXTRACT(F228, ""\d{1,2}""),"""")"),"25")</f>
        <v>25</v>
      </c>
      <c r="P228" s="14" t="b">
        <f t="shared" si="6"/>
        <v>0</v>
      </c>
    </row>
    <row r="229">
      <c r="A229" s="13" t="s">
        <v>1243</v>
      </c>
      <c r="B229" s="9" t="str">
        <f t="shared" si="1"/>
        <v>Лк.</v>
      </c>
      <c r="C229" s="10" t="s">
        <v>1102</v>
      </c>
      <c r="D229" s="11" t="str">
        <f t="shared" si="2"/>
        <v>66</v>
      </c>
      <c r="E229" s="9"/>
      <c r="F229" s="13" t="s">
        <v>1244</v>
      </c>
      <c r="G229" s="14"/>
      <c r="H229" s="22"/>
      <c r="I229" s="16" t="s">
        <v>29</v>
      </c>
      <c r="J229" s="73">
        <v>26.0</v>
      </c>
      <c r="K229" s="54"/>
      <c r="L229" s="55">
        <v>7.0</v>
      </c>
      <c r="M229" s="18">
        <f>IFNA( VLOOKUP(LEFT(F229, IFERROR(FIND(" ", F229, 1),1) - 1), lists!$A$31:$B$37, 2, FALSE),"")</f>
        <v>7</v>
      </c>
      <c r="N229" s="18" t="str">
        <f>IFERROR(__xludf.DUMMYFUNCTION("IFNA(VLOOKUP(IFNA(REGEXEXTRACT(F229, ""(Пасхи|50-ці|посту)""),""""),lists!$A$39:$B$41,2,FALSE),"""")"),"")</f>
        <v/>
      </c>
      <c r="O229" s="19" t="str">
        <f>IFERROR(__xludf.DUMMYFUNCTION("IFNA(REGEXEXTRACT(F229, ""\d{1,2}""),"""")"),"26")</f>
        <v>26</v>
      </c>
      <c r="P229" s="14" t="b">
        <f t="shared" si="6"/>
        <v>0</v>
      </c>
    </row>
    <row r="230">
      <c r="A230" s="13" t="s">
        <v>1245</v>
      </c>
      <c r="B230" s="9" t="str">
        <f t="shared" si="1"/>
        <v>Лк.</v>
      </c>
      <c r="C230" s="10" t="s">
        <v>1102</v>
      </c>
      <c r="D230" s="11" t="str">
        <f t="shared" si="2"/>
        <v>67</v>
      </c>
      <c r="E230" s="9"/>
      <c r="F230" s="21" t="s">
        <v>1246</v>
      </c>
      <c r="G230" s="14"/>
      <c r="H230" s="22"/>
      <c r="I230" s="16" t="s">
        <v>29</v>
      </c>
      <c r="J230" s="73">
        <v>28.0</v>
      </c>
      <c r="K230" s="54"/>
      <c r="L230" s="55">
        <v>6.0</v>
      </c>
      <c r="M230" s="18">
        <f>IFNA( VLOOKUP(LEFT(F230, IFERROR(FIND(" ", F230, 1),1) - 1), lists!$A$31:$B$37, 2, FALSE),"")</f>
        <v>6</v>
      </c>
      <c r="N230" s="18" t="str">
        <f>IFERROR(__xludf.DUMMYFUNCTION("IFNA(VLOOKUP(IFNA(REGEXEXTRACT(F230, ""(Пасхи|50-ці|посту)""),""""),lists!$A$39:$B$41,2,FALSE),"""")"),"")</f>
        <v/>
      </c>
      <c r="O230" s="19" t="str">
        <f>IFERROR(__xludf.DUMMYFUNCTION("IFNA(REGEXEXTRACT(F230, ""\d{1,2}""),"""")"),"28")</f>
        <v>28</v>
      </c>
      <c r="P230" s="14" t="b">
        <f t="shared" si="6"/>
        <v>0</v>
      </c>
    </row>
    <row r="231">
      <c r="A231" s="13" t="s">
        <v>1247</v>
      </c>
      <c r="B231" s="9" t="str">
        <f t="shared" si="1"/>
        <v>Лк.</v>
      </c>
      <c r="C231" s="10" t="s">
        <v>1102</v>
      </c>
      <c r="D231" s="11" t="str">
        <f t="shared" si="2"/>
        <v>68</v>
      </c>
      <c r="E231" s="9"/>
      <c r="F231" s="13" t="s">
        <v>1248</v>
      </c>
      <c r="G231" s="14"/>
      <c r="H231" s="22"/>
      <c r="I231" s="16" t="s">
        <v>29</v>
      </c>
      <c r="J231" s="73">
        <v>25.0</v>
      </c>
      <c r="K231" s="54"/>
      <c r="L231" s="55">
        <v>2.0</v>
      </c>
      <c r="M231" s="18">
        <f>IFNA( VLOOKUP(LEFT(F231, IFERROR(FIND(" ", F231, 1),1) - 1), lists!$A$31:$B$37, 2, FALSE),"")</f>
        <v>2</v>
      </c>
      <c r="N231" s="18" t="str">
        <f>IFERROR(__xludf.DUMMYFUNCTION("IFNA(VLOOKUP(IFNA(REGEXEXTRACT(F231, ""(Пасхи|50-ці|посту)""),""""),lists!$A$39:$B$41,2,FALSE),"""")"),"")</f>
        <v/>
      </c>
      <c r="O231" s="19" t="str">
        <f>IFERROR(__xludf.DUMMYFUNCTION("IFNA(REGEXEXTRACT(F231, ""\d{1,2}""),"""")"),"25")</f>
        <v>25</v>
      </c>
      <c r="P231" s="14" t="b">
        <f t="shared" si="6"/>
        <v>0</v>
      </c>
    </row>
    <row r="232">
      <c r="A232" s="13" t="s">
        <v>1249</v>
      </c>
      <c r="B232" s="9" t="str">
        <f t="shared" si="1"/>
        <v>Лк.</v>
      </c>
      <c r="C232" s="10" t="s">
        <v>1102</v>
      </c>
      <c r="D232" s="11" t="str">
        <f t="shared" si="2"/>
        <v>69</v>
      </c>
      <c r="E232" s="9"/>
      <c r="F232" s="13" t="s">
        <v>1250</v>
      </c>
      <c r="G232" s="14"/>
      <c r="H232" s="22"/>
      <c r="I232" s="16" t="s">
        <v>29</v>
      </c>
      <c r="J232" s="73">
        <v>25.0</v>
      </c>
      <c r="K232" s="54"/>
      <c r="L232" s="55">
        <v>3.0</v>
      </c>
      <c r="M232" s="18">
        <f>IFNA( VLOOKUP(LEFT(F232, IFERROR(FIND(" ", F232, 1),1) - 1), lists!$A$31:$B$37, 2, FALSE),"")</f>
        <v>3</v>
      </c>
      <c r="N232" s="18" t="str">
        <f>IFERROR(__xludf.DUMMYFUNCTION("IFNA(VLOOKUP(IFNA(REGEXEXTRACT(F232, ""(Пасхи|50-ці|посту)""),""""),lists!$A$39:$B$41,2,FALSE),"""")"),"")</f>
        <v/>
      </c>
      <c r="O232" s="19" t="str">
        <f>IFERROR(__xludf.DUMMYFUNCTION("IFNA(REGEXEXTRACT(F232, ""\d{1,2}""),"""")"),"25")</f>
        <v>25</v>
      </c>
      <c r="P232" s="14" t="b">
        <f t="shared" si="6"/>
        <v>0</v>
      </c>
    </row>
    <row r="233">
      <c r="A233" s="13" t="s">
        <v>1251</v>
      </c>
      <c r="B233" s="9" t="str">
        <f t="shared" si="1"/>
        <v>Лк.</v>
      </c>
      <c r="C233" s="10" t="s">
        <v>1102</v>
      </c>
      <c r="D233" s="11" t="str">
        <f t="shared" si="2"/>
        <v>70</v>
      </c>
      <c r="E233" s="9"/>
      <c r="F233" s="13" t="s">
        <v>1252</v>
      </c>
      <c r="G233" s="14"/>
      <c r="H233" s="22"/>
      <c r="I233" s="16" t="s">
        <v>29</v>
      </c>
      <c r="J233" s="73">
        <v>25.0</v>
      </c>
      <c r="K233" s="54"/>
      <c r="L233" s="55">
        <v>4.0</v>
      </c>
      <c r="M233" s="18">
        <f>IFNA( VLOOKUP(LEFT(F233, IFERROR(FIND(" ", F233, 1),1) - 1), lists!$A$31:$B$37, 2, FALSE),"")</f>
        <v>4</v>
      </c>
      <c r="N233" s="18" t="str">
        <f>IFERROR(__xludf.DUMMYFUNCTION("IFNA(VLOOKUP(IFNA(REGEXEXTRACT(F233, ""(Пасхи|50-ці|посту)""),""""),lists!$A$39:$B$41,2,FALSE),"""")"),"")</f>
        <v/>
      </c>
      <c r="O233" s="19" t="str">
        <f>IFERROR(__xludf.DUMMYFUNCTION("IFNA(REGEXEXTRACT(F233, ""\d{1,2}""),"""")"),"25")</f>
        <v>25</v>
      </c>
      <c r="P233" s="14" t="b">
        <f t="shared" si="6"/>
        <v>0</v>
      </c>
    </row>
    <row r="234">
      <c r="A234" s="13" t="s">
        <v>1253</v>
      </c>
      <c r="B234" s="9" t="str">
        <f t="shared" si="1"/>
        <v>Лк.</v>
      </c>
      <c r="C234" s="10" t="s">
        <v>1102</v>
      </c>
      <c r="D234" s="11" t="str">
        <f t="shared" si="2"/>
        <v>71</v>
      </c>
      <c r="E234" s="9"/>
      <c r="F234" s="13" t="s">
        <v>1254</v>
      </c>
      <c r="G234" s="14"/>
      <c r="H234" s="22"/>
      <c r="I234" s="16" t="s">
        <v>29</v>
      </c>
      <c r="J234" s="73">
        <v>27.0</v>
      </c>
      <c r="K234" s="54"/>
      <c r="L234" s="55">
        <v>7.0</v>
      </c>
      <c r="M234" s="18">
        <f>IFNA( VLOOKUP(LEFT(F234, IFERROR(FIND(" ", F234, 1),1) - 1), lists!$A$31:$B$37, 2, FALSE),"")</f>
        <v>7</v>
      </c>
      <c r="N234" s="18" t="str">
        <f>IFERROR(__xludf.DUMMYFUNCTION("IFNA(VLOOKUP(IFNA(REGEXEXTRACT(F234, ""(Пасхи|50-ці|посту)""),""""),lists!$A$39:$B$41,2,FALSE),"""")"),"")</f>
        <v/>
      </c>
      <c r="O234" s="19" t="str">
        <f>IFERROR(__xludf.DUMMYFUNCTION("IFNA(REGEXEXTRACT(F234, ""\d{1,2}""),"""")"),"27")</f>
        <v>27</v>
      </c>
      <c r="P234" s="14" t="b">
        <f t="shared" si="6"/>
        <v>0</v>
      </c>
    </row>
    <row r="235">
      <c r="A235" s="13" t="s">
        <v>1255</v>
      </c>
      <c r="B235" s="9" t="str">
        <f t="shared" si="1"/>
        <v>Лк.</v>
      </c>
      <c r="C235" s="10" t="s">
        <v>1102</v>
      </c>
      <c r="D235" s="11" t="str">
        <f t="shared" si="2"/>
        <v>72</v>
      </c>
      <c r="E235" s="9"/>
      <c r="F235" s="13" t="s">
        <v>1256</v>
      </c>
      <c r="G235" s="14"/>
      <c r="H235" s="15" t="s">
        <v>70</v>
      </c>
      <c r="I235" s="16" t="s">
        <v>29</v>
      </c>
      <c r="J235" s="73">
        <v>29.0</v>
      </c>
      <c r="K235" s="54"/>
      <c r="L235" s="55">
        <v>6.0</v>
      </c>
      <c r="M235" s="18">
        <f>IFNA( VLOOKUP(LEFT(F235, IFERROR(FIND(" ", F235, 1),1) - 1), lists!$A$31:$B$37, 2, FALSE),"")</f>
        <v>6</v>
      </c>
      <c r="N235" s="18" t="str">
        <f>IFERROR(__xludf.DUMMYFUNCTION("IFNA(VLOOKUP(IFNA(REGEXEXTRACT(F235, ""(Пасхи|50-ці|посту)""),""""),lists!$A$39:$B$41,2,FALSE),"""")"),"")</f>
        <v/>
      </c>
      <c r="O235" s="19" t="str">
        <f>IFERROR(__xludf.DUMMYFUNCTION("IFNA(REGEXEXTRACT(F235, ""\d{1,2}""),"""")"),"29")</f>
        <v>29</v>
      </c>
      <c r="P235" s="14" t="b">
        <f t="shared" si="6"/>
        <v>0</v>
      </c>
    </row>
    <row r="236">
      <c r="A236" s="13" t="s">
        <v>1257</v>
      </c>
      <c r="B236" s="9" t="str">
        <f t="shared" si="1"/>
        <v>Лк.</v>
      </c>
      <c r="C236" s="10" t="s">
        <v>1102</v>
      </c>
      <c r="D236" s="11" t="str">
        <f t="shared" si="2"/>
        <v>73</v>
      </c>
      <c r="E236" s="9"/>
      <c r="F236" s="13" t="s">
        <v>1258</v>
      </c>
      <c r="G236" s="14"/>
      <c r="H236" s="22"/>
      <c r="I236" s="16" t="s">
        <v>29</v>
      </c>
      <c r="J236" s="73">
        <v>25.0</v>
      </c>
      <c r="K236" s="54"/>
      <c r="L236" s="55">
        <v>5.0</v>
      </c>
      <c r="M236" s="18">
        <f>IFNA( VLOOKUP(LEFT(F236, IFERROR(FIND(" ", F236, 1),1) - 1), lists!$A$31:$B$37, 2, FALSE),"")</f>
        <v>5</v>
      </c>
      <c r="N236" s="18" t="str">
        <f>IFERROR(__xludf.DUMMYFUNCTION("IFNA(VLOOKUP(IFNA(REGEXEXTRACT(F236, ""(Пасхи|50-ці|посту)""),""""),lists!$A$39:$B$41,2,FALSE),"""")"),"")</f>
        <v/>
      </c>
      <c r="O236" s="19" t="str">
        <f>IFERROR(__xludf.DUMMYFUNCTION("IFNA(REGEXEXTRACT(F236, ""\d{1,2}""),"""")"),"25")</f>
        <v>25</v>
      </c>
      <c r="P236" s="14" t="b">
        <f t="shared" si="6"/>
        <v>0</v>
      </c>
    </row>
    <row r="237">
      <c r="A237" s="13" t="s">
        <v>1259</v>
      </c>
      <c r="B237" s="9" t="str">
        <f t="shared" si="1"/>
        <v>Лк.</v>
      </c>
      <c r="C237" s="10" t="s">
        <v>1102</v>
      </c>
      <c r="D237" s="11" t="str">
        <f t="shared" si="2"/>
        <v>74</v>
      </c>
      <c r="E237" s="9"/>
      <c r="F237" s="13" t="s">
        <v>1260</v>
      </c>
      <c r="G237" s="14"/>
      <c r="H237" s="22"/>
      <c r="I237" s="16" t="s">
        <v>29</v>
      </c>
      <c r="J237" s="73">
        <v>30.0</v>
      </c>
      <c r="K237" s="55"/>
      <c r="L237" s="55">
        <v>6.0</v>
      </c>
      <c r="M237" s="18">
        <f>IFNA( VLOOKUP(LEFT(F237, IFERROR(FIND(" ", F237, 1),1) - 1), lists!$A$31:$B$37, 2, FALSE),"")</f>
        <v>6</v>
      </c>
      <c r="N237" s="18" t="str">
        <f>IFERROR(__xludf.DUMMYFUNCTION("IFNA(VLOOKUP(IFNA(REGEXEXTRACT(F237, ""(Пасхи|50-ці|посту)""),""""),lists!$A$39:$B$41,2,FALSE),"""")"),"")</f>
        <v/>
      </c>
      <c r="O237" s="19" t="str">
        <f>IFERROR(__xludf.DUMMYFUNCTION("IFNA(REGEXEXTRACT(F237, ""\d{1,2}""),"""")"),"30")</f>
        <v>30</v>
      </c>
      <c r="P237" s="14" t="b">
        <f t="shared" si="6"/>
        <v>0</v>
      </c>
    </row>
    <row r="238">
      <c r="A238" s="13" t="s">
        <v>1261</v>
      </c>
      <c r="B238" s="9" t="str">
        <f t="shared" si="1"/>
        <v>Лк.</v>
      </c>
      <c r="C238" s="10" t="s">
        <v>1102</v>
      </c>
      <c r="D238" s="11" t="str">
        <f t="shared" si="2"/>
        <v>75</v>
      </c>
      <c r="E238" s="9"/>
      <c r="F238" s="13" t="s">
        <v>1262</v>
      </c>
      <c r="G238" s="14"/>
      <c r="H238" s="22"/>
      <c r="I238" s="16" t="s">
        <v>29</v>
      </c>
      <c r="J238" s="73">
        <v>26.0</v>
      </c>
      <c r="K238" s="54"/>
      <c r="L238" s="55">
        <v>1.0</v>
      </c>
      <c r="M238" s="18">
        <f>IFNA( VLOOKUP(LEFT(F238, IFERROR(FIND(" ", F238, 1),1) - 1), lists!$A$31:$B$37, 2, FALSE),"")</f>
        <v>1</v>
      </c>
      <c r="N238" s="18" t="str">
        <f>IFERROR(__xludf.DUMMYFUNCTION("IFNA(VLOOKUP(IFNA(REGEXEXTRACT(F238, ""(Пасхи|50-ці|посту)""),""""),lists!$A$39:$B$41,2,FALSE),"""")"),"")</f>
        <v/>
      </c>
      <c r="O238" s="19" t="str">
        <f>IFERROR(__xludf.DUMMYFUNCTION("IFNA(REGEXEXTRACT(F238, ""\d{1,2}""),"""")"),"26")</f>
        <v>26</v>
      </c>
      <c r="P238" s="14" t="b">
        <f t="shared" si="6"/>
        <v>0</v>
      </c>
    </row>
    <row r="239">
      <c r="A239" s="13" t="s">
        <v>1263</v>
      </c>
      <c r="B239" s="9" t="str">
        <f t="shared" si="1"/>
        <v>Лк.</v>
      </c>
      <c r="C239" s="10" t="s">
        <v>1102</v>
      </c>
      <c r="D239" s="11" t="str">
        <f t="shared" si="2"/>
        <v>76</v>
      </c>
      <c r="E239" s="9"/>
      <c r="F239" s="13" t="s">
        <v>1264</v>
      </c>
      <c r="G239" s="14"/>
      <c r="H239" s="15" t="s">
        <v>70</v>
      </c>
      <c r="I239" s="16" t="s">
        <v>29</v>
      </c>
      <c r="J239" s="73">
        <v>28.0</v>
      </c>
      <c r="K239" s="54"/>
      <c r="L239" s="55">
        <v>7.0</v>
      </c>
      <c r="M239" s="18">
        <f>IFNA( VLOOKUP(LEFT(F239, IFERROR(FIND(" ", F239, 1),1) - 1), lists!$A$31:$B$37, 2, FALSE),"")</f>
        <v>7</v>
      </c>
      <c r="N239" s="18" t="str">
        <f>IFERROR(__xludf.DUMMYFUNCTION("IFNA(VLOOKUP(IFNA(REGEXEXTRACT(F239, ""(Пасхи|50-ці|посту)""),""""),lists!$A$39:$B$41,2,FALSE),"""")"),"")</f>
        <v/>
      </c>
      <c r="O239" s="19" t="str">
        <f>IFERROR(__xludf.DUMMYFUNCTION("IFNA(REGEXEXTRACT(F239, ""\d{1,2}""),"""")"),"28")</f>
        <v>28</v>
      </c>
      <c r="P239" s="14" t="b">
        <f t="shared" si="6"/>
        <v>0</v>
      </c>
    </row>
    <row r="240">
      <c r="A240" s="13" t="s">
        <v>1265</v>
      </c>
      <c r="B240" s="9" t="str">
        <f t="shared" si="1"/>
        <v>Лк.</v>
      </c>
      <c r="C240" s="10" t="s">
        <v>1102</v>
      </c>
      <c r="D240" s="11" t="str">
        <f t="shared" si="2"/>
        <v>77</v>
      </c>
      <c r="E240" s="9"/>
      <c r="F240" s="13" t="s">
        <v>1266</v>
      </c>
      <c r="G240" s="14"/>
      <c r="H240" s="22"/>
      <c r="I240" s="16" t="s">
        <v>29</v>
      </c>
      <c r="J240" s="73">
        <v>26.0</v>
      </c>
      <c r="K240" s="54"/>
      <c r="L240" s="55">
        <v>2.0</v>
      </c>
      <c r="M240" s="18">
        <f>IFNA( VLOOKUP(LEFT(F240, IFERROR(FIND(" ", F240, 1),1) - 1), lists!$A$31:$B$37, 2, FALSE),"")</f>
        <v>2</v>
      </c>
      <c r="N240" s="18" t="str">
        <f>IFERROR(__xludf.DUMMYFUNCTION("IFNA(VLOOKUP(IFNA(REGEXEXTRACT(F240, ""(Пасхи|50-ці|посту)""),""""),lists!$A$39:$B$41,2,FALSE),"""")"),"")</f>
        <v/>
      </c>
      <c r="O240" s="19" t="str">
        <f>IFERROR(__xludf.DUMMYFUNCTION("IFNA(REGEXEXTRACT(F240, ""\d{1,2}""),"""")"),"26")</f>
        <v>26</v>
      </c>
      <c r="P240" s="14" t="b">
        <f t="shared" si="6"/>
        <v>0</v>
      </c>
    </row>
    <row r="241">
      <c r="A241" s="13" t="s">
        <v>1267</v>
      </c>
      <c r="B241" s="9" t="str">
        <f t="shared" si="1"/>
        <v>Лк.</v>
      </c>
      <c r="C241" s="10" t="s">
        <v>1102</v>
      </c>
      <c r="D241" s="11" t="str">
        <f t="shared" si="2"/>
        <v>78</v>
      </c>
      <c r="E241" s="9"/>
      <c r="F241" s="13" t="s">
        <v>1268</v>
      </c>
      <c r="G241" s="14"/>
      <c r="H241" s="22"/>
      <c r="I241" s="16" t="s">
        <v>29</v>
      </c>
      <c r="J241" s="73">
        <v>26.0</v>
      </c>
      <c r="K241" s="54"/>
      <c r="L241" s="55">
        <v>3.0</v>
      </c>
      <c r="M241" s="18">
        <f>IFNA( VLOOKUP(LEFT(F241, IFERROR(FIND(" ", F241, 1),1) - 1), lists!$A$31:$B$37, 2, FALSE),"")</f>
        <v>3</v>
      </c>
      <c r="N241" s="18" t="str">
        <f>IFERROR(__xludf.DUMMYFUNCTION("IFNA(VLOOKUP(IFNA(REGEXEXTRACT(F241, ""(Пасхи|50-ці|посту)""),""""),lists!$A$39:$B$41,2,FALSE),"""")"),"")</f>
        <v/>
      </c>
      <c r="O241" s="19" t="str">
        <f>IFERROR(__xludf.DUMMYFUNCTION("IFNA(REGEXEXTRACT(F241, ""\d{1,2}""),"""")"),"26")</f>
        <v>26</v>
      </c>
      <c r="P241" s="14" t="b">
        <f t="shared" si="6"/>
        <v>0</v>
      </c>
    </row>
    <row r="242">
      <c r="A242" s="13" t="s">
        <v>1269</v>
      </c>
      <c r="B242" s="9" t="str">
        <f t="shared" si="1"/>
        <v>Лк.</v>
      </c>
      <c r="C242" s="10" t="s">
        <v>1102</v>
      </c>
      <c r="D242" s="11" t="str">
        <f t="shared" si="2"/>
        <v>79</v>
      </c>
      <c r="E242" s="9"/>
      <c r="F242" s="13" t="s">
        <v>1270</v>
      </c>
      <c r="G242" s="14"/>
      <c r="H242" s="22"/>
      <c r="I242" s="16" t="s">
        <v>29</v>
      </c>
      <c r="J242" s="73">
        <v>34.0</v>
      </c>
      <c r="K242" s="55"/>
      <c r="L242" s="55">
        <v>7.0</v>
      </c>
      <c r="M242" s="18">
        <f>IFNA( VLOOKUP(LEFT(F242, IFERROR(FIND(" ", F242, 1),1) - 1), lists!$A$31:$B$37, 2, FALSE),"")</f>
        <v>7</v>
      </c>
      <c r="N242" s="18" t="str">
        <f>IFERROR(__xludf.DUMMYFUNCTION("IFNA(VLOOKUP(IFNA(REGEXEXTRACT(F242, ""(Пасхи|50-ці|посту)""),""""),lists!$A$39:$B$41,2,FALSE),"""")"),"")</f>
        <v/>
      </c>
      <c r="O242" s="19" t="str">
        <f>IFERROR(__xludf.DUMMYFUNCTION("IFNA(REGEXEXTRACT(F242, ""\d{1,2}""),"""")"),"34")</f>
        <v>34</v>
      </c>
      <c r="P242" s="14" t="b">
        <f t="shared" si="6"/>
        <v>0</v>
      </c>
    </row>
    <row r="243">
      <c r="A243" s="13" t="s">
        <v>1271</v>
      </c>
      <c r="B243" s="9" t="str">
        <f t="shared" si="1"/>
        <v>Лк.</v>
      </c>
      <c r="C243" s="10" t="s">
        <v>1102</v>
      </c>
      <c r="D243" s="11" t="str">
        <f t="shared" si="2"/>
        <v>80</v>
      </c>
      <c r="E243" s="9"/>
      <c r="F243" s="13" t="s">
        <v>1272</v>
      </c>
      <c r="G243" s="14"/>
      <c r="H243" s="22"/>
      <c r="I243" s="16" t="s">
        <v>29</v>
      </c>
      <c r="J243" s="73">
        <v>26.0</v>
      </c>
      <c r="K243" s="54"/>
      <c r="L243" s="55">
        <v>4.0</v>
      </c>
      <c r="M243" s="18">
        <f>IFNA( VLOOKUP(LEFT(F243, IFERROR(FIND(" ", F243, 1),1) - 1), lists!$A$31:$B$37, 2, FALSE),"")</f>
        <v>4</v>
      </c>
      <c r="N243" s="18" t="str">
        <f>IFERROR(__xludf.DUMMYFUNCTION("IFNA(VLOOKUP(IFNA(REGEXEXTRACT(F243, ""(Пасхи|50-ці|посту)""),""""),lists!$A$39:$B$41,2,FALSE),"""")"),"")</f>
        <v/>
      </c>
      <c r="O243" s="19" t="str">
        <f>IFERROR(__xludf.DUMMYFUNCTION("IFNA(REGEXEXTRACT(F243, ""\d{1,2}""),"""")"),"26")</f>
        <v>26</v>
      </c>
      <c r="P243" s="14" t="b">
        <f t="shared" si="6"/>
        <v>0</v>
      </c>
    </row>
    <row r="244">
      <c r="A244" s="13" t="s">
        <v>1273</v>
      </c>
      <c r="B244" s="9" t="str">
        <f t="shared" si="1"/>
        <v>Лк.</v>
      </c>
      <c r="C244" s="10" t="s">
        <v>1102</v>
      </c>
      <c r="D244" s="11" t="str">
        <f t="shared" si="2"/>
        <v>81</v>
      </c>
      <c r="E244" s="9"/>
      <c r="F244" s="13" t="s">
        <v>1274</v>
      </c>
      <c r="G244" s="14"/>
      <c r="H244" s="22"/>
      <c r="I244" s="16" t="s">
        <v>29</v>
      </c>
      <c r="J244" s="73">
        <v>31.0</v>
      </c>
      <c r="K244" s="54"/>
      <c r="L244" s="55">
        <v>6.0</v>
      </c>
      <c r="M244" s="18">
        <f>IFNA( VLOOKUP(LEFT(F244, IFERROR(FIND(" ", F244, 1),1) - 1), lists!$A$31:$B$37, 2, FALSE),"")</f>
        <v>6</v>
      </c>
      <c r="N244" s="18" t="str">
        <f>IFERROR(__xludf.DUMMYFUNCTION("IFNA(VLOOKUP(IFNA(REGEXEXTRACT(F244, ""(Пасхи|50-ці|посту)""),""""),lists!$A$39:$B$41,2,FALSE),"""")"),"")</f>
        <v/>
      </c>
      <c r="O244" s="19" t="str">
        <f>IFERROR(__xludf.DUMMYFUNCTION("IFNA(REGEXEXTRACT(F244, ""\d{1,2}""),"""")"),"31")</f>
        <v>31</v>
      </c>
      <c r="P244" s="14" t="b">
        <f t="shared" si="6"/>
        <v>0</v>
      </c>
    </row>
    <row r="245">
      <c r="A245" s="13" t="s">
        <v>1275</v>
      </c>
      <c r="B245" s="9" t="str">
        <f t="shared" si="1"/>
        <v>Лк.</v>
      </c>
      <c r="C245" s="10" t="s">
        <v>1102</v>
      </c>
      <c r="D245" s="11" t="str">
        <f t="shared" si="2"/>
        <v>82</v>
      </c>
      <c r="E245" s="9"/>
      <c r="F245" s="13" t="s">
        <v>1276</v>
      </c>
      <c r="G245" s="14"/>
      <c r="H245" s="15"/>
      <c r="I245" s="16" t="s">
        <v>29</v>
      </c>
      <c r="J245" s="73">
        <v>26.0</v>
      </c>
      <c r="K245" s="54"/>
      <c r="L245" s="55">
        <v>5.0</v>
      </c>
      <c r="M245" s="18">
        <f>IFNA( VLOOKUP(LEFT(F245, IFERROR(FIND(" ", F245, 1),1) - 1), lists!$A$31:$B$37, 2, FALSE),"")</f>
        <v>5</v>
      </c>
      <c r="N245" s="18" t="str">
        <f>IFERROR(__xludf.DUMMYFUNCTION("IFNA(VLOOKUP(IFNA(REGEXEXTRACT(F245, ""(Пасхи|50-ці|посту)""),""""),lists!$A$39:$B$41,2,FALSE),"""")"),"")</f>
        <v/>
      </c>
      <c r="O245" s="19" t="str">
        <f>IFERROR(__xludf.DUMMYFUNCTION("IFNA(REGEXEXTRACT(F245, ""\d{1,2}""),"""")"),"26")</f>
        <v>26</v>
      </c>
      <c r="P245" s="14" t="b">
        <f t="shared" si="6"/>
        <v>0</v>
      </c>
    </row>
    <row r="246">
      <c r="A246" s="13" t="s">
        <v>1277</v>
      </c>
      <c r="B246" s="9" t="str">
        <f t="shared" si="1"/>
        <v>Лк.</v>
      </c>
      <c r="C246" s="10" t="s">
        <v>1102</v>
      </c>
      <c r="D246" s="11" t="str">
        <f t="shared" si="2"/>
        <v>83</v>
      </c>
      <c r="E246" s="9"/>
      <c r="F246" s="21" t="s">
        <v>1278</v>
      </c>
      <c r="G246" s="14"/>
      <c r="H246" s="15"/>
      <c r="I246" s="16" t="s">
        <v>29</v>
      </c>
      <c r="J246" s="73">
        <v>22.0</v>
      </c>
      <c r="K246" s="54"/>
      <c r="L246" s="55">
        <v>7.0</v>
      </c>
      <c r="M246" s="18">
        <f>IFNA( VLOOKUP(LEFT(F246, IFERROR(FIND(" ", F246, 1),1) - 1), lists!$A$31:$B$37, 2, FALSE),"")</f>
        <v>7</v>
      </c>
      <c r="N246" s="18" t="str">
        <f>IFERROR(__xludf.DUMMYFUNCTION("IFNA(VLOOKUP(IFNA(REGEXEXTRACT(F246, ""(Пасхи|50-ці|посту)""),""""),lists!$A$39:$B$41,2,FALSE),"""")"),"")</f>
        <v/>
      </c>
      <c r="O246" s="19" t="str">
        <f>IFERROR(__xludf.DUMMYFUNCTION("IFNA(REGEXEXTRACT(F246, ""\d{1,2}""),"""")"),"22")</f>
        <v>22</v>
      </c>
      <c r="P246" s="14" t="b">
        <f t="shared" si="6"/>
        <v>0</v>
      </c>
    </row>
    <row r="247">
      <c r="A247" s="13" t="s">
        <v>1279</v>
      </c>
      <c r="B247" s="9" t="str">
        <f t="shared" si="1"/>
        <v>Лк.</v>
      </c>
      <c r="C247" s="10" t="s">
        <v>1102</v>
      </c>
      <c r="D247" s="11" t="str">
        <f t="shared" si="2"/>
        <v>84</v>
      </c>
      <c r="E247" s="9"/>
      <c r="F247" s="13" t="s">
        <v>1280</v>
      </c>
      <c r="G247" s="14"/>
      <c r="H247" s="15"/>
      <c r="I247" s="16" t="s">
        <v>29</v>
      </c>
      <c r="J247" s="73">
        <v>32.0</v>
      </c>
      <c r="K247" s="54"/>
      <c r="L247" s="55">
        <v>6.0</v>
      </c>
      <c r="M247" s="18">
        <f>IFNA( VLOOKUP(LEFT(F247, IFERROR(FIND(" ", F247, 1),1) - 1), lists!$A$31:$B$37, 2, FALSE),"")</f>
        <v>6</v>
      </c>
      <c r="N247" s="18" t="str">
        <f>IFERROR(__xludf.DUMMYFUNCTION("IFNA(VLOOKUP(IFNA(REGEXEXTRACT(F247, ""(Пасхи|50-ці|посту)""),""""),lists!$A$39:$B$41,2,FALSE),"""")"),"")</f>
        <v/>
      </c>
      <c r="O247" s="19" t="str">
        <f>IFERROR(__xludf.DUMMYFUNCTION("IFNA(REGEXEXTRACT(F247, ""\d{1,2}""),"""")"),"32")</f>
        <v>32</v>
      </c>
      <c r="P247" s="14" t="b">
        <f t="shared" si="6"/>
        <v>0</v>
      </c>
    </row>
    <row r="248">
      <c r="A248" s="13" t="s">
        <v>1281</v>
      </c>
      <c r="B248" s="9" t="str">
        <f t="shared" si="1"/>
        <v>Лк.</v>
      </c>
      <c r="C248" s="10" t="s">
        <v>1102</v>
      </c>
      <c r="D248" s="11" t="str">
        <f t="shared" si="2"/>
        <v>85</v>
      </c>
      <c r="E248" s="9"/>
      <c r="F248" s="13" t="s">
        <v>1282</v>
      </c>
      <c r="G248" s="14"/>
      <c r="H248" s="22"/>
      <c r="I248" s="16" t="s">
        <v>29</v>
      </c>
      <c r="J248" s="73">
        <v>29.0</v>
      </c>
      <c r="K248" s="54"/>
      <c r="L248" s="55">
        <v>7.0</v>
      </c>
      <c r="M248" s="18">
        <f>IFNA( VLOOKUP(LEFT(F248, IFERROR(FIND(" ", F248, 1),1) - 1), lists!$A$31:$B$37, 2, FALSE),"")</f>
        <v>7</v>
      </c>
      <c r="N248" s="18" t="str">
        <f>IFERROR(__xludf.DUMMYFUNCTION("IFNA(VLOOKUP(IFNA(REGEXEXTRACT(F248, ""(Пасхи|50-ці|посту)""),""""),lists!$A$39:$B$41,2,FALSE),"""")"),"")</f>
        <v/>
      </c>
      <c r="O248" s="19" t="str">
        <f>IFERROR(__xludf.DUMMYFUNCTION("IFNA(REGEXEXTRACT(F248, ""\d{1,2}""),"""")"),"29")</f>
        <v>29</v>
      </c>
      <c r="P248" s="14" t="b">
        <f t="shared" si="6"/>
        <v>0</v>
      </c>
    </row>
    <row r="249">
      <c r="A249" s="13" t="s">
        <v>1283</v>
      </c>
      <c r="B249" s="9" t="str">
        <f t="shared" si="1"/>
        <v>Лк.</v>
      </c>
      <c r="C249" s="10" t="s">
        <v>1102</v>
      </c>
      <c r="D249" s="11" t="str">
        <f t="shared" si="2"/>
        <v>86</v>
      </c>
      <c r="E249" s="9"/>
      <c r="F249" s="13" t="s">
        <v>1284</v>
      </c>
      <c r="G249" s="14"/>
      <c r="H249" s="22"/>
      <c r="I249" s="16" t="s">
        <v>29</v>
      </c>
      <c r="J249" s="73">
        <v>27.0</v>
      </c>
      <c r="K249" s="54"/>
      <c r="L249" s="55">
        <v>1.0</v>
      </c>
      <c r="M249" s="18">
        <f>IFNA( VLOOKUP(LEFT(F249, IFERROR(FIND(" ", F249, 1),1) - 1), lists!$A$31:$B$37, 2, FALSE),"")</f>
        <v>1</v>
      </c>
      <c r="N249" s="18" t="str">
        <f>IFERROR(__xludf.DUMMYFUNCTION("IFNA(VLOOKUP(IFNA(REGEXEXTRACT(F249, ""(Пасхи|50-ці|посту)""),""""),lists!$A$39:$B$41,2,FALSE),"""")"),"")</f>
        <v/>
      </c>
      <c r="O249" s="19" t="str">
        <f>IFERROR(__xludf.DUMMYFUNCTION("IFNA(REGEXEXTRACT(F249, ""\d{1,2}""),"""")"),"27")</f>
        <v>27</v>
      </c>
      <c r="P249" s="14" t="b">
        <f t="shared" si="6"/>
        <v>0</v>
      </c>
    </row>
    <row r="250">
      <c r="A250" s="13" t="s">
        <v>1285</v>
      </c>
      <c r="B250" s="9" t="str">
        <f t="shared" si="1"/>
        <v>Лк.</v>
      </c>
      <c r="C250" s="10" t="s">
        <v>1102</v>
      </c>
      <c r="D250" s="11" t="str">
        <f t="shared" si="2"/>
        <v>87</v>
      </c>
      <c r="E250" s="9"/>
      <c r="F250" s="13" t="s">
        <v>1286</v>
      </c>
      <c r="G250" s="14"/>
      <c r="H250" s="22"/>
      <c r="I250" s="16" t="s">
        <v>29</v>
      </c>
      <c r="J250" s="73">
        <v>27.0</v>
      </c>
      <c r="K250" s="54"/>
      <c r="L250" s="55">
        <v>2.0</v>
      </c>
      <c r="M250" s="18">
        <f>IFNA( VLOOKUP(LEFT(F250, IFERROR(FIND(" ", F250, 1),1) - 1), lists!$A$31:$B$37, 2, FALSE),"")</f>
        <v>2</v>
      </c>
      <c r="N250" s="18" t="str">
        <f>IFERROR(__xludf.DUMMYFUNCTION("IFNA(VLOOKUP(IFNA(REGEXEXTRACT(F250, ""(Пасхи|50-ці|посту)""),""""),lists!$A$39:$B$41,2,FALSE),"""")"),"")</f>
        <v/>
      </c>
      <c r="O250" s="19" t="str">
        <f>IFERROR(__xludf.DUMMYFUNCTION("IFNA(REGEXEXTRACT(F250, ""\d{1,2}""),"""")"),"27")</f>
        <v>27</v>
      </c>
      <c r="P250" s="14" t="b">
        <f t="shared" si="6"/>
        <v>0</v>
      </c>
    </row>
    <row r="251">
      <c r="A251" s="13" t="s">
        <v>1287</v>
      </c>
      <c r="B251" s="9" t="str">
        <f t="shared" si="1"/>
        <v>Лк.</v>
      </c>
      <c r="C251" s="10" t="s">
        <v>1102</v>
      </c>
      <c r="D251" s="11" t="str">
        <f t="shared" si="2"/>
        <v>88</v>
      </c>
      <c r="E251" s="9"/>
      <c r="F251" s="13" t="s">
        <v>1288</v>
      </c>
      <c r="G251" s="14"/>
      <c r="H251" s="22"/>
      <c r="I251" s="16" t="s">
        <v>29</v>
      </c>
      <c r="J251" s="73">
        <v>33.0</v>
      </c>
      <c r="K251" s="54"/>
      <c r="L251" s="55">
        <v>6.0</v>
      </c>
      <c r="M251" s="18">
        <f>IFNA( VLOOKUP(LEFT(F251, IFERROR(FIND(" ", F251, 1),1) - 1), lists!$A$31:$B$37, 2, FALSE),"")</f>
        <v>6</v>
      </c>
      <c r="N251" s="18" t="str">
        <f>IFERROR(__xludf.DUMMYFUNCTION("IFNA(VLOOKUP(IFNA(REGEXEXTRACT(F251, ""(Пасхи|50-ці|посту)""),""""),lists!$A$39:$B$41,2,FALSE),"""")"),"")</f>
        <v/>
      </c>
      <c r="O251" s="19" t="str">
        <f>IFERROR(__xludf.DUMMYFUNCTION("IFNA(REGEXEXTRACT(F251, ""\d{1,2}""),"""")"),"33")</f>
        <v>33</v>
      </c>
      <c r="P251" s="14" t="b">
        <f t="shared" si="6"/>
        <v>0</v>
      </c>
    </row>
    <row r="252">
      <c r="A252" s="13" t="s">
        <v>1289</v>
      </c>
      <c r="B252" s="9" t="str">
        <f t="shared" si="1"/>
        <v>Лк.</v>
      </c>
      <c r="C252" s="10" t="s">
        <v>1102</v>
      </c>
      <c r="D252" s="11" t="str">
        <f t="shared" si="2"/>
        <v>89</v>
      </c>
      <c r="E252" s="9"/>
      <c r="F252" s="13" t="s">
        <v>743</v>
      </c>
      <c r="G252" s="14"/>
      <c r="H252" s="22"/>
      <c r="I252" s="16" t="s">
        <v>29</v>
      </c>
      <c r="J252" s="73">
        <v>33.0</v>
      </c>
      <c r="K252" s="54"/>
      <c r="L252" s="55">
        <v>7.0</v>
      </c>
      <c r="M252" s="18">
        <f>IFNA( VLOOKUP(LEFT(F252, IFERROR(FIND(" ", F252, 1),1) - 1), lists!$A$31:$B$37, 2, FALSE),"")</f>
        <v>7</v>
      </c>
      <c r="N252" s="18" t="str">
        <f>IFERROR(__xludf.DUMMYFUNCTION("IFNA(VLOOKUP(IFNA(REGEXEXTRACT(F252, ""(Пасхи|50-ці|посту)""),""""),lists!$A$39:$B$41,2,FALSE),"""")"),"")</f>
        <v/>
      </c>
      <c r="O252" s="19" t="str">
        <f>IFERROR(__xludf.DUMMYFUNCTION("IFNA(REGEXEXTRACT(F252, ""\d{1,2}""),"""")"),"33")</f>
        <v>33</v>
      </c>
      <c r="P252" s="14" t="b">
        <f t="shared" si="6"/>
        <v>0</v>
      </c>
    </row>
    <row r="253">
      <c r="A253" s="13" t="s">
        <v>1290</v>
      </c>
      <c r="B253" s="9" t="str">
        <f t="shared" si="1"/>
        <v>Лк.</v>
      </c>
      <c r="C253" s="10" t="s">
        <v>1102</v>
      </c>
      <c r="D253" s="11" t="str">
        <f t="shared" si="2"/>
        <v>90</v>
      </c>
      <c r="E253" s="9"/>
      <c r="F253" s="13" t="s">
        <v>1291</v>
      </c>
      <c r="G253" s="14"/>
      <c r="H253" s="22"/>
      <c r="I253" s="16" t="s">
        <v>29</v>
      </c>
      <c r="J253" s="73">
        <v>27.0</v>
      </c>
      <c r="K253" s="54"/>
      <c r="L253" s="55">
        <v>3.0</v>
      </c>
      <c r="M253" s="18">
        <f>IFNA( VLOOKUP(LEFT(F253, IFERROR(FIND(" ", F253, 1),1) - 1), lists!$A$31:$B$37, 2, FALSE),"")</f>
        <v>3</v>
      </c>
      <c r="N253" s="18" t="str">
        <f>IFERROR(__xludf.DUMMYFUNCTION("IFNA(VLOOKUP(IFNA(REGEXEXTRACT(F253, ""(Пасхи|50-ці|посту)""),""""),lists!$A$39:$B$41,2,FALSE),"""")"),"")</f>
        <v/>
      </c>
      <c r="O253" s="19" t="str">
        <f>IFERROR(__xludf.DUMMYFUNCTION("IFNA(REGEXEXTRACT(F253, ""\d{1,2}""),"""")"),"27")</f>
        <v>27</v>
      </c>
      <c r="P253" s="14" t="b">
        <f t="shared" si="6"/>
        <v>0</v>
      </c>
    </row>
    <row r="254">
      <c r="A254" s="13" t="s">
        <v>1292</v>
      </c>
      <c r="B254" s="9" t="str">
        <f t="shared" si="1"/>
        <v>Лк.</v>
      </c>
      <c r="C254" s="10" t="s">
        <v>1102</v>
      </c>
      <c r="D254" s="11" t="str">
        <f t="shared" si="2"/>
        <v>91</v>
      </c>
      <c r="E254" s="9"/>
      <c r="F254" s="13" t="s">
        <v>1293</v>
      </c>
      <c r="G254" s="14"/>
      <c r="H254" s="22"/>
      <c r="I254" s="16" t="s">
        <v>29</v>
      </c>
      <c r="J254" s="73">
        <v>30.0</v>
      </c>
      <c r="K254" s="54"/>
      <c r="L254" s="55">
        <v>7.0</v>
      </c>
      <c r="M254" s="18">
        <f>IFNA( VLOOKUP(LEFT(F254, IFERROR(FIND(" ", F254, 1),1) - 1), lists!$A$31:$B$37, 2, FALSE),"")</f>
        <v>7</v>
      </c>
      <c r="N254" s="18" t="str">
        <f>IFERROR(__xludf.DUMMYFUNCTION("IFNA(VLOOKUP(IFNA(REGEXEXTRACT(F254, ""(Пасхи|50-ці|посту)""),""""),lists!$A$39:$B$41,2,FALSE),"""")"),"")</f>
        <v/>
      </c>
      <c r="O254" s="19" t="str">
        <f>IFERROR(__xludf.DUMMYFUNCTION("IFNA(REGEXEXTRACT(F254, ""\d{1,2}""),"""")"),"30")</f>
        <v>30</v>
      </c>
      <c r="P254" s="14" t="b">
        <f t="shared" si="6"/>
        <v>0</v>
      </c>
    </row>
    <row r="255">
      <c r="A255" s="13" t="s">
        <v>1294</v>
      </c>
      <c r="B255" s="9" t="str">
        <f t="shared" si="1"/>
        <v>Лк.</v>
      </c>
      <c r="C255" s="10" t="s">
        <v>1102</v>
      </c>
      <c r="D255" s="11" t="str">
        <f t="shared" si="2"/>
        <v>92</v>
      </c>
      <c r="E255" s="9"/>
      <c r="F255" s="13" t="s">
        <v>1295</v>
      </c>
      <c r="G255" s="14"/>
      <c r="H255" s="15"/>
      <c r="I255" s="16" t="s">
        <v>29</v>
      </c>
      <c r="J255" s="73">
        <v>27.0</v>
      </c>
      <c r="K255" s="54"/>
      <c r="L255" s="55">
        <v>4.0</v>
      </c>
      <c r="M255" s="18">
        <f>IFNA( VLOOKUP(LEFT(F255, IFERROR(FIND(" ", F255, 1),1) - 1), lists!$A$31:$B$37, 2, FALSE),"")</f>
        <v>4</v>
      </c>
      <c r="N255" s="18" t="str">
        <f>IFERROR(__xludf.DUMMYFUNCTION("IFNA(VLOOKUP(IFNA(REGEXEXTRACT(F255, ""(Пасхи|50-ці|посту)""),""""),lists!$A$39:$B$41,2,FALSE),"""")"),"")</f>
        <v/>
      </c>
      <c r="O255" s="19" t="str">
        <f>IFERROR(__xludf.DUMMYFUNCTION("IFNA(REGEXEXTRACT(F255, ""\d{1,2}""),"""")"),"27")</f>
        <v>27</v>
      </c>
      <c r="P255" s="14" t="b">
        <f t="shared" si="6"/>
        <v>0</v>
      </c>
    </row>
    <row r="256">
      <c r="A256" s="13" t="s">
        <v>1296</v>
      </c>
      <c r="B256" s="9" t="str">
        <f t="shared" si="1"/>
        <v>Лк.</v>
      </c>
      <c r="C256" s="10" t="s">
        <v>1102</v>
      </c>
      <c r="D256" s="11" t="str">
        <f t="shared" si="2"/>
        <v>93</v>
      </c>
      <c r="E256" s="9"/>
      <c r="F256" s="13" t="s">
        <v>1297</v>
      </c>
      <c r="G256" s="14"/>
      <c r="H256" s="22"/>
      <c r="I256" s="16" t="s">
        <v>29</v>
      </c>
      <c r="J256" s="73">
        <v>31.0</v>
      </c>
      <c r="K256" s="54"/>
      <c r="L256" s="55">
        <v>7.0</v>
      </c>
      <c r="M256" s="18">
        <f>IFNA( VLOOKUP(LEFT(F256, IFERROR(FIND(" ", F256, 1),1) - 1), lists!$A$31:$B$37, 2, FALSE),"")</f>
        <v>7</v>
      </c>
      <c r="N256" s="18" t="str">
        <f>IFERROR(__xludf.DUMMYFUNCTION("IFNA(VLOOKUP(IFNA(REGEXEXTRACT(F256, ""(Пасхи|50-ці|посту)""),""""),lists!$A$39:$B$41,2,FALSE),"""")"),"")</f>
        <v/>
      </c>
      <c r="O256" s="19" t="str">
        <f>IFERROR(__xludf.DUMMYFUNCTION("IFNA(REGEXEXTRACT(F256, ""\d{1,2}""),"""")"),"31")</f>
        <v>31</v>
      </c>
      <c r="P256" s="14" t="b">
        <f t="shared" si="6"/>
        <v>0</v>
      </c>
    </row>
    <row r="257">
      <c r="A257" s="13" t="s">
        <v>1298</v>
      </c>
      <c r="B257" s="9" t="str">
        <f t="shared" si="1"/>
        <v>Лк.</v>
      </c>
      <c r="C257" s="10" t="s">
        <v>1102</v>
      </c>
      <c r="D257" s="11" t="str">
        <f t="shared" si="2"/>
        <v>94</v>
      </c>
      <c r="E257" s="9"/>
      <c r="F257" s="13" t="s">
        <v>1299</v>
      </c>
      <c r="G257" s="14"/>
      <c r="H257" s="15"/>
      <c r="I257" s="16" t="s">
        <v>29</v>
      </c>
      <c r="J257" s="73">
        <v>32.0</v>
      </c>
      <c r="K257" s="54"/>
      <c r="L257" s="55">
        <v>7.0</v>
      </c>
      <c r="M257" s="18">
        <f>IFNA( VLOOKUP(LEFT(F257, IFERROR(FIND(" ", F257, 1),1) - 1), lists!$A$31:$B$37, 2, FALSE),"")</f>
        <v>7</v>
      </c>
      <c r="N257" s="18" t="str">
        <f>IFERROR(__xludf.DUMMYFUNCTION("IFNA(VLOOKUP(IFNA(REGEXEXTRACT(F257, ""(Пасхи|50-ці|посту)""),""""),lists!$A$39:$B$41,2,FALSE),"""")"),"")</f>
        <v/>
      </c>
      <c r="O257" s="19" t="str">
        <f>IFERROR(__xludf.DUMMYFUNCTION("IFNA(REGEXEXTRACT(F257, ""\d{1,2}""),"""")"),"32")</f>
        <v>32</v>
      </c>
      <c r="P257" s="14" t="b">
        <f t="shared" si="6"/>
        <v>0</v>
      </c>
    </row>
    <row r="258">
      <c r="A258" s="13" t="s">
        <v>1300</v>
      </c>
      <c r="B258" s="9" t="str">
        <f t="shared" si="1"/>
        <v>Лк.</v>
      </c>
      <c r="C258" s="10" t="s">
        <v>1102</v>
      </c>
      <c r="D258" s="11" t="str">
        <f t="shared" si="2"/>
        <v>95</v>
      </c>
      <c r="E258" s="9"/>
      <c r="F258" s="13" t="s">
        <v>1301</v>
      </c>
      <c r="G258" s="14"/>
      <c r="H258" s="22"/>
      <c r="I258" s="16" t="s">
        <v>29</v>
      </c>
      <c r="J258" s="73">
        <v>27.0</v>
      </c>
      <c r="K258" s="54"/>
      <c r="L258" s="55">
        <v>5.0</v>
      </c>
      <c r="M258" s="18">
        <f>IFNA( VLOOKUP(LEFT(F258, IFERROR(FIND(" ", F258, 1),1) - 1), lists!$A$31:$B$37, 2, FALSE),"")</f>
        <v>5</v>
      </c>
      <c r="N258" s="18" t="str">
        <f>IFERROR(__xludf.DUMMYFUNCTION("IFNA(VLOOKUP(IFNA(REGEXEXTRACT(F258, ""(Пасхи|50-ці|посту)""),""""),lists!$A$39:$B$41,2,FALSE),"""")"),"")</f>
        <v/>
      </c>
      <c r="O258" s="19" t="str">
        <f>IFERROR(__xludf.DUMMYFUNCTION("IFNA(REGEXEXTRACT(F258, ""\d{1,2}""),"""")"),"27")</f>
        <v>27</v>
      </c>
      <c r="P258" s="14" t="b">
        <f t="shared" si="6"/>
        <v>0</v>
      </c>
    </row>
    <row r="259">
      <c r="A259" s="13" t="s">
        <v>1302</v>
      </c>
      <c r="B259" s="9" t="str">
        <f t="shared" si="1"/>
        <v>Лк.</v>
      </c>
      <c r="C259" s="10" t="s">
        <v>1102</v>
      </c>
      <c r="D259" s="11" t="str">
        <f t="shared" si="2"/>
        <v>96</v>
      </c>
      <c r="E259" s="9"/>
      <c r="F259" s="13" t="s">
        <v>1303</v>
      </c>
      <c r="G259" s="14"/>
      <c r="H259" s="15"/>
      <c r="I259" s="16" t="s">
        <v>29</v>
      </c>
      <c r="J259" s="53">
        <v>36.0</v>
      </c>
      <c r="K259" s="55">
        <v>1.0</v>
      </c>
      <c r="L259" s="55">
        <v>1.0</v>
      </c>
      <c r="M259" s="18">
        <f>IFNA( VLOOKUP(LEFT(F259, IFERROR(FIND(" ", F259, 1),1) - 1), lists!$A$31:$B$37, 2, FALSE),"")</f>
        <v>1</v>
      </c>
      <c r="N259" s="18" t="str">
        <f>IFERROR(__xludf.DUMMYFUNCTION("IFNA(VLOOKUP(IFNA(REGEXEXTRACT(F259, ""(Пасхи|50-ці|посту)""),""""),lists!$A$39:$B$41,2,FALSE),"""")"),"")</f>
        <v/>
      </c>
      <c r="O259" s="19" t="str">
        <f>IFERROR(__xludf.DUMMYFUNCTION("IFNA(REGEXEXTRACT(F259, ""\d{1,2}""),"""")"),"")</f>
        <v/>
      </c>
      <c r="P259" s="14" t="b">
        <f t="shared" si="6"/>
        <v>0</v>
      </c>
    </row>
    <row r="260">
      <c r="A260" s="13" t="s">
        <v>1304</v>
      </c>
      <c r="B260" s="9" t="str">
        <f t="shared" si="1"/>
        <v>Лк.</v>
      </c>
      <c r="C260" s="10" t="s">
        <v>1102</v>
      </c>
      <c r="D260" s="11" t="str">
        <f t="shared" si="2"/>
        <v>97</v>
      </c>
      <c r="E260" s="9"/>
      <c r="F260" s="13" t="s">
        <v>1305</v>
      </c>
      <c r="G260" s="14"/>
      <c r="H260" s="22"/>
      <c r="I260" s="16" t="s">
        <v>29</v>
      </c>
      <c r="J260" s="73">
        <v>28.0</v>
      </c>
      <c r="K260" s="54"/>
      <c r="L260" s="55">
        <v>1.0</v>
      </c>
      <c r="M260" s="18">
        <f>IFNA( VLOOKUP(LEFT(F260, IFERROR(FIND(" ", F260, 1),1) - 1), lists!$A$31:$B$37, 2, FALSE),"")</f>
        <v>1</v>
      </c>
      <c r="N260" s="18" t="str">
        <f>IFERROR(__xludf.DUMMYFUNCTION("IFNA(VLOOKUP(IFNA(REGEXEXTRACT(F260, ""(Пасхи|50-ці|посту)""),""""),lists!$A$39:$B$41,2,FALSE),"""")"),"")</f>
        <v/>
      </c>
      <c r="O260" s="19" t="str">
        <f>IFERROR(__xludf.DUMMYFUNCTION("IFNA(REGEXEXTRACT(F260, ""\d{1,2}""),"""")"),"28")</f>
        <v>28</v>
      </c>
      <c r="P260" s="14" t="b">
        <f t="shared" si="6"/>
        <v>0</v>
      </c>
    </row>
    <row r="261">
      <c r="A261" s="13" t="s">
        <v>1306</v>
      </c>
      <c r="B261" s="9" t="str">
        <f t="shared" si="1"/>
        <v>Лк.</v>
      </c>
      <c r="C261" s="10" t="s">
        <v>1102</v>
      </c>
      <c r="D261" s="11" t="str">
        <f t="shared" si="2"/>
        <v>98</v>
      </c>
      <c r="E261" s="9"/>
      <c r="F261" s="13" t="s">
        <v>1307</v>
      </c>
      <c r="G261" s="14"/>
      <c r="H261" s="22"/>
      <c r="I261" s="16" t="s">
        <v>29</v>
      </c>
      <c r="J261" s="73">
        <v>28.0</v>
      </c>
      <c r="K261" s="54"/>
      <c r="L261" s="55">
        <v>2.0</v>
      </c>
      <c r="M261" s="18">
        <f>IFNA( VLOOKUP(LEFT(F261, IFERROR(FIND(" ", F261, 1),1) - 1), lists!$A$31:$B$37, 2, FALSE),"")</f>
        <v>2</v>
      </c>
      <c r="N261" s="18" t="str">
        <f>IFERROR(__xludf.DUMMYFUNCTION("IFNA(VLOOKUP(IFNA(REGEXEXTRACT(F261, ""(Пасхи|50-ці|посту)""),""""),lists!$A$39:$B$41,2,FALSE),"""")"),"")</f>
        <v/>
      </c>
      <c r="O261" s="19" t="str">
        <f>IFERROR(__xludf.DUMMYFUNCTION("IFNA(REGEXEXTRACT(F261, ""\d{1,2}""),"""")"),"28")</f>
        <v>28</v>
      </c>
      <c r="P261" s="14" t="b">
        <f t="shared" si="6"/>
        <v>0</v>
      </c>
    </row>
    <row r="262">
      <c r="A262" s="13" t="s">
        <v>1308</v>
      </c>
      <c r="B262" s="9" t="str">
        <f t="shared" si="1"/>
        <v>Лк.</v>
      </c>
      <c r="C262" s="10" t="s">
        <v>1102</v>
      </c>
      <c r="D262" s="11" t="str">
        <f t="shared" si="2"/>
        <v>99</v>
      </c>
      <c r="E262" s="9"/>
      <c r="F262" s="13" t="s">
        <v>1309</v>
      </c>
      <c r="G262" s="14"/>
      <c r="H262" s="22"/>
      <c r="I262" s="16" t="s">
        <v>29</v>
      </c>
      <c r="J262" s="73">
        <v>28.0</v>
      </c>
      <c r="K262" s="54"/>
      <c r="L262" s="55">
        <v>3.0</v>
      </c>
      <c r="M262" s="18">
        <f>IFNA( VLOOKUP(LEFT(F262, IFERROR(FIND(" ", F262, 1),1) - 1), lists!$A$31:$B$37, 2, FALSE),"")</f>
        <v>3</v>
      </c>
      <c r="N262" s="18" t="str">
        <f>IFERROR(__xludf.DUMMYFUNCTION("IFNA(VLOOKUP(IFNA(REGEXEXTRACT(F262, ""(Пасхи|50-ці|посту)""),""""),lists!$A$39:$B$41,2,FALSE),"""")"),"")</f>
        <v/>
      </c>
      <c r="O262" s="19" t="str">
        <f>IFERROR(__xludf.DUMMYFUNCTION("IFNA(REGEXEXTRACT(F262, ""\d{1,2}""),"""")"),"28")</f>
        <v>28</v>
      </c>
      <c r="P262" s="14" t="b">
        <f t="shared" si="6"/>
        <v>0</v>
      </c>
    </row>
    <row r="263">
      <c r="A263" s="13" t="s">
        <v>1310</v>
      </c>
      <c r="B263" s="9" t="str">
        <f t="shared" si="1"/>
        <v>Лк.</v>
      </c>
      <c r="C263" s="10" t="s">
        <v>1102</v>
      </c>
      <c r="D263" s="11" t="str">
        <f t="shared" si="2"/>
        <v>100</v>
      </c>
      <c r="E263" s="9"/>
      <c r="F263" s="13" t="s">
        <v>1311</v>
      </c>
      <c r="G263" s="14"/>
      <c r="H263" s="22"/>
      <c r="I263" s="16" t="s">
        <v>29</v>
      </c>
      <c r="J263" s="73">
        <v>28.0</v>
      </c>
      <c r="K263" s="54"/>
      <c r="L263" s="55">
        <v>4.0</v>
      </c>
      <c r="M263" s="18">
        <f>IFNA( VLOOKUP(LEFT(F263, IFERROR(FIND(" ", F263, 1),1) - 1), lists!$A$31:$B$37, 2, FALSE),"")</f>
        <v>4</v>
      </c>
      <c r="N263" s="18" t="str">
        <f>IFERROR(__xludf.DUMMYFUNCTION("IFNA(VLOOKUP(IFNA(REGEXEXTRACT(F263, ""(Пасхи|50-ці|посту)""),""""),lists!$A$39:$B$41,2,FALSE),"""")"),"")</f>
        <v/>
      </c>
      <c r="O263" s="19" t="str">
        <f>IFERROR(__xludf.DUMMYFUNCTION("IFNA(REGEXEXTRACT(F263, ""\d{1,2}""),"""")"),"28")</f>
        <v>28</v>
      </c>
      <c r="P263" s="14" t="b">
        <f t="shared" si="6"/>
        <v>0</v>
      </c>
    </row>
    <row r="264">
      <c r="A264" s="13" t="s">
        <v>1312</v>
      </c>
      <c r="B264" s="9" t="str">
        <f t="shared" si="1"/>
        <v>Лк.</v>
      </c>
      <c r="C264" s="10" t="s">
        <v>1102</v>
      </c>
      <c r="D264" s="11" t="str">
        <f t="shared" si="2"/>
        <v>101</v>
      </c>
      <c r="E264" s="9"/>
      <c r="F264" s="13" t="s">
        <v>1313</v>
      </c>
      <c r="G264" s="14"/>
      <c r="H264" s="22"/>
      <c r="I264" s="16" t="s">
        <v>29</v>
      </c>
      <c r="J264" s="73">
        <v>28.0</v>
      </c>
      <c r="K264" s="54"/>
      <c r="L264" s="55">
        <v>5.0</v>
      </c>
      <c r="M264" s="18">
        <f>IFNA( VLOOKUP(LEFT(F264, IFERROR(FIND(" ", F264, 1),1) - 1), lists!$A$31:$B$37, 2, FALSE),"")</f>
        <v>5</v>
      </c>
      <c r="N264" s="18" t="str">
        <f>IFERROR(__xludf.DUMMYFUNCTION("IFNA(VLOOKUP(IFNA(REGEXEXTRACT(F264, ""(Пасхи|50-ці|посту)""),""""),lists!$A$39:$B$41,2,FALSE),"""")"),"")</f>
        <v/>
      </c>
      <c r="O264" s="19" t="str">
        <f>IFERROR(__xludf.DUMMYFUNCTION("IFNA(REGEXEXTRACT(F264, ""\d{1,2}""),"""")"),"28")</f>
        <v>28</v>
      </c>
      <c r="P264" s="14" t="b">
        <f t="shared" si="6"/>
        <v>0</v>
      </c>
    </row>
    <row r="265">
      <c r="A265" s="13" t="s">
        <v>1314</v>
      </c>
      <c r="B265" s="9" t="str">
        <f t="shared" si="1"/>
        <v>Лк.</v>
      </c>
      <c r="C265" s="10" t="s">
        <v>1102</v>
      </c>
      <c r="D265" s="11" t="str">
        <f t="shared" si="2"/>
        <v>102</v>
      </c>
      <c r="E265" s="9"/>
      <c r="F265" s="13" t="s">
        <v>1315</v>
      </c>
      <c r="G265" s="14"/>
      <c r="H265" s="15"/>
      <c r="I265" s="16" t="s">
        <v>29</v>
      </c>
      <c r="J265" s="73">
        <v>29.0</v>
      </c>
      <c r="K265" s="54"/>
      <c r="L265" s="55">
        <v>1.0</v>
      </c>
      <c r="M265" s="18">
        <f>IFNA( VLOOKUP(LEFT(F265, IFERROR(FIND(" ", F265, 1),1) - 1), lists!$A$31:$B$37, 2, FALSE),"")</f>
        <v>1</v>
      </c>
      <c r="N265" s="18" t="str">
        <f>IFERROR(__xludf.DUMMYFUNCTION("IFNA(VLOOKUP(IFNA(REGEXEXTRACT(F265, ""(Пасхи|50-ці|посту)""),""""),lists!$A$39:$B$41,2,FALSE),"""")"),"")</f>
        <v/>
      </c>
      <c r="O265" s="19" t="str">
        <f>IFERROR(__xludf.DUMMYFUNCTION("IFNA(REGEXEXTRACT(F265, ""\d{1,2}""),"""")"),"29")</f>
        <v>29</v>
      </c>
      <c r="P265" s="14" t="b">
        <f t="shared" si="6"/>
        <v>0</v>
      </c>
    </row>
    <row r="266">
      <c r="A266" s="13" t="s">
        <v>1316</v>
      </c>
      <c r="B266" s="9" t="str">
        <f t="shared" si="1"/>
        <v>Лк.</v>
      </c>
      <c r="C266" s="10" t="s">
        <v>1102</v>
      </c>
      <c r="D266" s="11" t="str">
        <f t="shared" si="2"/>
        <v>103</v>
      </c>
      <c r="E266" s="9"/>
      <c r="F266" s="13" t="s">
        <v>1317</v>
      </c>
      <c r="G266" s="14"/>
      <c r="H266" s="22"/>
      <c r="I266" s="16" t="s">
        <v>29</v>
      </c>
      <c r="J266" s="73">
        <v>34.0</v>
      </c>
      <c r="K266" s="54"/>
      <c r="L266" s="55">
        <v>6.0</v>
      </c>
      <c r="M266" s="18">
        <f>IFNA( VLOOKUP(LEFT(F266, IFERROR(FIND(" ", F266, 1),1) - 1), lists!$A$31:$B$37, 2, FALSE),"")</f>
        <v>6</v>
      </c>
      <c r="N266" s="18" t="str">
        <f>IFERROR(__xludf.DUMMYFUNCTION("IFNA(VLOOKUP(IFNA(REGEXEXTRACT(F266, ""(Пасхи|50-ці|посту)""),""""),lists!$A$39:$B$41,2,FALSE),"""")"),"")</f>
        <v/>
      </c>
      <c r="O266" s="19" t="str">
        <f>IFERROR(__xludf.DUMMYFUNCTION("IFNA(REGEXEXTRACT(F266, ""\d{1,2}""),"""")"),"34")</f>
        <v>34</v>
      </c>
      <c r="P266" s="14" t="b">
        <f t="shared" si="6"/>
        <v>0</v>
      </c>
    </row>
    <row r="267">
      <c r="A267" s="13" t="s">
        <v>1318</v>
      </c>
      <c r="B267" s="9" t="str">
        <f t="shared" si="1"/>
        <v>Лк.</v>
      </c>
      <c r="C267" s="10" t="s">
        <v>1102</v>
      </c>
      <c r="D267" s="11" t="str">
        <f t="shared" si="2"/>
        <v>104</v>
      </c>
      <c r="E267" s="9"/>
      <c r="F267" s="13" t="s">
        <v>1319</v>
      </c>
      <c r="G267" s="14"/>
      <c r="H267" s="22"/>
      <c r="I267" s="16" t="s">
        <v>29</v>
      </c>
      <c r="J267" s="73">
        <v>29.0</v>
      </c>
      <c r="K267" s="54"/>
      <c r="L267" s="55">
        <v>3.0</v>
      </c>
      <c r="M267" s="18">
        <f>IFNA( VLOOKUP(LEFT(F267, IFERROR(FIND(" ", F267, 1),1) - 1), lists!$A$31:$B$37, 2, FALSE),"")</f>
        <v>3</v>
      </c>
      <c r="N267" s="18" t="str">
        <f>IFERROR(__xludf.DUMMYFUNCTION("IFNA(VLOOKUP(IFNA(REGEXEXTRACT(F267, ""(Пасхи|50-ці|посту)""),""""),lists!$A$39:$B$41,2,FALSE),"""")"),"")</f>
        <v/>
      </c>
      <c r="O267" s="19" t="str">
        <f>IFERROR(__xludf.DUMMYFUNCTION("IFNA(REGEXEXTRACT(F267, ""\d{1,2}""),"""")"),"29")</f>
        <v>29</v>
      </c>
      <c r="P267" s="14" t="b">
        <f t="shared" si="6"/>
        <v>0</v>
      </c>
    </row>
    <row r="268">
      <c r="A268" s="13" t="s">
        <v>1320</v>
      </c>
      <c r="B268" s="9" t="str">
        <f t="shared" si="1"/>
        <v>Лк.</v>
      </c>
      <c r="C268" s="10" t="s">
        <v>1102</v>
      </c>
      <c r="D268" s="11" t="str">
        <f t="shared" si="2"/>
        <v>105</v>
      </c>
      <c r="E268" s="9"/>
      <c r="F268" s="13" t="s">
        <v>1321</v>
      </c>
      <c r="G268" s="14"/>
      <c r="H268" s="15"/>
      <c r="I268" s="16" t="s">
        <v>29</v>
      </c>
      <c r="J268" s="53">
        <v>35.0</v>
      </c>
      <c r="K268" s="55">
        <v>2.0</v>
      </c>
      <c r="L268" s="55">
        <v>6.0</v>
      </c>
      <c r="M268" s="18">
        <f>IFNA( VLOOKUP(LEFT(F268, IFERROR(FIND(" ", F268, 1),1) - 1), lists!$A$31:$B$37, 2, FALSE),"")</f>
        <v>6</v>
      </c>
      <c r="N268" s="18" t="str">
        <f>IFERROR(__xludf.DUMMYFUNCTION("IFNA(VLOOKUP(IFNA(REGEXEXTRACT(F268, ""(Пасхи|50-ці|посту)""),""""),lists!$A$39:$B$41,2,FALSE),"""")"),"")</f>
        <v/>
      </c>
      <c r="O268" s="19" t="str">
        <f>IFERROR(__xludf.DUMMYFUNCTION("IFNA(REGEXEXTRACT(F268, ""\d{1,2}""),"""")"),"")</f>
        <v/>
      </c>
      <c r="P268" s="14" t="b">
        <f t="shared" si="6"/>
        <v>0</v>
      </c>
    </row>
    <row r="269">
      <c r="A269" s="13" t="s">
        <v>1322</v>
      </c>
      <c r="B269" s="9" t="str">
        <f t="shared" si="1"/>
        <v>Лк.</v>
      </c>
      <c r="C269" s="10" t="s">
        <v>1102</v>
      </c>
      <c r="D269" s="11" t="str">
        <f t="shared" si="2"/>
        <v>106</v>
      </c>
      <c r="E269" s="9"/>
      <c r="F269" s="21" t="s">
        <v>1323</v>
      </c>
      <c r="G269" s="14"/>
      <c r="H269" s="22"/>
      <c r="I269" s="16" t="s">
        <v>29</v>
      </c>
      <c r="J269" s="73">
        <v>29.0</v>
      </c>
      <c r="K269" s="54"/>
      <c r="L269" s="55">
        <v>2.0</v>
      </c>
      <c r="M269" s="18">
        <f>IFNA( VLOOKUP(LEFT(F269, IFERROR(FIND(" ", F269, 1),1) - 1), lists!$A$31:$B$37, 2, FALSE),"")</f>
        <v>2</v>
      </c>
      <c r="N269" s="18" t="str">
        <f>IFERROR(__xludf.DUMMYFUNCTION("IFNA(VLOOKUP(IFNA(REGEXEXTRACT(F269, ""(Пасхи|50-ці|посту)""),""""),lists!$A$39:$B$41,2,FALSE),"""")"),"")</f>
        <v/>
      </c>
      <c r="O269" s="19" t="str">
        <f>IFERROR(__xludf.DUMMYFUNCTION("IFNA(REGEXEXTRACT(F269, ""\d{1,2}""),"""")"),"29")</f>
        <v>29</v>
      </c>
      <c r="P269" s="14" t="b">
        <f t="shared" si="6"/>
        <v>0</v>
      </c>
    </row>
    <row r="270">
      <c r="A270" s="13" t="s">
        <v>1324</v>
      </c>
      <c r="B270" s="9" t="str">
        <f t="shared" si="1"/>
        <v>Лк.</v>
      </c>
      <c r="C270" s="10" t="s">
        <v>1102</v>
      </c>
      <c r="D270" s="11" t="str">
        <f t="shared" si="2"/>
        <v>107</v>
      </c>
      <c r="E270" s="9"/>
      <c r="F270" s="13" t="s">
        <v>1325</v>
      </c>
      <c r="G270" s="14"/>
      <c r="H270" s="22"/>
      <c r="I270" s="16" t="s">
        <v>29</v>
      </c>
      <c r="J270" s="73">
        <v>29.0</v>
      </c>
      <c r="K270" s="54"/>
      <c r="L270" s="55">
        <v>4.0</v>
      </c>
      <c r="M270" s="18">
        <f>IFNA( VLOOKUP(LEFT(F270, IFERROR(FIND(" ", F270, 1),1) - 1), lists!$A$31:$B$37, 2, FALSE),"")</f>
        <v>4</v>
      </c>
      <c r="N270" s="18" t="str">
        <f>IFERROR(__xludf.DUMMYFUNCTION("IFNA(VLOOKUP(IFNA(REGEXEXTRACT(F270, ""(Пасхи|50-ці|посту)""),""""),lists!$A$39:$B$41,2,FALSE),"""")"),"")</f>
        <v/>
      </c>
      <c r="O270" s="19" t="str">
        <f>IFERROR(__xludf.DUMMYFUNCTION("IFNA(REGEXEXTRACT(F270, ""\d{1,2}""),"""")"),"29")</f>
        <v>29</v>
      </c>
      <c r="P270" s="14" t="b">
        <f t="shared" si="6"/>
        <v>0</v>
      </c>
    </row>
    <row r="271">
      <c r="A271" s="13" t="s">
        <v>1326</v>
      </c>
      <c r="B271" s="9" t="str">
        <f t="shared" si="1"/>
        <v>Лк.</v>
      </c>
      <c r="C271" s="10" t="s">
        <v>1102</v>
      </c>
      <c r="D271" s="11" t="str">
        <f t="shared" si="2"/>
        <v>108</v>
      </c>
      <c r="E271" s="12" t="s">
        <v>18</v>
      </c>
      <c r="F271" s="13" t="s">
        <v>1327</v>
      </c>
      <c r="G271" s="9"/>
      <c r="H271" s="15"/>
      <c r="I271" s="16" t="s">
        <v>20</v>
      </c>
      <c r="J271" s="53">
        <v>7.0</v>
      </c>
      <c r="K271" s="54"/>
      <c r="L271" s="55">
        <v>4.0</v>
      </c>
      <c r="M271" s="18" t="str">
        <f>IFNA( VLOOKUP(LEFT(F271, IFERROR(FIND(" ", F271, 1),1) - 1), lists!$A$31:$B$37, 2, FALSE),"")</f>
        <v/>
      </c>
      <c r="N271" s="18" t="str">
        <f>IFERROR(__xludf.DUMMYFUNCTION("IFNA(VLOOKUP(IFNA(REGEXEXTRACT(F271, ""(Пасхи|50-ці|посту)""),""""),lists!$A$39:$B$41,2,FALSE),"""")"),"")</f>
        <v/>
      </c>
      <c r="O271" s="19" t="str">
        <f>IFERROR(__xludf.DUMMYFUNCTION("IFNA(REGEXEXTRACT(F271, ""\d{1,2}""),"""")"),"10")</f>
        <v>10</v>
      </c>
      <c r="P271" s="14" t="b">
        <f t="shared" si="6"/>
        <v>0</v>
      </c>
    </row>
    <row r="272">
      <c r="A272" s="13" t="s">
        <v>1328</v>
      </c>
      <c r="B272" s="9" t="str">
        <f t="shared" si="1"/>
        <v>Лк.</v>
      </c>
      <c r="C272" s="10" t="s">
        <v>1102</v>
      </c>
      <c r="D272" s="11" t="str">
        <f t="shared" si="2"/>
        <v>108</v>
      </c>
      <c r="E272" s="12" t="s">
        <v>22</v>
      </c>
      <c r="F272" s="13" t="s">
        <v>1329</v>
      </c>
      <c r="G272" s="14"/>
      <c r="H272" s="22"/>
      <c r="I272" s="16" t="s">
        <v>29</v>
      </c>
      <c r="J272" s="73">
        <v>29.0</v>
      </c>
      <c r="K272" s="54"/>
      <c r="L272" s="55">
        <v>5.0</v>
      </c>
      <c r="M272" s="18">
        <f>IFNA( VLOOKUP(LEFT(F272, IFERROR(FIND(" ", F272, 1),1) - 1), lists!$A$31:$B$37, 2, FALSE),"")</f>
        <v>5</v>
      </c>
      <c r="N272" s="18" t="str">
        <f>IFERROR(__xludf.DUMMYFUNCTION("IFNA(VLOOKUP(IFNA(REGEXEXTRACT(F272, ""(Пасхи|50-ці|посту)""),""""),lists!$A$39:$B$41,2,FALSE),"""")"),"")</f>
        <v/>
      </c>
      <c r="O272" s="19" t="str">
        <f>IFERROR(__xludf.DUMMYFUNCTION("IFNA(REGEXEXTRACT(F272, ""\d{1,2}""),"""")"),"29")</f>
        <v>29</v>
      </c>
      <c r="P272" s="14" t="b">
        <f t="shared" si="6"/>
        <v>0</v>
      </c>
    </row>
    <row r="273">
      <c r="A273" s="13" t="s">
        <v>1330</v>
      </c>
      <c r="B273" s="9" t="str">
        <f t="shared" si="1"/>
        <v>Лк.</v>
      </c>
      <c r="C273" s="10" t="s">
        <v>1102</v>
      </c>
      <c r="D273" s="11" t="str">
        <f t="shared" si="2"/>
        <v>109</v>
      </c>
      <c r="E273" s="9"/>
      <c r="F273" s="13" t="s">
        <v>1331</v>
      </c>
      <c r="G273" s="14"/>
      <c r="H273" s="15"/>
      <c r="I273" s="16" t="s">
        <v>29</v>
      </c>
      <c r="J273" s="53">
        <v>36.0</v>
      </c>
      <c r="K273" s="55">
        <v>1.0</v>
      </c>
      <c r="L273" s="55">
        <v>2.0</v>
      </c>
      <c r="M273" s="18">
        <f>IFNA( VLOOKUP(LEFT(F273, IFERROR(FIND(" ", F273, 1),1) - 1), lists!$A$31:$B$37, 2, FALSE),"")</f>
        <v>2</v>
      </c>
      <c r="N273" s="18" t="str">
        <f>IFERROR(__xludf.DUMMYFUNCTION("IFNA(VLOOKUP(IFNA(REGEXEXTRACT(F273, ""(Пасхи|50-ці|посту)""),""""),lists!$A$39:$B$41,2,FALSE),"""")"),"")</f>
        <v/>
      </c>
      <c r="O273" s="19" t="str">
        <f>IFERROR(__xludf.DUMMYFUNCTION("IFNA(REGEXEXTRACT(F273, ""\d{1,2}""),"""")"),"")</f>
        <v/>
      </c>
      <c r="P273" s="14" t="b">
        <f t="shared" si="6"/>
        <v>0</v>
      </c>
    </row>
    <row r="274">
      <c r="A274" s="13" t="s">
        <v>1332</v>
      </c>
      <c r="B274" s="9" t="str">
        <f t="shared" si="1"/>
        <v>Лк.</v>
      </c>
      <c r="C274" s="10" t="s">
        <v>1102</v>
      </c>
      <c r="D274" s="11" t="str">
        <f t="shared" si="2"/>
        <v>110</v>
      </c>
      <c r="E274" s="9"/>
      <c r="F274" s="13" t="s">
        <v>1333</v>
      </c>
      <c r="G274" s="14"/>
      <c r="H274" s="22"/>
      <c r="I274" s="16" t="s">
        <v>29</v>
      </c>
      <c r="J274" s="53">
        <v>36.0</v>
      </c>
      <c r="K274" s="55">
        <v>1.0</v>
      </c>
      <c r="L274" s="55">
        <v>4.0</v>
      </c>
      <c r="M274" s="18">
        <f>IFNA( VLOOKUP(LEFT(F274, IFERROR(FIND(" ", F274, 1),1) - 1), lists!$A$31:$B$37, 2, FALSE),"")</f>
        <v>4</v>
      </c>
      <c r="N274" s="18" t="str">
        <f>IFERROR(__xludf.DUMMYFUNCTION("IFNA(VLOOKUP(IFNA(REGEXEXTRACT(F274, ""(Пасхи|50-ці|посту)""),""""),lists!$A$39:$B$41,2,FALSE),"""")"),"")</f>
        <v/>
      </c>
      <c r="O274" s="19" t="str">
        <f>IFERROR(__xludf.DUMMYFUNCTION("IFNA(REGEXEXTRACT(F274, ""\d{1,2}""),"""")"),"")</f>
        <v/>
      </c>
      <c r="P274" s="14" t="b">
        <f t="shared" si="6"/>
        <v>0</v>
      </c>
    </row>
    <row r="275">
      <c r="A275" s="13" t="s">
        <v>1334</v>
      </c>
      <c r="B275" s="9" t="str">
        <f t="shared" si="1"/>
        <v>Лк.</v>
      </c>
      <c r="C275" s="10" t="s">
        <v>1102</v>
      </c>
      <c r="D275" s="11" t="str">
        <f t="shared" si="2"/>
        <v>111</v>
      </c>
      <c r="E275" s="9"/>
      <c r="F275" s="13" t="s">
        <v>1335</v>
      </c>
      <c r="G275" s="14"/>
      <c r="H275" s="15" t="s">
        <v>70</v>
      </c>
      <c r="I275" s="16" t="s">
        <v>71</v>
      </c>
      <c r="J275" s="73">
        <v>8.0</v>
      </c>
      <c r="K275" s="54"/>
      <c r="L275" s="55" t="s">
        <v>71</v>
      </c>
      <c r="M275" s="18" t="str">
        <f>IFNA( VLOOKUP(LEFT(F275, IFERROR(FIND(" ", F275, 1),1) - 1), lists!$A$31:$B$37, 2, FALSE),"")</f>
        <v/>
      </c>
      <c r="N275" s="18" t="str">
        <f>IFERROR(__xludf.DUMMYFUNCTION("IFNA(VLOOKUP(IFNA(REGEXEXTRACT(F275, ""(Пасхи|50-ці|посту)""),""""),lists!$A$39:$B$41,2,FALSE),"""")"),"")</f>
        <v/>
      </c>
      <c r="O275" s="19" t="str">
        <f>IFERROR(__xludf.DUMMYFUNCTION("IFNA(REGEXEXTRACT(F275, ""\d{1,2}""),"""")"),"8")</f>
        <v>8</v>
      </c>
      <c r="P275" s="14" t="b">
        <f t="shared" si="6"/>
        <v>0</v>
      </c>
    </row>
    <row r="276">
      <c r="A276" s="13" t="s">
        <v>1336</v>
      </c>
      <c r="B276" s="9" t="str">
        <f t="shared" si="1"/>
        <v>Лк.</v>
      </c>
      <c r="C276" s="10" t="s">
        <v>1102</v>
      </c>
      <c r="D276" s="11" t="str">
        <f t="shared" si="2"/>
        <v>112</v>
      </c>
      <c r="E276" s="9"/>
      <c r="F276" s="13" t="s">
        <v>1337</v>
      </c>
      <c r="G276" s="14"/>
      <c r="H276" s="15" t="s">
        <v>70</v>
      </c>
      <c r="I276" s="16" t="s">
        <v>71</v>
      </c>
      <c r="J276" s="73">
        <v>4.0</v>
      </c>
      <c r="K276" s="54"/>
      <c r="L276" s="55" t="s">
        <v>71</v>
      </c>
      <c r="M276" s="18" t="str">
        <f>IFNA( VLOOKUP(LEFT(F276, IFERROR(FIND(" ", F276, 1),1) - 1), lists!$A$31:$B$37, 2, FALSE),"")</f>
        <v/>
      </c>
      <c r="N276" s="18" t="str">
        <f>IFERROR(__xludf.DUMMYFUNCTION("IFNA(VLOOKUP(IFNA(REGEXEXTRACT(F276, ""(Пасхи|50-ці|посту)""),""""),lists!$A$39:$B$41,2,FALSE),"""")"),"")</f>
        <v/>
      </c>
      <c r="O276" s="19" t="str">
        <f>IFERROR(__xludf.DUMMYFUNCTION("IFNA(REGEXEXTRACT(F276, ""\d{1,2}""),"""")"),"4")</f>
        <v>4</v>
      </c>
      <c r="P276" s="14" t="b">
        <f t="shared" si="6"/>
        <v>0</v>
      </c>
    </row>
    <row r="277">
      <c r="A277" s="13" t="s">
        <v>1338</v>
      </c>
      <c r="B277" s="9" t="str">
        <f t="shared" si="1"/>
        <v>Лк.</v>
      </c>
      <c r="C277" s="10" t="s">
        <v>1102</v>
      </c>
      <c r="D277" s="11" t="str">
        <f t="shared" si="2"/>
        <v>113</v>
      </c>
      <c r="E277" s="9"/>
      <c r="F277" s="21" t="s">
        <v>1339</v>
      </c>
      <c r="G277" s="14"/>
      <c r="H277" s="15" t="s">
        <v>70</v>
      </c>
      <c r="I277" s="16" t="s">
        <v>24</v>
      </c>
      <c r="J277" s="53">
        <v>1.0</v>
      </c>
      <c r="K277" s="54"/>
      <c r="L277" s="55">
        <v>2.0</v>
      </c>
      <c r="M277" s="18">
        <f>IFNA( VLOOKUP(LEFT(F277, IFERROR(FIND(" ", F277, 1),1) - 1), lists!$A$31:$B$37, 2, FALSE),"")</f>
        <v>2</v>
      </c>
      <c r="N277" s="18" t="str">
        <f>IFERROR(__xludf.DUMMYFUNCTION("IFNA(VLOOKUP(IFNA(REGEXEXTRACT(F277, ""(Пасхи|50-ці|посту)""),""""),lists!$A$39:$B$41,2,FALSE),"""")"),"")</f>
        <v/>
      </c>
      <c r="O277" s="19" t="str">
        <f>IFERROR(__xludf.DUMMYFUNCTION("IFNA(REGEXEXTRACT(F277, ""\d{1,2}""),"""")"),"5")</f>
        <v>5</v>
      </c>
      <c r="P277" s="14" t="b">
        <f t="shared" si="6"/>
        <v>0</v>
      </c>
    </row>
    <row r="278">
      <c r="A278" s="13" t="s">
        <v>1340</v>
      </c>
      <c r="B278" s="9" t="str">
        <f t="shared" si="1"/>
        <v>Лк.</v>
      </c>
      <c r="C278" s="10" t="s">
        <v>1102</v>
      </c>
      <c r="D278" s="11" t="str">
        <f t="shared" si="2"/>
        <v>114</v>
      </c>
      <c r="E278" s="9"/>
      <c r="F278" s="13" t="s">
        <v>1341</v>
      </c>
      <c r="G278" s="14"/>
      <c r="H278" s="15" t="s">
        <v>70</v>
      </c>
      <c r="I278" s="16" t="s">
        <v>24</v>
      </c>
      <c r="J278" s="53">
        <v>5.0</v>
      </c>
      <c r="K278" s="54"/>
      <c r="L278" s="55">
        <v>4.0</v>
      </c>
      <c r="M278" s="18" t="str">
        <f>IFNA( VLOOKUP(LEFT(F278, IFERROR(FIND(" ", F278, 1),1) - 1), lists!$A$31:$B$37, 2, FALSE),"")</f>
        <v/>
      </c>
      <c r="N278" s="18" t="str">
        <f>IFERROR(__xludf.DUMMYFUNCTION("IFNA(VLOOKUP(IFNA(REGEXEXTRACT(F278, ""(Пасхи|50-ці|посту)""),""""),lists!$A$39:$B$41,2,FALSE),"""")"),"")</f>
        <v/>
      </c>
      <c r="O278" s="19" t="str">
        <f>IFERROR(__xludf.DUMMYFUNCTION("IFNA(REGEXEXTRACT(F278, ""\d{1,2}""),"""")"),"6")</f>
        <v>6</v>
      </c>
      <c r="P278" s="14" t="b">
        <f t="shared" si="6"/>
        <v>0</v>
      </c>
    </row>
    <row r="279">
      <c r="A279" s="13" t="s">
        <v>1342</v>
      </c>
      <c r="B279" s="9" t="str">
        <f t="shared" si="1"/>
        <v>Мр.</v>
      </c>
      <c r="C279" s="10" t="s">
        <v>1343</v>
      </c>
      <c r="D279" s="11" t="str">
        <f t="shared" si="2"/>
        <v>1</v>
      </c>
      <c r="E279" s="9"/>
      <c r="F279" s="13" t="s">
        <v>1344</v>
      </c>
      <c r="G279" s="14"/>
      <c r="H279" s="15" t="s">
        <v>70</v>
      </c>
      <c r="I279" s="16" t="s">
        <v>71</v>
      </c>
      <c r="J279" s="73">
        <v>3.0</v>
      </c>
      <c r="K279" s="54"/>
      <c r="L279" s="55">
        <v>7.0</v>
      </c>
      <c r="M279" s="18">
        <f>IFNA( VLOOKUP(LEFT(F279, IFERROR(FIND(" ", F279, 1),1) - 1), lists!$A$31:$B$37, 2, FALSE),"")</f>
        <v>7</v>
      </c>
      <c r="N279" s="18" t="str">
        <f>IFERROR(__xludf.DUMMYFUNCTION("IFNA(VLOOKUP(IFNA(REGEXEXTRACT(F279, ""(Пасхи|50-ці|посту)""),""""),lists!$A$39:$B$41,2,FALSE),"""")"),"")</f>
        <v/>
      </c>
      <c r="O279" s="19" t="str">
        <f>IFERROR(__xludf.DUMMYFUNCTION("IFNA(REGEXEXTRACT(F279, ""\d{1,2}""),"""")"),"3")</f>
        <v>3</v>
      </c>
      <c r="P279" s="14" t="b">
        <f t="shared" si="6"/>
        <v>0</v>
      </c>
    </row>
    <row r="280">
      <c r="A280" s="13" t="s">
        <v>1345</v>
      </c>
      <c r="B280" s="9" t="str">
        <f t="shared" si="1"/>
        <v>Мр.</v>
      </c>
      <c r="C280" s="10" t="s">
        <v>1343</v>
      </c>
      <c r="D280" s="11" t="str">
        <f t="shared" si="2"/>
        <v>2</v>
      </c>
      <c r="E280" s="26" t="s">
        <v>22</v>
      </c>
      <c r="F280" s="13" t="s">
        <v>1346</v>
      </c>
      <c r="G280" s="14"/>
      <c r="H280" s="15" t="s">
        <v>70</v>
      </c>
      <c r="I280" s="16" t="s">
        <v>71</v>
      </c>
      <c r="J280" s="73" t="s">
        <v>71</v>
      </c>
      <c r="K280" s="54"/>
      <c r="L280" s="55" t="s">
        <v>71</v>
      </c>
      <c r="M280" s="18" t="str">
        <f>IFNA( VLOOKUP(LEFT(F280, IFERROR(FIND(" ", F280, 1),1) - 1), lists!$A$31:$B$37, 2, FALSE),"")</f>
        <v/>
      </c>
      <c r="N280" s="18" t="str">
        <f>IFERROR(__xludf.DUMMYFUNCTION("IFNA(VLOOKUP(IFNA(REGEXEXTRACT(F280, ""(Пасхи|50-ці|посту)""),""""),lists!$A$39:$B$41,2,FALSE),"""")"),"")</f>
        <v/>
      </c>
      <c r="O280" s="19" t="str">
        <f>IFERROR(__xludf.DUMMYFUNCTION("IFNA(REGEXEXTRACT(F280, ""\d{1,2}""),"""")"),"")</f>
        <v/>
      </c>
      <c r="P280" s="14" t="b">
        <f t="shared" si="6"/>
        <v>0</v>
      </c>
    </row>
    <row r="281">
      <c r="A281" s="13" t="s">
        <v>1347</v>
      </c>
      <c r="B281" s="9" t="str">
        <f t="shared" si="1"/>
        <v>Мр.</v>
      </c>
      <c r="C281" s="10" t="s">
        <v>1343</v>
      </c>
      <c r="D281" s="11" t="str">
        <f t="shared" si="2"/>
        <v>2</v>
      </c>
      <c r="E281" s="26" t="s">
        <v>18</v>
      </c>
      <c r="F281" s="13" t="s">
        <v>1348</v>
      </c>
      <c r="G281" s="14"/>
      <c r="H281" s="15" t="s">
        <v>70</v>
      </c>
      <c r="I281" s="16" t="s">
        <v>29</v>
      </c>
      <c r="J281" s="73">
        <v>12.0</v>
      </c>
      <c r="K281" s="54"/>
      <c r="L281" s="55">
        <v>1.0</v>
      </c>
      <c r="M281" s="18">
        <f>IFNA( VLOOKUP(LEFT(F281, IFERROR(FIND(" ", F281, 1),1) - 1), lists!$A$31:$B$37, 2, FALSE),"")</f>
        <v>1</v>
      </c>
      <c r="N281" s="18" t="str">
        <f>IFERROR(__xludf.DUMMYFUNCTION("IFNA(VLOOKUP(IFNA(REGEXEXTRACT(F281, ""(Пасхи|50-ці|посту)""),""""),lists!$A$39:$B$41,2,FALSE),"""")"),"")</f>
        <v/>
      </c>
      <c r="O281" s="19" t="str">
        <f>IFERROR(__xludf.DUMMYFUNCTION("IFNA(REGEXEXTRACT(F281, ""\d{1,2}""),"""")"),"12")</f>
        <v>12</v>
      </c>
      <c r="P281" s="14" t="b">
        <f t="shared" si="6"/>
        <v>0</v>
      </c>
    </row>
    <row r="282">
      <c r="A282" s="13" t="s">
        <v>1349</v>
      </c>
      <c r="B282" s="9" t="str">
        <f t="shared" si="1"/>
        <v>Мр.</v>
      </c>
      <c r="C282" s="10" t="s">
        <v>1343</v>
      </c>
      <c r="D282" s="11" t="str">
        <f t="shared" si="2"/>
        <v>3</v>
      </c>
      <c r="E282" s="9"/>
      <c r="F282" s="13" t="s">
        <v>1350</v>
      </c>
      <c r="G282" s="14"/>
      <c r="H282" s="22"/>
      <c r="I282" s="16" t="s">
        <v>29</v>
      </c>
      <c r="J282" s="73">
        <v>12.0</v>
      </c>
      <c r="K282" s="54"/>
      <c r="L282" s="55">
        <v>2.0</v>
      </c>
      <c r="M282" s="18">
        <f>IFNA( VLOOKUP(LEFT(F282, IFERROR(FIND(" ", F282, 1),1) - 1), lists!$A$31:$B$37, 2, FALSE),"")</f>
        <v>2</v>
      </c>
      <c r="N282" s="18" t="str">
        <f>IFERROR(__xludf.DUMMYFUNCTION("IFNA(VLOOKUP(IFNA(REGEXEXTRACT(F282, ""(Пасхи|50-ці|посту)""),""""),lists!$A$39:$B$41,2,FALSE),"""")"),"")</f>
        <v/>
      </c>
      <c r="O282" s="19" t="str">
        <f>IFERROR(__xludf.DUMMYFUNCTION("IFNA(REGEXEXTRACT(F282, ""\d{1,2}""),"""")"),"12")</f>
        <v>12</v>
      </c>
      <c r="P282" s="14" t="b">
        <f t="shared" si="6"/>
        <v>0</v>
      </c>
    </row>
    <row r="283">
      <c r="A283" s="13" t="s">
        <v>1351</v>
      </c>
      <c r="B283" s="9" t="str">
        <f t="shared" si="1"/>
        <v>Мр.</v>
      </c>
      <c r="C283" s="10" t="s">
        <v>1343</v>
      </c>
      <c r="D283" s="11" t="str">
        <f t="shared" si="2"/>
        <v>4</v>
      </c>
      <c r="E283" s="9"/>
      <c r="F283" s="13" t="s">
        <v>1352</v>
      </c>
      <c r="G283" s="14"/>
      <c r="H283" s="22"/>
      <c r="I283" s="16" t="s">
        <v>29</v>
      </c>
      <c r="J283" s="73">
        <v>12.0</v>
      </c>
      <c r="K283" s="54"/>
      <c r="L283" s="55">
        <v>3.0</v>
      </c>
      <c r="M283" s="18">
        <f>IFNA( VLOOKUP(LEFT(F283, IFERROR(FIND(" ", F283, 1),1) - 1), lists!$A$31:$B$37, 2, FALSE),"")</f>
        <v>3</v>
      </c>
      <c r="N283" s="18" t="str">
        <f>IFERROR(__xludf.DUMMYFUNCTION("IFNA(VLOOKUP(IFNA(REGEXEXTRACT(F283, ""(Пасхи|50-ці|посту)""),""""),lists!$A$39:$B$41,2,FALSE),"""")"),"")</f>
        <v/>
      </c>
      <c r="O283" s="19" t="str">
        <f>IFERROR(__xludf.DUMMYFUNCTION("IFNA(REGEXEXTRACT(F283, ""\d{1,2}""),"""")"),"12")</f>
        <v>12</v>
      </c>
      <c r="P283" s="14" t="b">
        <f t="shared" si="6"/>
        <v>0</v>
      </c>
    </row>
    <row r="284">
      <c r="A284" s="13" t="s">
        <v>1353</v>
      </c>
      <c r="B284" s="9" t="str">
        <f t="shared" si="1"/>
        <v>Мр.</v>
      </c>
      <c r="C284" s="10" t="s">
        <v>1343</v>
      </c>
      <c r="D284" s="11" t="str">
        <f t="shared" si="2"/>
        <v>5</v>
      </c>
      <c r="E284" s="9"/>
      <c r="F284" s="13" t="s">
        <v>1354</v>
      </c>
      <c r="G284" s="14"/>
      <c r="H284" s="22"/>
      <c r="I284" s="16" t="s">
        <v>29</v>
      </c>
      <c r="J284" s="73">
        <v>12.0</v>
      </c>
      <c r="K284" s="54"/>
      <c r="L284" s="55">
        <v>4.0</v>
      </c>
      <c r="M284" s="18">
        <f>IFNA( VLOOKUP(LEFT(F284, IFERROR(FIND(" ", F284, 1),1) - 1), lists!$A$31:$B$37, 2, FALSE),"")</f>
        <v>4</v>
      </c>
      <c r="N284" s="18" t="str">
        <f>IFERROR(__xludf.DUMMYFUNCTION("IFNA(VLOOKUP(IFNA(REGEXEXTRACT(F284, ""(Пасхи|50-ці|посту)""),""""),lists!$A$39:$B$41,2,FALSE),"""")"),"")</f>
        <v/>
      </c>
      <c r="O284" s="19" t="str">
        <f>IFERROR(__xludf.DUMMYFUNCTION("IFNA(REGEXEXTRACT(F284, ""\d{1,2}""),"""")"),"12")</f>
        <v>12</v>
      </c>
      <c r="P284" s="14" t="b">
        <f t="shared" si="6"/>
        <v>0</v>
      </c>
    </row>
    <row r="285">
      <c r="A285" s="13" t="s">
        <v>1355</v>
      </c>
      <c r="B285" s="9" t="str">
        <f t="shared" si="1"/>
        <v>Мр.</v>
      </c>
      <c r="C285" s="10" t="s">
        <v>1343</v>
      </c>
      <c r="D285" s="11" t="str">
        <f t="shared" si="2"/>
        <v>6</v>
      </c>
      <c r="E285" s="9"/>
      <c r="F285" s="13" t="s">
        <v>1356</v>
      </c>
      <c r="G285" s="14"/>
      <c r="H285" s="22"/>
      <c r="I285" s="16" t="s">
        <v>20</v>
      </c>
      <c r="J285" s="73">
        <v>2.0</v>
      </c>
      <c r="K285" s="54"/>
      <c r="L285" s="55">
        <v>6.0</v>
      </c>
      <c r="M285" s="18">
        <f>IFNA( VLOOKUP(LEFT(F285, IFERROR(FIND(" ", F285, 1),1) - 1), lists!$A$31:$B$37, 2, FALSE),"")</f>
        <v>6</v>
      </c>
      <c r="N285" s="18" t="str">
        <f>IFERROR(__xludf.DUMMYFUNCTION("IFNA(VLOOKUP(IFNA(REGEXEXTRACT(F285, ""(Пасхи|50-ці|посту)""),""""),lists!$A$39:$B$41,2,FALSE),"""")"),"lent")</f>
        <v>lent</v>
      </c>
      <c r="O285" s="19" t="str">
        <f>IFERROR(__xludf.DUMMYFUNCTION("IFNA(REGEXEXTRACT(F285, ""\d{1,2}""),"""")"),"2")</f>
        <v>2</v>
      </c>
      <c r="P285" s="14" t="b">
        <f t="shared" si="6"/>
        <v>0</v>
      </c>
    </row>
    <row r="286">
      <c r="A286" s="13" t="s">
        <v>1357</v>
      </c>
      <c r="B286" s="9" t="str">
        <f t="shared" si="1"/>
        <v>Мр.</v>
      </c>
      <c r="C286" s="10" t="s">
        <v>1343</v>
      </c>
      <c r="D286" s="11" t="str">
        <f t="shared" si="2"/>
        <v>7</v>
      </c>
      <c r="E286" s="9"/>
      <c r="F286" s="13" t="s">
        <v>1358</v>
      </c>
      <c r="G286" s="14"/>
      <c r="H286" s="22"/>
      <c r="I286" s="16" t="s">
        <v>20</v>
      </c>
      <c r="J286" s="73">
        <v>2.0</v>
      </c>
      <c r="K286" s="54"/>
      <c r="L286" s="55">
        <v>7.0</v>
      </c>
      <c r="M286" s="18">
        <f>IFNA( VLOOKUP(LEFT(F286, IFERROR(FIND(" ", F286, 1),1) - 1), lists!$A$31:$B$37, 2, FALSE),"")</f>
        <v>7</v>
      </c>
      <c r="N286" s="18" t="str">
        <f>IFERROR(__xludf.DUMMYFUNCTION("IFNA(VLOOKUP(IFNA(REGEXEXTRACT(F286, ""(Пасхи|50-ці|посту)""),""""),lists!$A$39:$B$41,2,FALSE),"""")"),"lent")</f>
        <v>lent</v>
      </c>
      <c r="O286" s="19" t="str">
        <f>IFERROR(__xludf.DUMMYFUNCTION("IFNA(REGEXEXTRACT(F286, ""\d{1,2}""),"""")"),"2")</f>
        <v>2</v>
      </c>
      <c r="P286" s="14" t="b">
        <f t="shared" si="6"/>
        <v>0</v>
      </c>
    </row>
    <row r="287">
      <c r="A287" s="13" t="s">
        <v>1359</v>
      </c>
      <c r="B287" s="9" t="str">
        <f t="shared" si="1"/>
        <v>Мр.</v>
      </c>
      <c r="C287" s="10" t="s">
        <v>1343</v>
      </c>
      <c r="D287" s="11" t="str">
        <f t="shared" si="2"/>
        <v>8</v>
      </c>
      <c r="E287" s="9"/>
      <c r="F287" s="13" t="s">
        <v>1360</v>
      </c>
      <c r="G287" s="14"/>
      <c r="H287" s="22"/>
      <c r="I287" s="16" t="s">
        <v>20</v>
      </c>
      <c r="J287" s="73">
        <v>3.0</v>
      </c>
      <c r="K287" s="54"/>
      <c r="L287" s="55">
        <v>6.0</v>
      </c>
      <c r="M287" s="18">
        <f>IFNA( VLOOKUP(LEFT(F287, IFERROR(FIND(" ", F287, 1),1) - 1), lists!$A$31:$B$37, 2, FALSE),"")</f>
        <v>6</v>
      </c>
      <c r="N287" s="18" t="str">
        <f>IFERROR(__xludf.DUMMYFUNCTION("IFNA(VLOOKUP(IFNA(REGEXEXTRACT(F287, ""(Пасхи|50-ці|посту)""),""""),lists!$A$39:$B$41,2,FALSE),"""")"),"lent")</f>
        <v>lent</v>
      </c>
      <c r="O287" s="19" t="str">
        <f>IFERROR(__xludf.DUMMYFUNCTION("IFNA(REGEXEXTRACT(F287, ""\d{1,2}""),"""")"),"3")</f>
        <v>3</v>
      </c>
      <c r="P287" s="14" t="b">
        <f t="shared" si="6"/>
        <v>0</v>
      </c>
    </row>
    <row r="288">
      <c r="A288" s="13" t="s">
        <v>1361</v>
      </c>
      <c r="B288" s="9" t="str">
        <f t="shared" si="1"/>
        <v>Мр.</v>
      </c>
      <c r="C288" s="10" t="s">
        <v>1343</v>
      </c>
      <c r="D288" s="11" t="str">
        <f t="shared" si="2"/>
        <v>9</v>
      </c>
      <c r="E288" s="9"/>
      <c r="F288" s="13" t="s">
        <v>1362</v>
      </c>
      <c r="G288" s="13" t="s">
        <v>1363</v>
      </c>
      <c r="H288" s="22"/>
      <c r="I288" s="16" t="s">
        <v>29</v>
      </c>
      <c r="J288" s="73">
        <v>12.0</v>
      </c>
      <c r="K288" s="54"/>
      <c r="L288" s="55">
        <v>5.0</v>
      </c>
      <c r="M288" s="18">
        <f>IFNA( VLOOKUP(LEFT(F288, IFERROR(FIND(" ", F288, 1),1) - 1), lists!$A$31:$B$37, 2, FALSE),"")</f>
        <v>5</v>
      </c>
      <c r="N288" s="18" t="str">
        <f>IFERROR(__xludf.DUMMYFUNCTION("IFNA(VLOOKUP(IFNA(REGEXEXTRACT(F288, ""(Пасхи|50-ці|посту)""),""""),lists!$A$39:$B$41,2,FALSE),"""")"),"")</f>
        <v/>
      </c>
      <c r="O288" s="19" t="str">
        <f>IFERROR(__xludf.DUMMYFUNCTION("IFNA(REGEXEXTRACT(F288, ""\d{1,2}""),"""")"),"12")</f>
        <v>12</v>
      </c>
      <c r="P288" s="14" t="b">
        <f t="shared" si="6"/>
        <v>0</v>
      </c>
    </row>
    <row r="289">
      <c r="A289" s="13" t="s">
        <v>1364</v>
      </c>
      <c r="B289" s="9" t="str">
        <f t="shared" si="1"/>
        <v>Мр.</v>
      </c>
      <c r="C289" s="10" t="s">
        <v>1343</v>
      </c>
      <c r="D289" s="11" t="str">
        <f t="shared" si="2"/>
        <v>10</v>
      </c>
      <c r="E289" s="9"/>
      <c r="F289" s="13" t="s">
        <v>1365</v>
      </c>
      <c r="G289" s="14"/>
      <c r="H289" s="22"/>
      <c r="I289" s="16" t="s">
        <v>20</v>
      </c>
      <c r="J289" s="73">
        <v>1.0</v>
      </c>
      <c r="K289" s="54"/>
      <c r="L289" s="55">
        <v>6.0</v>
      </c>
      <c r="M289" s="18">
        <f>IFNA( VLOOKUP(LEFT(F289, IFERROR(FIND(" ", F289, 1),1) - 1), lists!$A$31:$B$37, 2, FALSE),"")</f>
        <v>6</v>
      </c>
      <c r="N289" s="18" t="str">
        <f>IFERROR(__xludf.DUMMYFUNCTION("IFNA(VLOOKUP(IFNA(REGEXEXTRACT(F289, ""(Пасхи|50-ці|посту)""),""""),lists!$A$39:$B$41,2,FALSE),"""")"),"lent")</f>
        <v>lent</v>
      </c>
      <c r="O289" s="19" t="str">
        <f>IFERROR(__xludf.DUMMYFUNCTION("IFNA(REGEXEXTRACT(F289, ""\d{1,2}""),"""")"),"1")</f>
        <v>1</v>
      </c>
      <c r="P289" s="14" t="b">
        <f t="shared" si="6"/>
        <v>0</v>
      </c>
    </row>
    <row r="290">
      <c r="A290" s="13" t="s">
        <v>1366</v>
      </c>
      <c r="B290" s="9" t="str">
        <f t="shared" si="1"/>
        <v>Мр.</v>
      </c>
      <c r="C290" s="10" t="s">
        <v>1343</v>
      </c>
      <c r="D290" s="11" t="str">
        <f t="shared" si="2"/>
        <v>11</v>
      </c>
      <c r="E290" s="9"/>
      <c r="F290" s="13" t="s">
        <v>1367</v>
      </c>
      <c r="G290" s="14"/>
      <c r="H290" s="22"/>
      <c r="I290" s="16" t="s">
        <v>29</v>
      </c>
      <c r="J290" s="73">
        <v>13.0</v>
      </c>
      <c r="K290" s="54"/>
      <c r="L290" s="55">
        <v>1.0</v>
      </c>
      <c r="M290" s="18">
        <f>IFNA( VLOOKUP(LEFT(F290, IFERROR(FIND(" ", F290, 1),1) - 1), lists!$A$31:$B$37, 2, FALSE),"")</f>
        <v>1</v>
      </c>
      <c r="N290" s="18" t="str">
        <f>IFERROR(__xludf.DUMMYFUNCTION("IFNA(VLOOKUP(IFNA(REGEXEXTRACT(F290, ""(Пасхи|50-ці|посту)""),""""),lists!$A$39:$B$41,2,FALSE),"""")"),"")</f>
        <v/>
      </c>
      <c r="O290" s="19" t="str">
        <f>IFERROR(__xludf.DUMMYFUNCTION("IFNA(REGEXEXTRACT(F290, ""\d{1,2}""),"""")"),"13")</f>
        <v>13</v>
      </c>
      <c r="P290" s="14" t="b">
        <f t="shared" si="6"/>
        <v>0</v>
      </c>
    </row>
    <row r="291">
      <c r="A291" s="13" t="s">
        <v>1368</v>
      </c>
      <c r="B291" s="9" t="str">
        <f t="shared" si="1"/>
        <v>Мр.</v>
      </c>
      <c r="C291" s="10" t="s">
        <v>1343</v>
      </c>
      <c r="D291" s="11" t="str">
        <f t="shared" si="2"/>
        <v>12</v>
      </c>
      <c r="E291" s="9"/>
      <c r="F291" s="21" t="s">
        <v>1369</v>
      </c>
      <c r="G291" s="14"/>
      <c r="H291" s="22"/>
      <c r="I291" s="16" t="s">
        <v>29</v>
      </c>
      <c r="J291" s="73">
        <v>13.0</v>
      </c>
      <c r="K291" s="54"/>
      <c r="L291" s="55">
        <v>2.0</v>
      </c>
      <c r="M291" s="18">
        <f>IFNA( VLOOKUP(LEFT(F291, IFERROR(FIND(" ", F291, 1),1) - 1), lists!$A$31:$B$37, 2, FALSE),"")</f>
        <v>2</v>
      </c>
      <c r="N291" s="18" t="str">
        <f>IFERROR(__xludf.DUMMYFUNCTION("IFNA(VLOOKUP(IFNA(REGEXEXTRACT(F291, ""(Пасхи|50-ці|посту)""),""""),lists!$A$39:$B$41,2,FALSE),"""")"),"")</f>
        <v/>
      </c>
      <c r="O291" s="19" t="str">
        <f>IFERROR(__xludf.DUMMYFUNCTION("IFNA(REGEXEXTRACT(F291, ""\d{1,2}""),"""")"),"13")</f>
        <v>13</v>
      </c>
      <c r="P291" s="14" t="b">
        <f t="shared" si="6"/>
        <v>0</v>
      </c>
    </row>
    <row r="292">
      <c r="A292" s="13" t="s">
        <v>1370</v>
      </c>
      <c r="B292" s="9" t="str">
        <f t="shared" si="1"/>
        <v>Мр.</v>
      </c>
      <c r="C292" s="10" t="s">
        <v>1343</v>
      </c>
      <c r="D292" s="11" t="str">
        <f t="shared" si="2"/>
        <v>13</v>
      </c>
      <c r="E292" s="9"/>
      <c r="F292" s="13" t="s">
        <v>1371</v>
      </c>
      <c r="G292" s="14"/>
      <c r="H292" s="22"/>
      <c r="I292" s="16" t="s">
        <v>29</v>
      </c>
      <c r="J292" s="73">
        <v>13.0</v>
      </c>
      <c r="K292" s="54"/>
      <c r="L292" s="55">
        <v>3.0</v>
      </c>
      <c r="M292" s="18">
        <f>IFNA( VLOOKUP(LEFT(F292, IFERROR(FIND(" ", F292, 1),1) - 1), lists!$A$31:$B$37, 2, FALSE),"")</f>
        <v>3</v>
      </c>
      <c r="N292" s="18" t="str">
        <f>IFERROR(__xludf.DUMMYFUNCTION("IFNA(VLOOKUP(IFNA(REGEXEXTRACT(F292, ""(Пасхи|50-ці|посту)""),""""),lists!$A$39:$B$41,2,FALSE),"""")"),"")</f>
        <v/>
      </c>
      <c r="O292" s="19" t="str">
        <f>IFERROR(__xludf.DUMMYFUNCTION("IFNA(REGEXEXTRACT(F292, ""\d{1,2}""),"""")"),"13")</f>
        <v>13</v>
      </c>
      <c r="P292" s="14" t="b">
        <f t="shared" si="6"/>
        <v>0</v>
      </c>
    </row>
    <row r="293">
      <c r="A293" s="13" t="s">
        <v>1372</v>
      </c>
      <c r="B293" s="9" t="str">
        <f t="shared" si="1"/>
        <v>Мр.</v>
      </c>
      <c r="C293" s="10" t="s">
        <v>1343</v>
      </c>
      <c r="D293" s="11" t="str">
        <f t="shared" si="2"/>
        <v>14</v>
      </c>
      <c r="E293" s="9"/>
      <c r="F293" s="13" t="s">
        <v>1373</v>
      </c>
      <c r="G293" s="14"/>
      <c r="H293" s="22"/>
      <c r="I293" s="16" t="s">
        <v>29</v>
      </c>
      <c r="J293" s="73">
        <v>13.0</v>
      </c>
      <c r="K293" s="54"/>
      <c r="L293" s="55">
        <v>4.0</v>
      </c>
      <c r="M293" s="18">
        <f>IFNA( VLOOKUP(LEFT(F293, IFERROR(FIND(" ", F293, 1),1) - 1), lists!$A$31:$B$37, 2, FALSE),"")</f>
        <v>4</v>
      </c>
      <c r="N293" s="18" t="str">
        <f>IFERROR(__xludf.DUMMYFUNCTION("IFNA(VLOOKUP(IFNA(REGEXEXTRACT(F293, ""(Пасхи|50-ці|посту)""),""""),lists!$A$39:$B$41,2,FALSE),"""")"),"")</f>
        <v/>
      </c>
      <c r="O293" s="19" t="str">
        <f>IFERROR(__xludf.DUMMYFUNCTION("IFNA(REGEXEXTRACT(F293, ""\d{1,2}""),"""")"),"13")</f>
        <v>13</v>
      </c>
      <c r="P293" s="14" t="b">
        <f t="shared" si="6"/>
        <v>0</v>
      </c>
    </row>
    <row r="294">
      <c r="A294" s="13" t="s">
        <v>1374</v>
      </c>
      <c r="B294" s="9" t="str">
        <f t="shared" si="1"/>
        <v>Мр.</v>
      </c>
      <c r="C294" s="10" t="s">
        <v>1343</v>
      </c>
      <c r="D294" s="11" t="str">
        <f t="shared" si="2"/>
        <v>15</v>
      </c>
      <c r="E294" s="9"/>
      <c r="F294" s="13" t="s">
        <v>1375</v>
      </c>
      <c r="G294" s="14"/>
      <c r="H294" s="22"/>
      <c r="I294" s="16" t="s">
        <v>29</v>
      </c>
      <c r="J294" s="73">
        <v>13.0</v>
      </c>
      <c r="K294" s="54"/>
      <c r="L294" s="55">
        <v>5.0</v>
      </c>
      <c r="M294" s="18">
        <f>IFNA( VLOOKUP(LEFT(F294, IFERROR(FIND(" ", F294, 1),1) - 1), lists!$A$31:$B$37, 2, FALSE),"")</f>
        <v>5</v>
      </c>
      <c r="N294" s="18" t="str">
        <f>IFERROR(__xludf.DUMMYFUNCTION("IFNA(VLOOKUP(IFNA(REGEXEXTRACT(F294, ""(Пасхи|50-ці|посту)""),""""),lists!$A$39:$B$41,2,FALSE),"""")"),"")</f>
        <v/>
      </c>
      <c r="O294" s="19" t="str">
        <f>IFERROR(__xludf.DUMMYFUNCTION("IFNA(REGEXEXTRACT(F294, ""\d{1,2}""),"""")"),"13")</f>
        <v>13</v>
      </c>
      <c r="P294" s="14" t="b">
        <f t="shared" si="6"/>
        <v>0</v>
      </c>
    </row>
    <row r="295">
      <c r="A295" s="13" t="s">
        <v>1376</v>
      </c>
      <c r="B295" s="9" t="str">
        <f t="shared" si="1"/>
        <v>Мр.</v>
      </c>
      <c r="C295" s="10" t="s">
        <v>1343</v>
      </c>
      <c r="D295" s="11" t="str">
        <f t="shared" si="2"/>
        <v>16</v>
      </c>
      <c r="E295" s="9"/>
      <c r="F295" s="13" t="s">
        <v>1377</v>
      </c>
      <c r="G295" s="14"/>
      <c r="H295" s="22"/>
      <c r="I295" s="16" t="s">
        <v>29</v>
      </c>
      <c r="J295" s="73">
        <v>14.0</v>
      </c>
      <c r="K295" s="54"/>
      <c r="L295" s="55">
        <v>1.0</v>
      </c>
      <c r="M295" s="18">
        <f>IFNA( VLOOKUP(LEFT(F295, IFERROR(FIND(" ", F295, 1),1) - 1), lists!$A$31:$B$37, 2, FALSE),"")</f>
        <v>1</v>
      </c>
      <c r="N295" s="18" t="str">
        <f>IFERROR(__xludf.DUMMYFUNCTION("IFNA(VLOOKUP(IFNA(REGEXEXTRACT(F295, ""(Пасхи|50-ці|посту)""),""""),lists!$A$39:$B$41,2,FALSE),"""")"),"")</f>
        <v/>
      </c>
      <c r="O295" s="19" t="str">
        <f>IFERROR(__xludf.DUMMYFUNCTION("IFNA(REGEXEXTRACT(F295, ""\d{1,2}""),"""")"),"14")</f>
        <v>14</v>
      </c>
      <c r="P295" s="14" t="b">
        <f t="shared" si="6"/>
        <v>0</v>
      </c>
    </row>
    <row r="296">
      <c r="A296" s="13" t="s">
        <v>1378</v>
      </c>
      <c r="B296" s="9" t="str">
        <f t="shared" si="1"/>
        <v>Мр.</v>
      </c>
      <c r="C296" s="10" t="s">
        <v>1343</v>
      </c>
      <c r="D296" s="11" t="str">
        <f t="shared" si="2"/>
        <v>17</v>
      </c>
      <c r="E296" s="9"/>
      <c r="F296" s="13" t="s">
        <v>1379</v>
      </c>
      <c r="G296" s="14"/>
      <c r="H296" s="22"/>
      <c r="I296" s="16" t="s">
        <v>29</v>
      </c>
      <c r="J296" s="73">
        <v>14.0</v>
      </c>
      <c r="K296" s="54"/>
      <c r="L296" s="55">
        <v>2.0</v>
      </c>
      <c r="M296" s="18">
        <f>IFNA( VLOOKUP(LEFT(F296, IFERROR(FIND(" ", F296, 1),1) - 1), lists!$A$31:$B$37, 2, FALSE),"")</f>
        <v>2</v>
      </c>
      <c r="N296" s="18" t="str">
        <f>IFERROR(__xludf.DUMMYFUNCTION("IFNA(VLOOKUP(IFNA(REGEXEXTRACT(F296, ""(Пасхи|50-ці|посту)""),""""),lists!$A$39:$B$41,2,FALSE),"""")"),"")</f>
        <v/>
      </c>
      <c r="O296" s="19" t="str">
        <f>IFERROR(__xludf.DUMMYFUNCTION("IFNA(REGEXEXTRACT(F296, ""\d{1,2}""),"""")"),"14")</f>
        <v>14</v>
      </c>
      <c r="P296" s="14" t="b">
        <f t="shared" si="6"/>
        <v>0</v>
      </c>
    </row>
    <row r="297">
      <c r="A297" s="13" t="s">
        <v>1380</v>
      </c>
      <c r="B297" s="9" t="str">
        <f t="shared" si="1"/>
        <v>Мр.</v>
      </c>
      <c r="C297" s="10" t="s">
        <v>1343</v>
      </c>
      <c r="D297" s="11" t="str">
        <f t="shared" si="2"/>
        <v>18</v>
      </c>
      <c r="E297" s="9"/>
      <c r="F297" s="13" t="s">
        <v>1381</v>
      </c>
      <c r="G297" s="14"/>
      <c r="H297" s="22"/>
      <c r="I297" s="16" t="s">
        <v>29</v>
      </c>
      <c r="J297" s="73">
        <v>14.0</v>
      </c>
      <c r="K297" s="54"/>
      <c r="L297" s="55">
        <v>3.0</v>
      </c>
      <c r="M297" s="18">
        <f>IFNA( VLOOKUP(LEFT(F297, IFERROR(FIND(" ", F297, 1),1) - 1), lists!$A$31:$B$37, 2, FALSE),"")</f>
        <v>3</v>
      </c>
      <c r="N297" s="18" t="str">
        <f>IFERROR(__xludf.DUMMYFUNCTION("IFNA(VLOOKUP(IFNA(REGEXEXTRACT(F297, ""(Пасхи|50-ці|посту)""),""""),lists!$A$39:$B$41,2,FALSE),"""")"),"")</f>
        <v/>
      </c>
      <c r="O297" s="19" t="str">
        <f>IFERROR(__xludf.DUMMYFUNCTION("IFNA(REGEXEXTRACT(F297, ""\d{1,2}""),"""")"),"14")</f>
        <v>14</v>
      </c>
      <c r="P297" s="14" t="b">
        <f t="shared" si="6"/>
        <v>0</v>
      </c>
    </row>
    <row r="298">
      <c r="A298" s="13" t="s">
        <v>1382</v>
      </c>
      <c r="B298" s="9" t="str">
        <f t="shared" si="1"/>
        <v>Мр.</v>
      </c>
      <c r="C298" s="10" t="s">
        <v>1343</v>
      </c>
      <c r="D298" s="11" t="str">
        <f t="shared" si="2"/>
        <v>19</v>
      </c>
      <c r="E298" s="9"/>
      <c r="F298" s="13" t="s">
        <v>1383</v>
      </c>
      <c r="G298" s="14"/>
      <c r="H298" s="22"/>
      <c r="I298" s="16" t="s">
        <v>29</v>
      </c>
      <c r="J298" s="73">
        <v>14.0</v>
      </c>
      <c r="K298" s="54"/>
      <c r="L298" s="55">
        <v>4.0</v>
      </c>
      <c r="M298" s="18">
        <f>IFNA( VLOOKUP(LEFT(F298, IFERROR(FIND(" ", F298, 1),1) - 1), lists!$A$31:$B$37, 2, FALSE),"")</f>
        <v>4</v>
      </c>
      <c r="N298" s="18" t="str">
        <f>IFERROR(__xludf.DUMMYFUNCTION("IFNA(VLOOKUP(IFNA(REGEXEXTRACT(F298, ""(Пасхи|50-ці|посту)""),""""),lists!$A$39:$B$41,2,FALSE),"""")"),"")</f>
        <v/>
      </c>
      <c r="O298" s="19" t="str">
        <f>IFERROR(__xludf.DUMMYFUNCTION("IFNA(REGEXEXTRACT(F298, ""\d{1,2}""),"""")"),"14")</f>
        <v>14</v>
      </c>
      <c r="P298" s="14" t="b">
        <f t="shared" si="6"/>
        <v>0</v>
      </c>
    </row>
    <row r="299">
      <c r="A299" s="13" t="s">
        <v>1384</v>
      </c>
      <c r="B299" s="9" t="str">
        <f t="shared" si="1"/>
        <v>Мр.</v>
      </c>
      <c r="C299" s="10" t="s">
        <v>1343</v>
      </c>
      <c r="D299" s="11" t="str">
        <f t="shared" si="2"/>
        <v>20</v>
      </c>
      <c r="E299" s="9"/>
      <c r="F299" s="13" t="s">
        <v>1385</v>
      </c>
      <c r="G299" s="14"/>
      <c r="H299" s="22"/>
      <c r="I299" s="16" t="s">
        <v>29</v>
      </c>
      <c r="J299" s="73">
        <v>14.0</v>
      </c>
      <c r="K299" s="54"/>
      <c r="L299" s="55">
        <v>5.0</v>
      </c>
      <c r="M299" s="18">
        <f>IFNA( VLOOKUP(LEFT(F299, IFERROR(FIND(" ", F299, 1),1) - 1), lists!$A$31:$B$37, 2, FALSE),"")</f>
        <v>5</v>
      </c>
      <c r="N299" s="18" t="str">
        <f>IFERROR(__xludf.DUMMYFUNCTION("IFNA(VLOOKUP(IFNA(REGEXEXTRACT(F299, ""(Пасхи|50-ці|посту)""),""""),lists!$A$39:$B$41,2,FALSE),"""")"),"")</f>
        <v/>
      </c>
      <c r="O299" s="19" t="str">
        <f>IFERROR(__xludf.DUMMYFUNCTION("IFNA(REGEXEXTRACT(F299, ""\d{1,2}""),"""")"),"14")</f>
        <v>14</v>
      </c>
      <c r="P299" s="14" t="b">
        <f t="shared" si="6"/>
        <v>0</v>
      </c>
    </row>
    <row r="300">
      <c r="A300" s="13" t="s">
        <v>1386</v>
      </c>
      <c r="B300" s="9" t="str">
        <f t="shared" si="1"/>
        <v>Мр.</v>
      </c>
      <c r="C300" s="10" t="s">
        <v>1343</v>
      </c>
      <c r="D300" s="11" t="str">
        <f t="shared" si="2"/>
        <v>21</v>
      </c>
      <c r="E300" s="9"/>
      <c r="F300" s="13" t="s">
        <v>1387</v>
      </c>
      <c r="G300" s="14"/>
      <c r="H300" s="15"/>
      <c r="I300" s="16" t="s">
        <v>29</v>
      </c>
      <c r="J300" s="73">
        <v>15.0</v>
      </c>
      <c r="K300" s="54"/>
      <c r="L300" s="55">
        <v>1.0</v>
      </c>
      <c r="M300" s="18">
        <f>IFNA( VLOOKUP(LEFT(F300, IFERROR(FIND(" ", F300, 1),1) - 1), lists!$A$31:$B$37, 2, FALSE),"")</f>
        <v>1</v>
      </c>
      <c r="N300" s="18" t="str">
        <f>IFERROR(__xludf.DUMMYFUNCTION("IFNA(VLOOKUP(IFNA(REGEXEXTRACT(F300, ""(Пасхи|50-ці|посту)""),""""),lists!$A$39:$B$41,2,FALSE),"""")"),"")</f>
        <v/>
      </c>
      <c r="O300" s="19" t="str">
        <f>IFERROR(__xludf.DUMMYFUNCTION("IFNA(REGEXEXTRACT(F300, ""\d{1,2}""),"""")"),"15")</f>
        <v>15</v>
      </c>
      <c r="P300" s="14" t="b">
        <f t="shared" si="6"/>
        <v>0</v>
      </c>
    </row>
    <row r="301">
      <c r="A301" s="13" t="s">
        <v>1388</v>
      </c>
      <c r="B301" s="9" t="str">
        <f t="shared" si="1"/>
        <v>Мр.</v>
      </c>
      <c r="C301" s="10" t="s">
        <v>1343</v>
      </c>
      <c r="D301" s="11" t="str">
        <f t="shared" si="2"/>
        <v>22</v>
      </c>
      <c r="E301" s="9"/>
      <c r="F301" s="13" t="s">
        <v>1389</v>
      </c>
      <c r="G301" s="14"/>
      <c r="H301" s="22"/>
      <c r="I301" s="16" t="s">
        <v>29</v>
      </c>
      <c r="J301" s="73">
        <v>15.0</v>
      </c>
      <c r="K301" s="54"/>
      <c r="L301" s="55">
        <v>2.0</v>
      </c>
      <c r="M301" s="18">
        <f>IFNA( VLOOKUP(LEFT(F301, IFERROR(FIND(" ", F301, 1),1) - 1), lists!$A$31:$B$37, 2, FALSE),"")</f>
        <v>2</v>
      </c>
      <c r="N301" s="18" t="str">
        <f>IFERROR(__xludf.DUMMYFUNCTION("IFNA(VLOOKUP(IFNA(REGEXEXTRACT(F301, ""(Пасхи|50-ці|посту)""),""""),lists!$A$39:$B$41,2,FALSE),"""")"),"")</f>
        <v/>
      </c>
      <c r="O301" s="19" t="str">
        <f>IFERROR(__xludf.DUMMYFUNCTION("IFNA(REGEXEXTRACT(F301, ""\d{1,2}""),"""")"),"15")</f>
        <v>15</v>
      </c>
      <c r="P301" s="14" t="b">
        <f t="shared" si="6"/>
        <v>0</v>
      </c>
    </row>
    <row r="302">
      <c r="A302" s="13" t="s">
        <v>1390</v>
      </c>
      <c r="B302" s="9" t="str">
        <f t="shared" si="1"/>
        <v>Мр.</v>
      </c>
      <c r="C302" s="10" t="s">
        <v>1343</v>
      </c>
      <c r="D302" s="11" t="str">
        <f t="shared" si="2"/>
        <v>23</v>
      </c>
      <c r="E302" s="9"/>
      <c r="F302" s="21" t="s">
        <v>1391</v>
      </c>
      <c r="G302" s="14"/>
      <c r="H302" s="22"/>
      <c r="I302" s="16" t="s">
        <v>29</v>
      </c>
      <c r="J302" s="73">
        <v>15.0</v>
      </c>
      <c r="K302" s="54"/>
      <c r="L302" s="55">
        <v>3.0</v>
      </c>
      <c r="M302" s="18">
        <f>IFNA( VLOOKUP(LEFT(F302, IFERROR(FIND(" ", F302, 1),1) - 1), lists!$A$31:$B$37, 2, FALSE),"")</f>
        <v>3</v>
      </c>
      <c r="N302" s="18" t="str">
        <f>IFERROR(__xludf.DUMMYFUNCTION("IFNA(VLOOKUP(IFNA(REGEXEXTRACT(F302, ""(Пасхи|50-ці|посту)""),""""),lists!$A$39:$B$41,2,FALSE),"""")"),"")</f>
        <v/>
      </c>
      <c r="O302" s="19" t="str">
        <f>IFERROR(__xludf.DUMMYFUNCTION("IFNA(REGEXEXTRACT(F302, ""\d{1,2}""),"""")"),"15")</f>
        <v>15</v>
      </c>
      <c r="P302" s="14" t="b">
        <f t="shared" si="6"/>
        <v>0</v>
      </c>
    </row>
    <row r="303">
      <c r="A303" s="13" t="s">
        <v>1392</v>
      </c>
      <c r="B303" s="9" t="str">
        <f t="shared" si="1"/>
        <v>Мр.</v>
      </c>
      <c r="C303" s="10" t="s">
        <v>1343</v>
      </c>
      <c r="D303" s="11" t="str">
        <f t="shared" si="2"/>
        <v>24</v>
      </c>
      <c r="E303" s="9"/>
      <c r="F303" s="13" t="s">
        <v>1393</v>
      </c>
      <c r="G303" s="14"/>
      <c r="H303" s="15" t="s">
        <v>70</v>
      </c>
      <c r="I303" s="16" t="s">
        <v>71</v>
      </c>
      <c r="J303" s="73">
        <v>29.0</v>
      </c>
      <c r="K303" s="54"/>
      <c r="L303" s="55" t="s">
        <v>71</v>
      </c>
      <c r="M303" s="18" t="str">
        <f>IFNA( VLOOKUP(LEFT(F303, IFERROR(FIND(" ", F303, 1),1) - 1), lists!$A$31:$B$37, 2, FALSE),"")</f>
        <v/>
      </c>
      <c r="N303" s="18" t="str">
        <f>IFERROR(__xludf.DUMMYFUNCTION("IFNA(VLOOKUP(IFNA(REGEXEXTRACT(F303, ""(Пасхи|50-ці|посту)""),""""),lists!$A$39:$B$41,2,FALSE),"""")"),"")</f>
        <v/>
      </c>
      <c r="O303" s="19" t="str">
        <f>IFERROR(__xludf.DUMMYFUNCTION("IFNA(REGEXEXTRACT(F303, ""\d{1,2}""),"""")"),"29")</f>
        <v>29</v>
      </c>
      <c r="P303" s="14" t="b">
        <f t="shared" si="6"/>
        <v>0</v>
      </c>
    </row>
    <row r="304">
      <c r="A304" s="13" t="s">
        <v>1394</v>
      </c>
      <c r="B304" s="9" t="str">
        <f t="shared" si="1"/>
        <v>Мр.</v>
      </c>
      <c r="C304" s="10" t="s">
        <v>1343</v>
      </c>
      <c r="D304" s="11" t="str">
        <f t="shared" si="2"/>
        <v>25</v>
      </c>
      <c r="E304" s="9"/>
      <c r="F304" s="13" t="s">
        <v>1395</v>
      </c>
      <c r="G304" s="14"/>
      <c r="H304" s="22"/>
      <c r="I304" s="16" t="s">
        <v>29</v>
      </c>
      <c r="J304" s="73">
        <v>15.0</v>
      </c>
      <c r="K304" s="54"/>
      <c r="L304" s="55">
        <v>4.0</v>
      </c>
      <c r="M304" s="18">
        <f>IFNA( VLOOKUP(LEFT(F304, IFERROR(FIND(" ", F304, 1),1) - 1), lists!$A$31:$B$37, 2, FALSE),"")</f>
        <v>4</v>
      </c>
      <c r="N304" s="18" t="str">
        <f>IFERROR(__xludf.DUMMYFUNCTION("IFNA(VLOOKUP(IFNA(REGEXEXTRACT(F304, ""(Пасхи|50-ці|посту)""),""""),lists!$A$39:$B$41,2,FALSE),"""")"),"")</f>
        <v/>
      </c>
      <c r="O304" s="19" t="str">
        <f>IFERROR(__xludf.DUMMYFUNCTION("IFNA(REGEXEXTRACT(F304, ""\d{1,2}""),"""")"),"15")</f>
        <v>15</v>
      </c>
      <c r="P304" s="14" t="b">
        <f t="shared" si="6"/>
        <v>0</v>
      </c>
    </row>
    <row r="305">
      <c r="A305" s="13" t="s">
        <v>1396</v>
      </c>
      <c r="B305" s="9" t="str">
        <f t="shared" si="1"/>
        <v>Мр.</v>
      </c>
      <c r="C305" s="10" t="s">
        <v>1343</v>
      </c>
      <c r="D305" s="11" t="str">
        <f t="shared" si="2"/>
        <v>26</v>
      </c>
      <c r="E305" s="9"/>
      <c r="F305" s="13" t="s">
        <v>1397</v>
      </c>
      <c r="G305" s="14"/>
      <c r="H305" s="22"/>
      <c r="I305" s="16" t="s">
        <v>29</v>
      </c>
      <c r="J305" s="73">
        <v>15.0</v>
      </c>
      <c r="K305" s="54"/>
      <c r="L305" s="55">
        <v>5.0</v>
      </c>
      <c r="M305" s="18">
        <f>IFNA( VLOOKUP(LEFT(F305, IFERROR(FIND(" ", F305, 1),1) - 1), lists!$A$31:$B$37, 2, FALSE),"")</f>
        <v>5</v>
      </c>
      <c r="N305" s="18" t="str">
        <f>IFERROR(__xludf.DUMMYFUNCTION("IFNA(VLOOKUP(IFNA(REGEXEXTRACT(F305, ""(Пасхи|50-ці|посту)""),""""),lists!$A$39:$B$41,2,FALSE),"""")"),"")</f>
        <v/>
      </c>
      <c r="O305" s="19" t="str">
        <f>IFERROR(__xludf.DUMMYFUNCTION("IFNA(REGEXEXTRACT(F305, ""\d{1,2}""),"""")"),"15")</f>
        <v>15</v>
      </c>
      <c r="P305" s="14" t="b">
        <f t="shared" si="6"/>
        <v>0</v>
      </c>
    </row>
    <row r="306">
      <c r="A306" s="13" t="s">
        <v>1398</v>
      </c>
      <c r="B306" s="9" t="str">
        <f t="shared" si="1"/>
        <v>Мр.</v>
      </c>
      <c r="C306" s="10" t="s">
        <v>1343</v>
      </c>
      <c r="D306" s="11" t="str">
        <f t="shared" si="2"/>
        <v>27</v>
      </c>
      <c r="E306" s="9"/>
      <c r="F306" s="13" t="s">
        <v>1399</v>
      </c>
      <c r="G306" s="14"/>
      <c r="H306" s="22"/>
      <c r="I306" s="16" t="s">
        <v>29</v>
      </c>
      <c r="J306" s="73">
        <v>16.0</v>
      </c>
      <c r="K306" s="54"/>
      <c r="L306" s="55">
        <v>1.0</v>
      </c>
      <c r="M306" s="18">
        <f>IFNA( VLOOKUP(LEFT(F306, IFERROR(FIND(" ", F306, 1),1) - 1), lists!$A$31:$B$37, 2, FALSE),"")</f>
        <v>1</v>
      </c>
      <c r="N306" s="18" t="str">
        <f>IFERROR(__xludf.DUMMYFUNCTION("IFNA(VLOOKUP(IFNA(REGEXEXTRACT(F306, ""(Пасхи|50-ці|посту)""),""""),lists!$A$39:$B$41,2,FALSE),"""")"),"")</f>
        <v/>
      </c>
      <c r="O306" s="19" t="str">
        <f>IFERROR(__xludf.DUMMYFUNCTION("IFNA(REGEXEXTRACT(F306, ""\d{1,2}""),"""")"),"16")</f>
        <v>16</v>
      </c>
      <c r="P306" s="14" t="b">
        <f t="shared" si="6"/>
        <v>0</v>
      </c>
    </row>
    <row r="307">
      <c r="A307" s="13" t="s">
        <v>1400</v>
      </c>
      <c r="B307" s="9" t="str">
        <f t="shared" si="1"/>
        <v>Мр.</v>
      </c>
      <c r="C307" s="10" t="s">
        <v>1343</v>
      </c>
      <c r="D307" s="11" t="str">
        <f t="shared" si="2"/>
        <v>28</v>
      </c>
      <c r="E307" s="9"/>
      <c r="F307" s="13" t="s">
        <v>1401</v>
      </c>
      <c r="G307" s="14"/>
      <c r="H307" s="22"/>
      <c r="I307" s="16" t="s">
        <v>29</v>
      </c>
      <c r="J307" s="73">
        <v>16.0</v>
      </c>
      <c r="K307" s="54"/>
      <c r="L307" s="55">
        <v>2.0</v>
      </c>
      <c r="M307" s="18">
        <f>IFNA( VLOOKUP(LEFT(F307, IFERROR(FIND(" ", F307, 1),1) - 1), lists!$A$31:$B$37, 2, FALSE),"")</f>
        <v>2</v>
      </c>
      <c r="N307" s="18" t="str">
        <f>IFERROR(__xludf.DUMMYFUNCTION("IFNA(VLOOKUP(IFNA(REGEXEXTRACT(F307, ""(Пасхи|50-ці|посту)""),""""),lists!$A$39:$B$41,2,FALSE),"""")"),"")</f>
        <v/>
      </c>
      <c r="O307" s="19" t="str">
        <f>IFERROR(__xludf.DUMMYFUNCTION("IFNA(REGEXEXTRACT(F307, ""\d{1,2}""),"""")"),"16")</f>
        <v>16</v>
      </c>
      <c r="P307" s="14" t="b">
        <f t="shared" si="6"/>
        <v>0</v>
      </c>
    </row>
    <row r="308">
      <c r="A308" s="13" t="s">
        <v>1402</v>
      </c>
      <c r="B308" s="9" t="str">
        <f t="shared" si="1"/>
        <v>Мр.</v>
      </c>
      <c r="C308" s="10" t="s">
        <v>1343</v>
      </c>
      <c r="D308" s="11" t="str">
        <f t="shared" si="2"/>
        <v>29</v>
      </c>
      <c r="E308" s="9"/>
      <c r="F308" s="13" t="s">
        <v>1403</v>
      </c>
      <c r="G308" s="14"/>
      <c r="H308" s="22"/>
      <c r="I308" s="16" t="s">
        <v>29</v>
      </c>
      <c r="J308" s="73">
        <v>16.0</v>
      </c>
      <c r="K308" s="54"/>
      <c r="L308" s="55">
        <v>3.0</v>
      </c>
      <c r="M308" s="18">
        <f>IFNA( VLOOKUP(LEFT(F308, IFERROR(FIND(" ", F308, 1),1) - 1), lists!$A$31:$B$37, 2, FALSE),"")</f>
        <v>3</v>
      </c>
      <c r="N308" s="18" t="str">
        <f>IFERROR(__xludf.DUMMYFUNCTION("IFNA(VLOOKUP(IFNA(REGEXEXTRACT(F308, ""(Пасхи|50-ці|посту)""),""""),lists!$A$39:$B$41,2,FALSE),"""")"),"")</f>
        <v/>
      </c>
      <c r="O308" s="19" t="str">
        <f>IFERROR(__xludf.DUMMYFUNCTION("IFNA(REGEXEXTRACT(F308, ""\d{1,2}""),"""")"),"16")</f>
        <v>16</v>
      </c>
      <c r="P308" s="14" t="b">
        <f t="shared" si="6"/>
        <v>0</v>
      </c>
    </row>
    <row r="309">
      <c r="A309" s="13" t="s">
        <v>1404</v>
      </c>
      <c r="B309" s="9" t="str">
        <f t="shared" si="1"/>
        <v>Мр.</v>
      </c>
      <c r="C309" s="10" t="s">
        <v>1343</v>
      </c>
      <c r="D309" s="11" t="str">
        <f t="shared" si="2"/>
        <v>30</v>
      </c>
      <c r="E309" s="9"/>
      <c r="F309" s="13" t="s">
        <v>1405</v>
      </c>
      <c r="G309" s="14"/>
      <c r="H309" s="22"/>
      <c r="I309" s="16" t="s">
        <v>29</v>
      </c>
      <c r="J309" s="73">
        <v>16.0</v>
      </c>
      <c r="K309" s="54"/>
      <c r="L309" s="55">
        <v>4.0</v>
      </c>
      <c r="M309" s="18">
        <f>IFNA( VLOOKUP(LEFT(F309, IFERROR(FIND(" ", F309, 1),1) - 1), lists!$A$31:$B$37, 2, FALSE),"")</f>
        <v>4</v>
      </c>
      <c r="N309" s="18" t="str">
        <f>IFERROR(__xludf.DUMMYFUNCTION("IFNA(VLOOKUP(IFNA(REGEXEXTRACT(F309, ""(Пасхи|50-ці|посту)""),""""),lists!$A$39:$B$41,2,FALSE),"""")"),"")</f>
        <v/>
      </c>
      <c r="O309" s="19" t="str">
        <f>IFERROR(__xludf.DUMMYFUNCTION("IFNA(REGEXEXTRACT(F309, ""\d{1,2}""),"""")"),"16")</f>
        <v>16</v>
      </c>
      <c r="P309" s="14" t="b">
        <f t="shared" si="6"/>
        <v>0</v>
      </c>
    </row>
    <row r="310">
      <c r="A310" s="13" t="s">
        <v>1406</v>
      </c>
      <c r="B310" s="9" t="str">
        <f t="shared" si="1"/>
        <v>Мр.</v>
      </c>
      <c r="C310" s="10" t="s">
        <v>1343</v>
      </c>
      <c r="D310" s="11" t="str">
        <f t="shared" si="2"/>
        <v>31</v>
      </c>
      <c r="E310" s="9"/>
      <c r="F310" s="13" t="s">
        <v>1407</v>
      </c>
      <c r="G310" s="14"/>
      <c r="H310" s="22"/>
      <c r="I310" s="16" t="s">
        <v>20</v>
      </c>
      <c r="J310" s="73">
        <v>4.0</v>
      </c>
      <c r="K310" s="54"/>
      <c r="L310" s="55">
        <v>6.0</v>
      </c>
      <c r="M310" s="18">
        <f>IFNA( VLOOKUP(LEFT(F310, IFERROR(FIND(" ", F310, 1),1) - 1), lists!$A$31:$B$37, 2, FALSE),"")</f>
        <v>6</v>
      </c>
      <c r="N310" s="18" t="str">
        <f>IFERROR(__xludf.DUMMYFUNCTION("IFNA(VLOOKUP(IFNA(REGEXEXTRACT(F310, ""(Пасхи|50-ці|посту)""),""""),lists!$A$39:$B$41,2,FALSE),"""")"),"lent")</f>
        <v>lent</v>
      </c>
      <c r="O310" s="19" t="str">
        <f>IFERROR(__xludf.DUMMYFUNCTION("IFNA(REGEXEXTRACT(F310, ""\d{1,2}""),"""")"),"4")</f>
        <v>4</v>
      </c>
      <c r="P310" s="14" t="b">
        <f t="shared" si="6"/>
        <v>0</v>
      </c>
    </row>
    <row r="311">
      <c r="A311" s="13" t="s">
        <v>1408</v>
      </c>
      <c r="B311" s="9" t="str">
        <f t="shared" si="1"/>
        <v>Мр.</v>
      </c>
      <c r="C311" s="10" t="s">
        <v>1343</v>
      </c>
      <c r="D311" s="11" t="str">
        <f t="shared" si="2"/>
        <v>32</v>
      </c>
      <c r="E311" s="9"/>
      <c r="F311" s="13" t="s">
        <v>1409</v>
      </c>
      <c r="G311" s="14"/>
      <c r="H311" s="22"/>
      <c r="I311" s="16" t="s">
        <v>29</v>
      </c>
      <c r="J311" s="73">
        <v>16.0</v>
      </c>
      <c r="K311" s="54"/>
      <c r="L311" s="55">
        <v>5.0</v>
      </c>
      <c r="M311" s="18">
        <f>IFNA( VLOOKUP(LEFT(F311, IFERROR(FIND(" ", F311, 1),1) - 1), lists!$A$31:$B$37, 2, FALSE),"")</f>
        <v>5</v>
      </c>
      <c r="N311" s="18" t="str">
        <f>IFERROR(__xludf.DUMMYFUNCTION("IFNA(VLOOKUP(IFNA(REGEXEXTRACT(F311, ""(Пасхи|50-ці|посту)""),""""),lists!$A$39:$B$41,2,FALSE),"""")"),"")</f>
        <v/>
      </c>
      <c r="O311" s="19" t="str">
        <f>IFERROR(__xludf.DUMMYFUNCTION("IFNA(REGEXEXTRACT(F311, ""\d{1,2}""),"""")"),"16")</f>
        <v>16</v>
      </c>
      <c r="P311" s="14" t="b">
        <f t="shared" si="6"/>
        <v>0</v>
      </c>
    </row>
    <row r="312">
      <c r="A312" s="13" t="s">
        <v>1410</v>
      </c>
      <c r="B312" s="9" t="str">
        <f t="shared" si="1"/>
        <v>Мр.</v>
      </c>
      <c r="C312" s="10" t="s">
        <v>1343</v>
      </c>
      <c r="D312" s="11" t="str">
        <f t="shared" si="2"/>
        <v>33</v>
      </c>
      <c r="E312" s="9"/>
      <c r="F312" s="13" t="s">
        <v>1411</v>
      </c>
      <c r="G312" s="14"/>
      <c r="H312" s="15"/>
      <c r="I312" s="16" t="s">
        <v>29</v>
      </c>
      <c r="J312" s="73">
        <v>30.0</v>
      </c>
      <c r="K312" s="54"/>
      <c r="L312" s="55">
        <v>1.0</v>
      </c>
      <c r="M312" s="18">
        <f>IFNA( VLOOKUP(LEFT(F312, IFERROR(FIND(" ", F312, 1),1) - 1), lists!$A$31:$B$37, 2, FALSE),"")</f>
        <v>1</v>
      </c>
      <c r="N312" s="18" t="str">
        <f>IFERROR(__xludf.DUMMYFUNCTION("IFNA(VLOOKUP(IFNA(REGEXEXTRACT(F312, ""(Пасхи|50-ці|посту)""),""""),lists!$A$39:$B$41,2,FALSE),"""")"),"")</f>
        <v/>
      </c>
      <c r="O312" s="19" t="str">
        <f>IFERROR(__xludf.DUMMYFUNCTION("IFNA(REGEXEXTRACT(F312, ""\d{1,2}""),"""")"),"30")</f>
        <v>30</v>
      </c>
      <c r="P312" s="14" t="b">
        <f t="shared" si="6"/>
        <v>0</v>
      </c>
    </row>
    <row r="313">
      <c r="A313" s="13" t="s">
        <v>1412</v>
      </c>
      <c r="B313" s="9" t="str">
        <f t="shared" si="1"/>
        <v>Мр.</v>
      </c>
      <c r="C313" s="10" t="s">
        <v>1343</v>
      </c>
      <c r="D313" s="11" t="str">
        <f t="shared" si="2"/>
        <v>34</v>
      </c>
      <c r="E313" s="9"/>
      <c r="F313" s="13" t="s">
        <v>1413</v>
      </c>
      <c r="G313" s="14"/>
      <c r="H313" s="15"/>
      <c r="I313" s="16" t="s">
        <v>29</v>
      </c>
      <c r="J313" s="73">
        <v>30.0</v>
      </c>
      <c r="K313" s="54"/>
      <c r="L313" s="55">
        <v>2.0</v>
      </c>
      <c r="M313" s="18">
        <f>IFNA( VLOOKUP(LEFT(F313, IFERROR(FIND(" ", F313, 1),1) - 1), lists!$A$31:$B$37, 2, FALSE),"")</f>
        <v>2</v>
      </c>
      <c r="N313" s="18" t="str">
        <f>IFERROR(__xludf.DUMMYFUNCTION("IFNA(VLOOKUP(IFNA(REGEXEXTRACT(F313, ""(Пасхи|50-ці|посту)""),""""),lists!$A$39:$B$41,2,FALSE),"""")"),"")</f>
        <v/>
      </c>
      <c r="O313" s="19" t="str">
        <f>IFERROR(__xludf.DUMMYFUNCTION("IFNA(REGEXEXTRACT(F313, ""\d{1,2}""),"""")"),"30")</f>
        <v>30</v>
      </c>
      <c r="P313" s="14" t="b">
        <f t="shared" si="6"/>
        <v>0</v>
      </c>
    </row>
    <row r="314">
      <c r="A314" s="13" t="s">
        <v>1414</v>
      </c>
      <c r="B314" s="9" t="str">
        <f t="shared" si="1"/>
        <v>Мр.</v>
      </c>
      <c r="C314" s="10" t="s">
        <v>1343</v>
      </c>
      <c r="D314" s="11" t="str">
        <f t="shared" si="2"/>
        <v>35</v>
      </c>
      <c r="E314" s="9"/>
      <c r="F314" s="13" t="s">
        <v>1415</v>
      </c>
      <c r="G314" s="14"/>
      <c r="H314" s="22"/>
      <c r="I314" s="16" t="s">
        <v>20</v>
      </c>
      <c r="J314" s="73">
        <v>5.0</v>
      </c>
      <c r="K314" s="54"/>
      <c r="L314" s="55">
        <v>6.0</v>
      </c>
      <c r="M314" s="18">
        <f>IFNA( VLOOKUP(LEFT(F314, IFERROR(FIND(" ", F314, 1),1) - 1), lists!$A$31:$B$37, 2, FALSE),"")</f>
        <v>6</v>
      </c>
      <c r="N314" s="18" t="str">
        <f>IFERROR(__xludf.DUMMYFUNCTION("IFNA(VLOOKUP(IFNA(REGEXEXTRACT(F314, ""(Пасхи|50-ці|посту)""),""""),lists!$A$39:$B$41,2,FALSE),"""")"),"lent")</f>
        <v>lent</v>
      </c>
      <c r="O314" s="19" t="str">
        <f>IFERROR(__xludf.DUMMYFUNCTION("IFNA(REGEXEXTRACT(F314, ""\d{1,2}""),"""")"),"5")</f>
        <v>5</v>
      </c>
      <c r="P314" s="14" t="b">
        <f t="shared" si="6"/>
        <v>0</v>
      </c>
    </row>
    <row r="315">
      <c r="A315" s="13" t="s">
        <v>1416</v>
      </c>
      <c r="B315" s="9" t="str">
        <f t="shared" si="1"/>
        <v>Мр.</v>
      </c>
      <c r="C315" s="10" t="s">
        <v>1343</v>
      </c>
      <c r="D315" s="11" t="str">
        <f t="shared" si="2"/>
        <v>36</v>
      </c>
      <c r="E315" s="9"/>
      <c r="F315" s="13" t="s">
        <v>1417</v>
      </c>
      <c r="G315" s="14"/>
      <c r="H315" s="22"/>
      <c r="I315" s="16" t="s">
        <v>29</v>
      </c>
      <c r="J315" s="73">
        <v>30.0</v>
      </c>
      <c r="K315" s="54"/>
      <c r="L315" s="55">
        <v>3.0</v>
      </c>
      <c r="M315" s="18">
        <f>IFNA( VLOOKUP(LEFT(F315, IFERROR(FIND(" ", F315, 1),1) - 1), lists!$A$31:$B$37, 2, FALSE),"")</f>
        <v>3</v>
      </c>
      <c r="N315" s="18" t="str">
        <f>IFERROR(__xludf.DUMMYFUNCTION("IFNA(VLOOKUP(IFNA(REGEXEXTRACT(F315, ""(Пасхи|50-ці|посту)""),""""),lists!$A$39:$B$41,2,FALSE),"""")"),"")</f>
        <v/>
      </c>
      <c r="O315" s="19" t="str">
        <f>IFERROR(__xludf.DUMMYFUNCTION("IFNA(REGEXEXTRACT(F315, ""\d{1,2}""),"""")"),"30")</f>
        <v>30</v>
      </c>
      <c r="P315" s="14" t="b">
        <f t="shared" si="6"/>
        <v>0</v>
      </c>
    </row>
    <row r="316">
      <c r="A316" s="13" t="s">
        <v>1418</v>
      </c>
      <c r="B316" s="9" t="str">
        <f t="shared" si="1"/>
        <v>Мр.</v>
      </c>
      <c r="C316" s="10" t="s">
        <v>1343</v>
      </c>
      <c r="D316" s="11" t="str">
        <f t="shared" si="2"/>
        <v>37</v>
      </c>
      <c r="E316" s="9"/>
      <c r="F316" s="13" t="s">
        <v>1419</v>
      </c>
      <c r="G316" s="14"/>
      <c r="H316" s="15" t="s">
        <v>70</v>
      </c>
      <c r="I316" s="16" t="s">
        <v>20</v>
      </c>
      <c r="J316" s="73">
        <v>3.0</v>
      </c>
      <c r="K316" s="54"/>
      <c r="L316" s="55">
        <v>7.0</v>
      </c>
      <c r="M316" s="18">
        <f>IFNA( VLOOKUP(LEFT(F316, IFERROR(FIND(" ", F316, 1),1) - 1), lists!$A$31:$B$37, 2, FALSE),"")</f>
        <v>7</v>
      </c>
      <c r="N316" s="18" t="str">
        <f>IFERROR(__xludf.DUMMYFUNCTION("IFNA(VLOOKUP(IFNA(REGEXEXTRACT(F316, ""(Пасхи|50-ці|посту)""),""""),lists!$A$39:$B$41,2,FALSE),"""")"),"lent")</f>
        <v>lent</v>
      </c>
      <c r="O316" s="19" t="str">
        <f>IFERROR(__xludf.DUMMYFUNCTION("IFNA(REGEXEXTRACT(F316, ""\d{1,2}""),"""")"),"3")</f>
        <v>3</v>
      </c>
      <c r="P316" s="14" t="b">
        <f t="shared" si="6"/>
        <v>0</v>
      </c>
    </row>
    <row r="317">
      <c r="A317" s="13" t="s">
        <v>1420</v>
      </c>
      <c r="B317" s="9" t="str">
        <f t="shared" si="1"/>
        <v>Мр.</v>
      </c>
      <c r="C317" s="10" t="s">
        <v>1343</v>
      </c>
      <c r="D317" s="11" t="str">
        <f t="shared" si="2"/>
        <v>38</v>
      </c>
      <c r="E317" s="9"/>
      <c r="F317" s="13" t="s">
        <v>1421</v>
      </c>
      <c r="G317" s="14"/>
      <c r="H317" s="15" t="s">
        <v>70</v>
      </c>
      <c r="I317" s="16" t="s">
        <v>71</v>
      </c>
      <c r="J317" s="73" t="s">
        <v>71</v>
      </c>
      <c r="K317" s="54"/>
      <c r="L317" s="55" t="s">
        <v>71</v>
      </c>
      <c r="M317" s="18" t="str">
        <f>IFNA( VLOOKUP(LEFT(F317, IFERROR(FIND(" ", F317, 1),1) - 1), lists!$A$31:$B$37, 2, FALSE),"")</f>
        <v/>
      </c>
      <c r="N317" s="18" t="str">
        <f>IFERROR(__xludf.DUMMYFUNCTION("IFNA(VLOOKUP(IFNA(REGEXEXTRACT(F317, ""(Пасхи|50-ці|посту)""),""""),lists!$A$39:$B$41,2,FALSE),"""")"),"")</f>
        <v/>
      </c>
      <c r="O317" s="19" t="str">
        <f>IFERROR(__xludf.DUMMYFUNCTION("IFNA(REGEXEXTRACT(F317, ""\d{1,2}""),"""")"),"")</f>
        <v/>
      </c>
      <c r="P317" s="14" t="b">
        <f t="shared" si="6"/>
        <v>0</v>
      </c>
    </row>
    <row r="318">
      <c r="A318" s="13" t="s">
        <v>1422</v>
      </c>
      <c r="B318" s="9" t="str">
        <f t="shared" si="1"/>
        <v>Мр.</v>
      </c>
      <c r="C318" s="10" t="s">
        <v>1343</v>
      </c>
      <c r="D318" s="11" t="str">
        <f t="shared" si="2"/>
        <v>39</v>
      </c>
      <c r="E318" s="9"/>
      <c r="F318" s="13" t="s">
        <v>1423</v>
      </c>
      <c r="G318" s="14"/>
      <c r="H318" s="22"/>
      <c r="I318" s="16" t="s">
        <v>29</v>
      </c>
      <c r="J318" s="73">
        <v>30.0</v>
      </c>
      <c r="K318" s="54"/>
      <c r="L318" s="55">
        <v>4.0</v>
      </c>
      <c r="M318" s="18">
        <f>IFNA( VLOOKUP(LEFT(F318, IFERROR(FIND(" ", F318, 1),1) - 1), lists!$A$31:$B$37, 2, FALSE),"")</f>
        <v>4</v>
      </c>
      <c r="N318" s="18" t="str">
        <f>IFERROR(__xludf.DUMMYFUNCTION("IFNA(VLOOKUP(IFNA(REGEXEXTRACT(F318, ""(Пасхи|50-ці|посту)""),""""),lists!$A$39:$B$41,2,FALSE),"""")"),"")</f>
        <v/>
      </c>
      <c r="O318" s="19" t="str">
        <f>IFERROR(__xludf.DUMMYFUNCTION("IFNA(REGEXEXTRACT(F318, ""\d{1,2}""),"""")"),"30")</f>
        <v>30</v>
      </c>
      <c r="P318" s="14" t="b">
        <f t="shared" si="6"/>
        <v>0</v>
      </c>
    </row>
    <row r="319">
      <c r="A319" s="13" t="s">
        <v>1424</v>
      </c>
      <c r="B319" s="9" t="str">
        <f t="shared" si="1"/>
        <v>Мр.</v>
      </c>
      <c r="C319" s="10" t="s">
        <v>1343</v>
      </c>
      <c r="D319" s="11" t="str">
        <f t="shared" si="2"/>
        <v>40</v>
      </c>
      <c r="E319" s="9"/>
      <c r="F319" s="13" t="s">
        <v>1425</v>
      </c>
      <c r="G319" s="14"/>
      <c r="H319" s="15"/>
      <c r="I319" s="16" t="s">
        <v>20</v>
      </c>
      <c r="J319" s="73">
        <v>4.0</v>
      </c>
      <c r="K319" s="54"/>
      <c r="L319" s="55">
        <v>7.0</v>
      </c>
      <c r="M319" s="18">
        <f>IFNA( VLOOKUP(LEFT(F319, IFERROR(FIND(" ", F319, 1),1) - 1), lists!$A$31:$B$37, 2, FALSE),"")</f>
        <v>7</v>
      </c>
      <c r="N319" s="18" t="str">
        <f>IFERROR(__xludf.DUMMYFUNCTION("IFNA(VLOOKUP(IFNA(REGEXEXTRACT(F319, ""(Пасхи|50-ці|посту)""),""""),lists!$A$39:$B$41,2,FALSE),"""")"),"lent")</f>
        <v>lent</v>
      </c>
      <c r="O319" s="19" t="str">
        <f>IFERROR(__xludf.DUMMYFUNCTION("IFNA(REGEXEXTRACT(F319, ""\d{1,2}""),"""")"),"4")</f>
        <v>4</v>
      </c>
      <c r="P319" s="14" t="b">
        <f t="shared" si="6"/>
        <v>0</v>
      </c>
    </row>
    <row r="320">
      <c r="A320" s="13" t="s">
        <v>1426</v>
      </c>
      <c r="B320" s="9" t="str">
        <f t="shared" si="1"/>
        <v>Мр.</v>
      </c>
      <c r="C320" s="10" t="s">
        <v>1343</v>
      </c>
      <c r="D320" s="11" t="str">
        <f t="shared" si="2"/>
        <v>41</v>
      </c>
      <c r="E320" s="9"/>
      <c r="F320" s="13" t="s">
        <v>1427</v>
      </c>
      <c r="G320" s="14"/>
      <c r="H320" s="15" t="s">
        <v>70</v>
      </c>
      <c r="I320" s="16" t="s">
        <v>29</v>
      </c>
      <c r="J320" s="73">
        <v>30.0</v>
      </c>
      <c r="K320" s="54"/>
      <c r="L320" s="55">
        <v>5.0</v>
      </c>
      <c r="M320" s="18">
        <f>IFNA( VLOOKUP(LEFT(F320, IFERROR(FIND(" ", F320, 1),1) - 1), lists!$A$31:$B$37, 2, FALSE),"")</f>
        <v>5</v>
      </c>
      <c r="N320" s="18" t="str">
        <f>IFERROR(__xludf.DUMMYFUNCTION("IFNA(VLOOKUP(IFNA(REGEXEXTRACT(F320, ""(Пасхи|50-ці|посту)""),""""),lists!$A$39:$B$41,2,FALSE),"""")"),"")</f>
        <v/>
      </c>
      <c r="O320" s="19" t="str">
        <f>IFERROR(__xludf.DUMMYFUNCTION("IFNA(REGEXEXTRACT(F320, ""\d{1,2}""),"""")"),"30")</f>
        <v>30</v>
      </c>
      <c r="P320" s="14" t="b">
        <f t="shared" si="6"/>
        <v>0</v>
      </c>
    </row>
    <row r="321">
      <c r="A321" s="13" t="s">
        <v>1428</v>
      </c>
      <c r="B321" s="9" t="str">
        <f t="shared" si="1"/>
        <v>Мр.</v>
      </c>
      <c r="C321" s="10" t="s">
        <v>1343</v>
      </c>
      <c r="D321" s="11" t="str">
        <f t="shared" si="2"/>
        <v>42</v>
      </c>
      <c r="E321" s="9"/>
      <c r="F321" s="13" t="s">
        <v>1429</v>
      </c>
      <c r="G321" s="14"/>
      <c r="H321" s="22"/>
      <c r="I321" s="16" t="s">
        <v>29</v>
      </c>
      <c r="J321" s="73">
        <v>31.0</v>
      </c>
      <c r="K321" s="54"/>
      <c r="L321" s="55">
        <v>1.0</v>
      </c>
      <c r="M321" s="18">
        <f>IFNA( VLOOKUP(LEFT(F321, IFERROR(FIND(" ", F321, 1),1) - 1), lists!$A$31:$B$37, 2, FALSE),"")</f>
        <v>1</v>
      </c>
      <c r="N321" s="18" t="str">
        <f>IFERROR(__xludf.DUMMYFUNCTION("IFNA(VLOOKUP(IFNA(REGEXEXTRACT(F321, ""(Пасхи|50-ці|посту)""),""""),lists!$A$39:$B$41,2,FALSE),"""")"),"")</f>
        <v/>
      </c>
      <c r="O321" s="19" t="str">
        <f>IFERROR(__xludf.DUMMYFUNCTION("IFNA(REGEXEXTRACT(F321, ""\d{1,2}""),"""")"),"31")</f>
        <v>31</v>
      </c>
      <c r="P321" s="14" t="b">
        <f t="shared" si="6"/>
        <v>0</v>
      </c>
    </row>
    <row r="322">
      <c r="A322" s="13" t="s">
        <v>1430</v>
      </c>
      <c r="B322" s="9" t="str">
        <f t="shared" si="1"/>
        <v>Мр.</v>
      </c>
      <c r="C322" s="10" t="s">
        <v>1343</v>
      </c>
      <c r="D322" s="11" t="str">
        <f t="shared" si="2"/>
        <v>43</v>
      </c>
      <c r="E322" s="9"/>
      <c r="F322" s="13" t="s">
        <v>1431</v>
      </c>
      <c r="G322" s="14"/>
      <c r="H322" s="22"/>
      <c r="I322" s="16" t="s">
        <v>29</v>
      </c>
      <c r="J322" s="73">
        <v>31.0</v>
      </c>
      <c r="K322" s="54"/>
      <c r="L322" s="55">
        <v>2.0</v>
      </c>
      <c r="M322" s="18">
        <f>IFNA( VLOOKUP(LEFT(F322, IFERROR(FIND(" ", F322, 1),1) - 1), lists!$A$31:$B$37, 2, FALSE),"")</f>
        <v>2</v>
      </c>
      <c r="N322" s="18" t="str">
        <f>IFERROR(__xludf.DUMMYFUNCTION("IFNA(VLOOKUP(IFNA(REGEXEXTRACT(F322, ""(Пасхи|50-ці|посту)""),""""),lists!$A$39:$B$41,2,FALSE),"""")"),"")</f>
        <v/>
      </c>
      <c r="O322" s="19" t="str">
        <f>IFERROR(__xludf.DUMMYFUNCTION("IFNA(REGEXEXTRACT(F322, ""\d{1,2}""),"""")"),"31")</f>
        <v>31</v>
      </c>
      <c r="P322" s="14" t="b">
        <f t="shared" si="6"/>
        <v>0</v>
      </c>
    </row>
    <row r="323">
      <c r="A323" s="13" t="s">
        <v>1432</v>
      </c>
      <c r="B323" s="9" t="str">
        <f t="shared" si="1"/>
        <v>Мр.</v>
      </c>
      <c r="C323" s="10" t="s">
        <v>1343</v>
      </c>
      <c r="D323" s="11" t="str">
        <f t="shared" si="2"/>
        <v>44</v>
      </c>
      <c r="E323" s="9"/>
      <c r="F323" s="13" t="s">
        <v>1433</v>
      </c>
      <c r="G323" s="14"/>
      <c r="H323" s="22"/>
      <c r="I323" s="16" t="s">
        <v>29</v>
      </c>
      <c r="J323" s="73">
        <v>31.0</v>
      </c>
      <c r="K323" s="54"/>
      <c r="L323" s="55">
        <v>3.0</v>
      </c>
      <c r="M323" s="18">
        <f>IFNA( VLOOKUP(LEFT(F323, IFERROR(FIND(" ", F323, 1),1) - 1), lists!$A$31:$B$37, 2, FALSE),"")</f>
        <v>3</v>
      </c>
      <c r="N323" s="18" t="str">
        <f>IFERROR(__xludf.DUMMYFUNCTION("IFNA(VLOOKUP(IFNA(REGEXEXTRACT(F323, ""(Пасхи|50-ці|посту)""),""""),lists!$A$39:$B$41,2,FALSE),"""")"),"")</f>
        <v/>
      </c>
      <c r="O323" s="19" t="str">
        <f>IFERROR(__xludf.DUMMYFUNCTION("IFNA(REGEXEXTRACT(F323, ""\d{1,2}""),"""")"),"31")</f>
        <v>31</v>
      </c>
      <c r="P323" s="14" t="b">
        <f t="shared" si="6"/>
        <v>0</v>
      </c>
    </row>
    <row r="324">
      <c r="A324" s="13" t="s">
        <v>1434</v>
      </c>
      <c r="B324" s="9" t="str">
        <f t="shared" si="1"/>
        <v>Мр.</v>
      </c>
      <c r="C324" s="10" t="s">
        <v>1343</v>
      </c>
      <c r="D324" s="11" t="str">
        <f t="shared" si="2"/>
        <v>45</v>
      </c>
      <c r="E324" s="9"/>
      <c r="F324" s="13" t="s">
        <v>1435</v>
      </c>
      <c r="G324" s="14"/>
      <c r="H324" s="22"/>
      <c r="I324" s="16" t="s">
        <v>29</v>
      </c>
      <c r="J324" s="73">
        <v>31.0</v>
      </c>
      <c r="K324" s="54"/>
      <c r="L324" s="55">
        <v>4.0</v>
      </c>
      <c r="M324" s="18">
        <f>IFNA( VLOOKUP(LEFT(F324, IFERROR(FIND(" ", F324, 1),1) - 1), lists!$A$31:$B$37, 2, FALSE),"")</f>
        <v>4</v>
      </c>
      <c r="N324" s="18" t="str">
        <f>IFERROR(__xludf.DUMMYFUNCTION("IFNA(VLOOKUP(IFNA(REGEXEXTRACT(F324, ""(Пасхи|50-ці|посту)""),""""),lists!$A$39:$B$41,2,FALSE),"""")"),"")</f>
        <v/>
      </c>
      <c r="O324" s="19" t="str">
        <f>IFERROR(__xludf.DUMMYFUNCTION("IFNA(REGEXEXTRACT(F324, ""\d{1,2}""),"""")"),"31")</f>
        <v>31</v>
      </c>
      <c r="P324" s="14" t="b">
        <f t="shared" si="6"/>
        <v>0</v>
      </c>
    </row>
    <row r="325">
      <c r="A325" s="13" t="s">
        <v>1436</v>
      </c>
      <c r="B325" s="9" t="str">
        <f t="shared" si="1"/>
        <v>Мр.</v>
      </c>
      <c r="C325" s="10" t="s">
        <v>1343</v>
      </c>
      <c r="D325" s="11" t="str">
        <f t="shared" si="2"/>
        <v>46</v>
      </c>
      <c r="E325" s="9"/>
      <c r="F325" s="13" t="s">
        <v>1437</v>
      </c>
      <c r="G325" s="14"/>
      <c r="H325" s="22"/>
      <c r="I325" s="16" t="s">
        <v>29</v>
      </c>
      <c r="J325" s="73">
        <v>31.0</v>
      </c>
      <c r="K325" s="54"/>
      <c r="L325" s="55">
        <v>5.0</v>
      </c>
      <c r="M325" s="18">
        <f>IFNA( VLOOKUP(LEFT(F325, IFERROR(FIND(" ", F325, 1),1) - 1), lists!$A$31:$B$37, 2, FALSE),"")</f>
        <v>5</v>
      </c>
      <c r="N325" s="18" t="str">
        <f>IFERROR(__xludf.DUMMYFUNCTION("IFNA(VLOOKUP(IFNA(REGEXEXTRACT(F325, ""(Пасхи|50-ці|посту)""),""""),lists!$A$39:$B$41,2,FALSE),"""")"),"")</f>
        <v/>
      </c>
      <c r="O325" s="19" t="str">
        <f>IFERROR(__xludf.DUMMYFUNCTION("IFNA(REGEXEXTRACT(F325, ""\d{1,2}""),"""")"),"31")</f>
        <v>31</v>
      </c>
      <c r="P325" s="14" t="b">
        <f t="shared" si="6"/>
        <v>0</v>
      </c>
    </row>
    <row r="326">
      <c r="A326" s="13" t="s">
        <v>1438</v>
      </c>
      <c r="B326" s="9" t="str">
        <f t="shared" si="1"/>
        <v>Мр.</v>
      </c>
      <c r="C326" s="10" t="s">
        <v>1343</v>
      </c>
      <c r="D326" s="11" t="str">
        <f t="shared" si="2"/>
        <v>47</v>
      </c>
      <c r="E326" s="9"/>
      <c r="F326" s="13" t="s">
        <v>1439</v>
      </c>
      <c r="G326" s="14"/>
      <c r="H326" s="15"/>
      <c r="I326" s="16" t="s">
        <v>20</v>
      </c>
      <c r="J326" s="73">
        <v>5.0</v>
      </c>
      <c r="K326" s="54"/>
      <c r="L326" s="55">
        <v>7.0</v>
      </c>
      <c r="M326" s="18">
        <f>IFNA( VLOOKUP(LEFT(F326, IFERROR(FIND(" ", F326, 1),1) - 1), lists!$A$31:$B$37, 2, FALSE),"")</f>
        <v>7</v>
      </c>
      <c r="N326" s="18" t="str">
        <f>IFERROR(__xludf.DUMMYFUNCTION("IFNA(VLOOKUP(IFNA(REGEXEXTRACT(F326, ""(Пасхи|50-ці|посту)""),""""),lists!$A$39:$B$41,2,FALSE),"""")"),"lent")</f>
        <v>lent</v>
      </c>
      <c r="O326" s="19" t="str">
        <f>IFERROR(__xludf.DUMMYFUNCTION("IFNA(REGEXEXTRACT(F326, ""\d{1,2}""),"""")"),"5")</f>
        <v>5</v>
      </c>
      <c r="P326" s="14" t="b">
        <f t="shared" si="6"/>
        <v>0</v>
      </c>
    </row>
    <row r="327">
      <c r="A327" s="13" t="s">
        <v>1440</v>
      </c>
      <c r="B327" s="9" t="str">
        <f t="shared" si="1"/>
        <v>Мр.</v>
      </c>
      <c r="C327" s="10" t="s">
        <v>1343</v>
      </c>
      <c r="D327" s="11" t="str">
        <f t="shared" si="2"/>
        <v>48</v>
      </c>
      <c r="E327" s="9"/>
      <c r="F327" s="13" t="s">
        <v>1441</v>
      </c>
      <c r="G327" s="14"/>
      <c r="H327" s="22"/>
      <c r="I327" s="16" t="s">
        <v>29</v>
      </c>
      <c r="J327" s="73">
        <v>17.0</v>
      </c>
      <c r="K327" s="54"/>
      <c r="L327" s="55">
        <v>1.0</v>
      </c>
      <c r="M327" s="18">
        <f>IFNA( VLOOKUP(LEFT(F327, IFERROR(FIND(" ", F327, 1),1) - 1), lists!$A$31:$B$37, 2, FALSE),"")</f>
        <v>1</v>
      </c>
      <c r="N327" s="18" t="str">
        <f>IFERROR(__xludf.DUMMYFUNCTION("IFNA(VLOOKUP(IFNA(REGEXEXTRACT(F327, ""(Пасхи|50-ці|посту)""),""""),lists!$A$39:$B$41,2,FALSE),"""")"),"")</f>
        <v/>
      </c>
      <c r="O327" s="19" t="str">
        <f>IFERROR(__xludf.DUMMYFUNCTION("IFNA(REGEXEXTRACT(F327, ""\d{1,2}""),"""")"),"17")</f>
        <v>17</v>
      </c>
      <c r="P327" s="14" t="b">
        <f t="shared" si="6"/>
        <v>0</v>
      </c>
    </row>
    <row r="328">
      <c r="A328" s="13" t="s">
        <v>1442</v>
      </c>
      <c r="B328" s="9" t="str">
        <f t="shared" si="1"/>
        <v>Мр.</v>
      </c>
      <c r="C328" s="10" t="s">
        <v>1343</v>
      </c>
      <c r="D328" s="11" t="str">
        <f t="shared" si="2"/>
        <v>49</v>
      </c>
      <c r="E328" s="9"/>
      <c r="F328" s="13" t="s">
        <v>1443</v>
      </c>
      <c r="G328" s="14"/>
      <c r="H328" s="22"/>
      <c r="I328" s="16" t="s">
        <v>29</v>
      </c>
      <c r="J328" s="53">
        <v>35.0</v>
      </c>
      <c r="K328" s="55">
        <v>2.0</v>
      </c>
      <c r="L328" s="55">
        <v>1.0</v>
      </c>
      <c r="M328" s="18">
        <f>IFNA( VLOOKUP(LEFT(F328, IFERROR(FIND(" ", F328, 1),1) - 1), lists!$A$31:$B$37, 2, FALSE),"")</f>
        <v>1</v>
      </c>
      <c r="N328" s="18" t="str">
        <f>IFERROR(__xludf.DUMMYFUNCTION("IFNA(VLOOKUP(IFNA(REGEXEXTRACT(F328, ""(Пасхи|50-ці|посту)""),""""),lists!$A$39:$B$41,2,FALSE),"""")"),"")</f>
        <v/>
      </c>
      <c r="O328" s="19" t="str">
        <f>IFERROR(__xludf.DUMMYFUNCTION("IFNA(REGEXEXTRACT(F328, ""\d{1,2}""),"""")"),"")</f>
        <v/>
      </c>
      <c r="P328" s="14" t="b">
        <f t="shared" si="6"/>
        <v>0</v>
      </c>
    </row>
    <row r="329">
      <c r="A329" s="13" t="s">
        <v>1444</v>
      </c>
      <c r="B329" s="9" t="str">
        <f t="shared" si="1"/>
        <v>Мр.</v>
      </c>
      <c r="C329" s="10" t="s">
        <v>1343</v>
      </c>
      <c r="D329" s="11" t="str">
        <f t="shared" si="2"/>
        <v>50</v>
      </c>
      <c r="E329" s="9"/>
      <c r="F329" s="13" t="s">
        <v>1445</v>
      </c>
      <c r="G329" s="14"/>
      <c r="H329" s="22"/>
      <c r="I329" s="16" t="s">
        <v>29</v>
      </c>
      <c r="J329" s="73">
        <v>17.0</v>
      </c>
      <c r="K329" s="54"/>
      <c r="L329" s="55">
        <v>2.0</v>
      </c>
      <c r="M329" s="18">
        <f>IFNA( VLOOKUP(LEFT(F329, IFERROR(FIND(" ", F329, 1),1) - 1), lists!$A$31:$B$37, 2, FALSE),"")</f>
        <v>2</v>
      </c>
      <c r="N329" s="18" t="str">
        <f>IFERROR(__xludf.DUMMYFUNCTION("IFNA(VLOOKUP(IFNA(REGEXEXTRACT(F329, ""(Пасхи|50-ці|посту)""),""""),lists!$A$39:$B$41,2,FALSE),"""")"),"")</f>
        <v/>
      </c>
      <c r="O329" s="19" t="str">
        <f>IFERROR(__xludf.DUMMYFUNCTION("IFNA(REGEXEXTRACT(F329, ""\d{1,2}""),"""")"),"17")</f>
        <v>17</v>
      </c>
      <c r="P329" s="14" t="b">
        <f t="shared" si="6"/>
        <v>0</v>
      </c>
    </row>
    <row r="330">
      <c r="A330" s="13" t="s">
        <v>1446</v>
      </c>
      <c r="B330" s="9" t="str">
        <f t="shared" si="1"/>
        <v>Мр.</v>
      </c>
      <c r="C330" s="10" t="s">
        <v>1343</v>
      </c>
      <c r="D330" s="11" t="str">
        <f t="shared" si="2"/>
        <v>51</v>
      </c>
      <c r="E330" s="9"/>
      <c r="F330" s="13" t="s">
        <v>1447</v>
      </c>
      <c r="G330" s="14"/>
      <c r="H330" s="22"/>
      <c r="I330" s="16" t="s">
        <v>29</v>
      </c>
      <c r="J330" s="73">
        <v>17.0</v>
      </c>
      <c r="K330" s="54"/>
      <c r="L330" s="55">
        <v>3.0</v>
      </c>
      <c r="M330" s="18">
        <f>IFNA( VLOOKUP(LEFT(F330, IFERROR(FIND(" ", F330, 1),1) - 1), lists!$A$31:$B$37, 2, FALSE),"")</f>
        <v>3</v>
      </c>
      <c r="N330" s="18" t="str">
        <f>IFERROR(__xludf.DUMMYFUNCTION("IFNA(VLOOKUP(IFNA(REGEXEXTRACT(F330, ""(Пасхи|50-ці|посту)""),""""),lists!$A$39:$B$41,2,FALSE),"""")"),"")</f>
        <v/>
      </c>
      <c r="O330" s="19" t="str">
        <f>IFERROR(__xludf.DUMMYFUNCTION("IFNA(REGEXEXTRACT(F330, ""\d{1,2}""),"""")"),"17")</f>
        <v>17</v>
      </c>
      <c r="P330" s="14" t="b">
        <f t="shared" si="6"/>
        <v>0</v>
      </c>
    </row>
    <row r="331">
      <c r="A331" s="13" t="s">
        <v>1448</v>
      </c>
      <c r="B331" s="9" t="str">
        <f t="shared" si="1"/>
        <v>Мр.</v>
      </c>
      <c r="C331" s="10" t="s">
        <v>1343</v>
      </c>
      <c r="D331" s="11" t="str">
        <f t="shared" si="2"/>
        <v>52</v>
      </c>
      <c r="E331" s="9"/>
      <c r="F331" s="13" t="s">
        <v>1449</v>
      </c>
      <c r="G331" s="14"/>
      <c r="H331" s="22"/>
      <c r="I331" s="16" t="s">
        <v>29</v>
      </c>
      <c r="J331" s="73">
        <v>17.0</v>
      </c>
      <c r="K331" s="54"/>
      <c r="L331" s="55">
        <v>4.0</v>
      </c>
      <c r="M331" s="18">
        <f>IFNA( VLOOKUP(LEFT(F331, IFERROR(FIND(" ", F331, 1),1) - 1), lists!$A$31:$B$37, 2, FALSE),"")</f>
        <v>4</v>
      </c>
      <c r="N331" s="18" t="str">
        <f>IFERROR(__xludf.DUMMYFUNCTION("IFNA(VLOOKUP(IFNA(REGEXEXTRACT(F331, ""(Пасхи|50-ці|посту)""),""""),lists!$A$39:$B$41,2,FALSE),"""")"),"")</f>
        <v/>
      </c>
      <c r="O331" s="19" t="str">
        <f>IFERROR(__xludf.DUMMYFUNCTION("IFNA(REGEXEXTRACT(F331, ""\d{1,2}""),"""")"),"17")</f>
        <v>17</v>
      </c>
      <c r="P331" s="14" t="b">
        <f t="shared" si="6"/>
        <v>0</v>
      </c>
    </row>
    <row r="332">
      <c r="A332" s="13" t="s">
        <v>1450</v>
      </c>
      <c r="B332" s="9" t="str">
        <f t="shared" si="1"/>
        <v>Мр.</v>
      </c>
      <c r="C332" s="10" t="s">
        <v>1343</v>
      </c>
      <c r="D332" s="11" t="str">
        <f t="shared" si="2"/>
        <v>53</v>
      </c>
      <c r="E332" s="9"/>
      <c r="F332" s="13" t="s">
        <v>1451</v>
      </c>
      <c r="G332" s="14"/>
      <c r="H332" s="22"/>
      <c r="I332" s="16" t="s">
        <v>29</v>
      </c>
      <c r="J332" s="73">
        <v>17.0</v>
      </c>
      <c r="K332" s="54"/>
      <c r="L332" s="55">
        <v>5.0</v>
      </c>
      <c r="M332" s="18">
        <f>IFNA( VLOOKUP(LEFT(F332, IFERROR(FIND(" ", F332, 1),1) - 1), lists!$A$31:$B$37, 2, FALSE),"")</f>
        <v>5</v>
      </c>
      <c r="N332" s="18" t="str">
        <f>IFERROR(__xludf.DUMMYFUNCTION("IFNA(VLOOKUP(IFNA(REGEXEXTRACT(F332, ""(Пасхи|50-ці|посту)""),""""),lists!$A$39:$B$41,2,FALSE),"""")"),"")</f>
        <v/>
      </c>
      <c r="O332" s="19" t="str">
        <f>IFERROR(__xludf.DUMMYFUNCTION("IFNA(REGEXEXTRACT(F332, ""\d{1,2}""),"""")"),"17")</f>
        <v>17</v>
      </c>
      <c r="P332" s="14" t="b">
        <f t="shared" si="6"/>
        <v>0</v>
      </c>
    </row>
    <row r="333">
      <c r="A333" s="13" t="s">
        <v>1452</v>
      </c>
      <c r="B333" s="9" t="str">
        <f t="shared" si="1"/>
        <v>Мр.</v>
      </c>
      <c r="C333" s="10" t="s">
        <v>1343</v>
      </c>
      <c r="D333" s="11" t="str">
        <f t="shared" si="2"/>
        <v>54</v>
      </c>
      <c r="E333" s="9"/>
      <c r="F333" s="13" t="s">
        <v>1453</v>
      </c>
      <c r="G333" s="14"/>
      <c r="H333" s="22"/>
      <c r="I333" s="16" t="s">
        <v>29</v>
      </c>
      <c r="J333" s="73">
        <v>33.0</v>
      </c>
      <c r="K333" s="54"/>
      <c r="L333" s="55">
        <v>1.0</v>
      </c>
      <c r="M333" s="18">
        <f>IFNA( VLOOKUP(LEFT(F333, IFERROR(FIND(" ", F333, 1),1) - 1), lists!$A$31:$B$37, 2, FALSE),"")</f>
        <v>1</v>
      </c>
      <c r="N333" s="18" t="str">
        <f>IFERROR(__xludf.DUMMYFUNCTION("IFNA(VLOOKUP(IFNA(REGEXEXTRACT(F333, ""(Пасхи|50-ці|посту)""),""""),lists!$A$39:$B$41,2,FALSE),"""")"),"")</f>
        <v/>
      </c>
      <c r="O333" s="19" t="str">
        <f>IFERROR(__xludf.DUMMYFUNCTION("IFNA(REGEXEXTRACT(F333, ""\d{1,2}""),"""")"),"33")</f>
        <v>33</v>
      </c>
      <c r="P333" s="14" t="b">
        <f t="shared" si="6"/>
        <v>0</v>
      </c>
    </row>
    <row r="334">
      <c r="A334" s="13" t="s">
        <v>1454</v>
      </c>
      <c r="B334" s="9" t="str">
        <f t="shared" si="1"/>
        <v>Мр.</v>
      </c>
      <c r="C334" s="10" t="s">
        <v>1343</v>
      </c>
      <c r="D334" s="11" t="str">
        <f t="shared" si="2"/>
        <v>55</v>
      </c>
      <c r="E334" s="9"/>
      <c r="F334" s="13" t="s">
        <v>1455</v>
      </c>
      <c r="G334" s="14"/>
      <c r="H334" s="22"/>
      <c r="I334" s="16" t="s">
        <v>29</v>
      </c>
      <c r="J334" s="73">
        <v>33.0</v>
      </c>
      <c r="K334" s="54"/>
      <c r="L334" s="55">
        <v>2.0</v>
      </c>
      <c r="M334" s="18">
        <f>IFNA( VLOOKUP(LEFT(F334, IFERROR(FIND(" ", F334, 1),1) - 1), lists!$A$31:$B$37, 2, FALSE),"")</f>
        <v>2</v>
      </c>
      <c r="N334" s="18" t="str">
        <f>IFERROR(__xludf.DUMMYFUNCTION("IFNA(VLOOKUP(IFNA(REGEXEXTRACT(F334, ""(Пасхи|50-ці|посту)""),""""),lists!$A$39:$B$41,2,FALSE),"""")"),"")</f>
        <v/>
      </c>
      <c r="O334" s="19" t="str">
        <f>IFERROR(__xludf.DUMMYFUNCTION("IFNA(REGEXEXTRACT(F334, ""\d{1,2}""),"""")"),"33")</f>
        <v>33</v>
      </c>
      <c r="P334" s="14" t="b">
        <f t="shared" si="6"/>
        <v>0</v>
      </c>
    </row>
    <row r="335">
      <c r="A335" s="13" t="s">
        <v>1456</v>
      </c>
      <c r="B335" s="9" t="str">
        <f t="shared" si="1"/>
        <v>Мр.</v>
      </c>
      <c r="C335" s="10" t="s">
        <v>1343</v>
      </c>
      <c r="D335" s="11" t="str">
        <f t="shared" si="2"/>
        <v>56</v>
      </c>
      <c r="E335" s="9"/>
      <c r="F335" s="13" t="s">
        <v>1457</v>
      </c>
      <c r="G335" s="14"/>
      <c r="H335" s="22"/>
      <c r="I335" s="16" t="s">
        <v>29</v>
      </c>
      <c r="J335" s="73">
        <v>33.0</v>
      </c>
      <c r="K335" s="54"/>
      <c r="L335" s="55">
        <v>3.0</v>
      </c>
      <c r="M335" s="18">
        <f>IFNA( VLOOKUP(LEFT(F335, IFERROR(FIND(" ", F335, 1),1) - 1), lists!$A$31:$B$37, 2, FALSE),"")</f>
        <v>3</v>
      </c>
      <c r="N335" s="18" t="str">
        <f>IFERROR(__xludf.DUMMYFUNCTION("IFNA(VLOOKUP(IFNA(REGEXEXTRACT(F335, ""(Пасхи|50-ці|посту)""),""""),lists!$A$39:$B$41,2,FALSE),"""")"),"")</f>
        <v/>
      </c>
      <c r="O335" s="19" t="str">
        <f>IFERROR(__xludf.DUMMYFUNCTION("IFNA(REGEXEXTRACT(F335, ""\d{1,2}""),"""")"),"33")</f>
        <v>33</v>
      </c>
      <c r="P335" s="14" t="b">
        <f t="shared" si="6"/>
        <v>0</v>
      </c>
    </row>
    <row r="336">
      <c r="A336" s="13" t="s">
        <v>1458</v>
      </c>
      <c r="B336" s="9" t="str">
        <f t="shared" si="1"/>
        <v>Мр.</v>
      </c>
      <c r="C336" s="10" t="s">
        <v>1343</v>
      </c>
      <c r="D336" s="11" t="str">
        <f t="shared" si="2"/>
        <v>57</v>
      </c>
      <c r="E336" s="9"/>
      <c r="F336" s="13" t="s">
        <v>1459</v>
      </c>
      <c r="G336" s="14"/>
      <c r="H336" s="22"/>
      <c r="I336" s="16" t="s">
        <v>29</v>
      </c>
      <c r="J336" s="73">
        <v>33.0</v>
      </c>
      <c r="K336" s="54"/>
      <c r="L336" s="55">
        <v>4.0</v>
      </c>
      <c r="M336" s="18">
        <f>IFNA( VLOOKUP(LEFT(F336, IFERROR(FIND(" ", F336, 1),1) - 1), lists!$A$31:$B$37, 2, FALSE),"")</f>
        <v>4</v>
      </c>
      <c r="N336" s="18" t="str">
        <f>IFERROR(__xludf.DUMMYFUNCTION("IFNA(VLOOKUP(IFNA(REGEXEXTRACT(F336, ""(Пасхи|50-ці|посту)""),""""),lists!$A$39:$B$41,2,FALSE),"""")"),"")</f>
        <v/>
      </c>
      <c r="O336" s="19" t="str">
        <f>IFERROR(__xludf.DUMMYFUNCTION("IFNA(REGEXEXTRACT(F336, ""\d{1,2}""),"""")"),"33")</f>
        <v>33</v>
      </c>
      <c r="P336" s="14" t="b">
        <f t="shared" si="6"/>
        <v>0</v>
      </c>
    </row>
    <row r="337">
      <c r="A337" s="13" t="s">
        <v>1460</v>
      </c>
      <c r="B337" s="9" t="str">
        <f t="shared" si="1"/>
        <v>Мр.</v>
      </c>
      <c r="C337" s="10" t="s">
        <v>1343</v>
      </c>
      <c r="D337" s="11" t="str">
        <f t="shared" si="2"/>
        <v>58</v>
      </c>
      <c r="E337" s="9"/>
      <c r="F337" s="13" t="s">
        <v>1461</v>
      </c>
      <c r="G337" s="14"/>
      <c r="H337" s="15"/>
      <c r="I337" s="16" t="s">
        <v>29</v>
      </c>
      <c r="J337" s="73">
        <v>33.0</v>
      </c>
      <c r="K337" s="54"/>
      <c r="L337" s="55">
        <v>5.0</v>
      </c>
      <c r="M337" s="18">
        <f>IFNA( VLOOKUP(LEFT(F337, IFERROR(FIND(" ", F337, 1),1) - 1), lists!$A$31:$B$37, 2, FALSE),"")</f>
        <v>5</v>
      </c>
      <c r="N337" s="18" t="str">
        <f>IFERROR(__xludf.DUMMYFUNCTION("IFNA(VLOOKUP(IFNA(REGEXEXTRACT(F337, ""(Пасхи|50-ці|посту)""),""""),lists!$A$39:$B$41,2,FALSE),"""")"),"")</f>
        <v/>
      </c>
      <c r="O337" s="19" t="str">
        <f>IFERROR(__xludf.DUMMYFUNCTION("IFNA(REGEXEXTRACT(F337, ""\d{1,2}""),"""")"),"33")</f>
        <v>33</v>
      </c>
      <c r="P337" s="14" t="b">
        <f t="shared" si="6"/>
        <v>0</v>
      </c>
    </row>
    <row r="338">
      <c r="A338" s="13" t="s">
        <v>1462</v>
      </c>
      <c r="B338" s="9" t="str">
        <f t="shared" si="1"/>
        <v>Мр.</v>
      </c>
      <c r="C338" s="10" t="s">
        <v>1343</v>
      </c>
      <c r="D338" s="11" t="str">
        <f t="shared" si="2"/>
        <v>59</v>
      </c>
      <c r="E338" s="9"/>
      <c r="F338" s="13" t="s">
        <v>1463</v>
      </c>
      <c r="G338" s="14"/>
      <c r="H338" s="22"/>
      <c r="I338" s="16" t="s">
        <v>29</v>
      </c>
      <c r="J338" s="73">
        <v>34.0</v>
      </c>
      <c r="K338" s="54"/>
      <c r="L338" s="55">
        <v>1.0</v>
      </c>
      <c r="M338" s="18">
        <f>IFNA( VLOOKUP(LEFT(F338, IFERROR(FIND(" ", F338, 1),1) - 1), lists!$A$31:$B$37, 2, FALSE),"")</f>
        <v>1</v>
      </c>
      <c r="N338" s="18" t="str">
        <f>IFERROR(__xludf.DUMMYFUNCTION("IFNA(VLOOKUP(IFNA(REGEXEXTRACT(F338, ""(Пасхи|50-ці|посту)""),""""),lists!$A$39:$B$41,2,FALSE),"""")"),"")</f>
        <v/>
      </c>
      <c r="O338" s="19" t="str">
        <f>IFERROR(__xludf.DUMMYFUNCTION("IFNA(REGEXEXTRACT(F338, ""\d{1,2}""),"""")"),"34")</f>
        <v>34</v>
      </c>
      <c r="P338" s="14" t="b">
        <f t="shared" si="6"/>
        <v>0</v>
      </c>
    </row>
    <row r="339">
      <c r="A339" s="13" t="s">
        <v>1464</v>
      </c>
      <c r="B339" s="9" t="str">
        <f t="shared" si="1"/>
        <v>Мр.</v>
      </c>
      <c r="C339" s="10" t="s">
        <v>1343</v>
      </c>
      <c r="D339" s="11" t="str">
        <f t="shared" si="2"/>
        <v>60</v>
      </c>
      <c r="E339" s="9"/>
      <c r="F339" s="13" t="s">
        <v>1465</v>
      </c>
      <c r="G339" s="14"/>
      <c r="H339" s="22"/>
      <c r="I339" s="16" t="s">
        <v>29</v>
      </c>
      <c r="J339" s="73">
        <v>34.0</v>
      </c>
      <c r="K339" s="54"/>
      <c r="L339" s="55">
        <v>2.0</v>
      </c>
      <c r="M339" s="18">
        <f>IFNA( VLOOKUP(LEFT(F339, IFERROR(FIND(" ", F339, 1),1) - 1), lists!$A$31:$B$37, 2, FALSE),"")</f>
        <v>2</v>
      </c>
      <c r="N339" s="18" t="str">
        <f>IFERROR(__xludf.DUMMYFUNCTION("IFNA(VLOOKUP(IFNA(REGEXEXTRACT(F339, ""(Пасхи|50-ці|посту)""),""""),lists!$A$39:$B$41,2,FALSE),"""")"),"")</f>
        <v/>
      </c>
      <c r="O339" s="19" t="str">
        <f>IFERROR(__xludf.DUMMYFUNCTION("IFNA(REGEXEXTRACT(F339, ""\d{1,2}""),"""")"),"34")</f>
        <v>34</v>
      </c>
      <c r="P339" s="14" t="b">
        <f t="shared" si="6"/>
        <v>0</v>
      </c>
    </row>
    <row r="340">
      <c r="A340" s="13" t="s">
        <v>1466</v>
      </c>
      <c r="B340" s="9" t="str">
        <f t="shared" si="1"/>
        <v>Мр.</v>
      </c>
      <c r="C340" s="10" t="s">
        <v>1343</v>
      </c>
      <c r="D340" s="11" t="str">
        <f t="shared" si="2"/>
        <v>61</v>
      </c>
      <c r="E340" s="9"/>
      <c r="F340" s="21" t="s">
        <v>1467</v>
      </c>
      <c r="G340" s="14"/>
      <c r="H340" s="22"/>
      <c r="I340" s="16" t="s">
        <v>29</v>
      </c>
      <c r="J340" s="73">
        <v>34.0</v>
      </c>
      <c r="K340" s="54"/>
      <c r="L340" s="55">
        <v>3.0</v>
      </c>
      <c r="M340" s="18">
        <f>IFNA( VLOOKUP(LEFT(F340, IFERROR(FIND(" ", F340, 1),1) - 1), lists!$A$31:$B$37, 2, FALSE),"")</f>
        <v>3</v>
      </c>
      <c r="N340" s="18" t="str">
        <f>IFERROR(__xludf.DUMMYFUNCTION("IFNA(VLOOKUP(IFNA(REGEXEXTRACT(F340, ""(Пасхи|50-ці|посту)""),""""),lists!$A$39:$B$41,2,FALSE),"""")"),"")</f>
        <v/>
      </c>
      <c r="O340" s="19" t="str">
        <f>IFERROR(__xludf.DUMMYFUNCTION("IFNA(REGEXEXTRACT(F340, ""\d{1,2}""),"""")"),"34")</f>
        <v>34</v>
      </c>
      <c r="P340" s="14" t="b">
        <f t="shared" si="6"/>
        <v>0</v>
      </c>
    </row>
    <row r="341">
      <c r="A341" s="13" t="s">
        <v>1468</v>
      </c>
      <c r="B341" s="9" t="str">
        <f t="shared" si="1"/>
        <v>Мр.</v>
      </c>
      <c r="C341" s="10" t="s">
        <v>1343</v>
      </c>
      <c r="D341" s="11" t="str">
        <f t="shared" si="2"/>
        <v>62</v>
      </c>
      <c r="E341" s="9"/>
      <c r="F341" s="13" t="s">
        <v>1469</v>
      </c>
      <c r="G341" s="14"/>
      <c r="H341" s="22"/>
      <c r="I341" s="16" t="s">
        <v>29</v>
      </c>
      <c r="J341" s="73">
        <v>34.0</v>
      </c>
      <c r="K341" s="54"/>
      <c r="L341" s="55">
        <v>4.0</v>
      </c>
      <c r="M341" s="18">
        <f>IFNA( VLOOKUP(LEFT(F341, IFERROR(FIND(" ", F341, 1),1) - 1), lists!$A$31:$B$37, 2, FALSE),"")</f>
        <v>4</v>
      </c>
      <c r="N341" s="18" t="str">
        <f>IFERROR(__xludf.DUMMYFUNCTION("IFNA(VLOOKUP(IFNA(REGEXEXTRACT(F341, ""(Пасхи|50-ці|посту)""),""""),lists!$A$39:$B$41,2,FALSE),"""")"),"")</f>
        <v/>
      </c>
      <c r="O341" s="19" t="str">
        <f>IFERROR(__xludf.DUMMYFUNCTION("IFNA(REGEXEXTRACT(F341, ""\d{1,2}""),"""")"),"34")</f>
        <v>34</v>
      </c>
      <c r="P341" s="14" t="b">
        <f t="shared" si="6"/>
        <v>0</v>
      </c>
    </row>
    <row r="342">
      <c r="A342" s="13" t="s">
        <v>1470</v>
      </c>
      <c r="B342" s="9" t="str">
        <f t="shared" si="1"/>
        <v>Мр.</v>
      </c>
      <c r="C342" s="10" t="s">
        <v>1343</v>
      </c>
      <c r="D342" s="11" t="str">
        <f t="shared" si="2"/>
        <v>63</v>
      </c>
      <c r="E342" s="9"/>
      <c r="F342" s="13" t="s">
        <v>1471</v>
      </c>
      <c r="G342" s="14"/>
      <c r="H342" s="22"/>
      <c r="I342" s="16" t="s">
        <v>29</v>
      </c>
      <c r="J342" s="73">
        <v>34.0</v>
      </c>
      <c r="K342" s="54"/>
      <c r="L342" s="55">
        <v>5.0</v>
      </c>
      <c r="M342" s="18">
        <f>IFNA( VLOOKUP(LEFT(F342, IFERROR(FIND(" ", F342, 1),1) - 1), lists!$A$31:$B$37, 2, FALSE),"")</f>
        <v>5</v>
      </c>
      <c r="N342" s="18" t="str">
        <f>IFERROR(__xludf.DUMMYFUNCTION("IFNA(VLOOKUP(IFNA(REGEXEXTRACT(F342, ""(Пасхи|50-ці|посту)""),""""),lists!$A$39:$B$41,2,FALSE),"""")"),"")</f>
        <v/>
      </c>
      <c r="O342" s="19" t="str">
        <f>IFERROR(__xludf.DUMMYFUNCTION("IFNA(REGEXEXTRACT(F342, ""\d{1,2}""),"""")"),"34")</f>
        <v>34</v>
      </c>
      <c r="P342" s="14" t="b">
        <f t="shared" si="6"/>
        <v>0</v>
      </c>
    </row>
    <row r="343">
      <c r="A343" s="13" t="s">
        <v>1472</v>
      </c>
      <c r="B343" s="9" t="str">
        <f t="shared" si="1"/>
        <v>Мр.</v>
      </c>
      <c r="C343" s="10" t="s">
        <v>1343</v>
      </c>
      <c r="D343" s="11" t="str">
        <f t="shared" si="2"/>
        <v>64</v>
      </c>
      <c r="E343" s="9"/>
      <c r="F343" s="13" t="s">
        <v>1473</v>
      </c>
      <c r="G343" s="14"/>
      <c r="H343" s="22"/>
      <c r="I343" s="16" t="s">
        <v>29</v>
      </c>
      <c r="J343" s="53">
        <v>35.0</v>
      </c>
      <c r="K343" s="55">
        <v>2.0</v>
      </c>
      <c r="L343" s="55">
        <v>2.0</v>
      </c>
      <c r="M343" s="18">
        <f>IFNA( VLOOKUP(LEFT(F343, IFERROR(FIND(" ", F343, 1),1) - 1), lists!$A$31:$B$37, 2, FALSE),"")</f>
        <v>2</v>
      </c>
      <c r="N343" s="18" t="str">
        <f>IFERROR(__xludf.DUMMYFUNCTION("IFNA(VLOOKUP(IFNA(REGEXEXTRACT(F343, ""(Пасхи|50-ці|посту)""),""""),lists!$A$39:$B$41,2,FALSE),"""")"),"")</f>
        <v/>
      </c>
      <c r="O343" s="19" t="str">
        <f>IFERROR(__xludf.DUMMYFUNCTION("IFNA(REGEXEXTRACT(F343, ""\d{1,2}""),"""")"),"")</f>
        <v/>
      </c>
      <c r="P343" s="14" t="b">
        <f t="shared" si="6"/>
        <v>0</v>
      </c>
    </row>
    <row r="344">
      <c r="A344" s="13" t="s">
        <v>1474</v>
      </c>
      <c r="B344" s="9" t="str">
        <f t="shared" si="1"/>
        <v>Мр.</v>
      </c>
      <c r="C344" s="10" t="s">
        <v>1343</v>
      </c>
      <c r="D344" s="11" t="str">
        <f t="shared" si="2"/>
        <v>65</v>
      </c>
      <c r="E344" s="9"/>
      <c r="F344" s="13" t="s">
        <v>1475</v>
      </c>
      <c r="G344" s="14"/>
      <c r="H344" s="22"/>
      <c r="I344" s="16" t="s">
        <v>29</v>
      </c>
      <c r="J344" s="53">
        <v>35.0</v>
      </c>
      <c r="K344" s="55">
        <v>2.0</v>
      </c>
      <c r="L344" s="55">
        <v>3.0</v>
      </c>
      <c r="M344" s="18">
        <f>IFNA( VLOOKUP(LEFT(F344, IFERROR(FIND(" ", F344, 1),1) - 1), lists!$A$31:$B$37, 2, FALSE),"")</f>
        <v>3</v>
      </c>
      <c r="N344" s="18" t="str">
        <f>IFERROR(__xludf.DUMMYFUNCTION("IFNA(VLOOKUP(IFNA(REGEXEXTRACT(F344, ""(Пасхи|50-ці|посту)""),""""),lists!$A$39:$B$41,2,FALSE),"""")"),"")</f>
        <v/>
      </c>
      <c r="O344" s="19" t="str">
        <f>IFERROR(__xludf.DUMMYFUNCTION("IFNA(REGEXEXTRACT(F344, ""\d{1,2}""),"""")"),"")</f>
        <v/>
      </c>
      <c r="P344" s="14" t="b">
        <f t="shared" si="6"/>
        <v>0</v>
      </c>
    </row>
    <row r="345">
      <c r="A345" s="13" t="s">
        <v>1476</v>
      </c>
      <c r="B345" s="9" t="str">
        <f t="shared" si="1"/>
        <v>Мр.</v>
      </c>
      <c r="C345" s="10" t="s">
        <v>1343</v>
      </c>
      <c r="D345" s="11" t="str">
        <f t="shared" si="2"/>
        <v>66</v>
      </c>
      <c r="E345" s="9"/>
      <c r="F345" s="13" t="s">
        <v>1477</v>
      </c>
      <c r="G345" s="14"/>
      <c r="H345" s="22"/>
      <c r="I345" s="16" t="s">
        <v>29</v>
      </c>
      <c r="J345" s="53">
        <v>35.0</v>
      </c>
      <c r="K345" s="55">
        <v>2.0</v>
      </c>
      <c r="L345" s="55">
        <v>4.0</v>
      </c>
      <c r="M345" s="18">
        <f>IFNA( VLOOKUP(LEFT(F345, IFERROR(FIND(" ", F345, 1),1) - 1), lists!$A$31:$B$37, 2, FALSE),"")</f>
        <v>4</v>
      </c>
      <c r="N345" s="18" t="str">
        <f>IFERROR(__xludf.DUMMYFUNCTION("IFNA(VLOOKUP(IFNA(REGEXEXTRACT(F345, ""(Пасхи|50-ці|посту)""),""""),lists!$A$39:$B$41,2,FALSE),"""")"),"")</f>
        <v/>
      </c>
      <c r="O345" s="19" t="str">
        <f>IFERROR(__xludf.DUMMYFUNCTION("IFNA(REGEXEXTRACT(F345, ""\d{1,2}""),"""")"),"")</f>
        <v/>
      </c>
      <c r="P345" s="14" t="b">
        <f t="shared" si="6"/>
        <v>0</v>
      </c>
    </row>
    <row r="346">
      <c r="A346" s="13" t="s">
        <v>1478</v>
      </c>
      <c r="B346" s="9" t="str">
        <f t="shared" si="1"/>
        <v>Мр.</v>
      </c>
      <c r="C346" s="10" t="s">
        <v>1343</v>
      </c>
      <c r="D346" s="11" t="str">
        <f t="shared" si="2"/>
        <v>67</v>
      </c>
      <c r="E346" s="12" t="s">
        <v>18</v>
      </c>
      <c r="F346" s="13" t="s">
        <v>1479</v>
      </c>
      <c r="G346" s="14"/>
      <c r="H346" s="15" t="s">
        <v>70</v>
      </c>
      <c r="I346" s="16"/>
      <c r="J346" s="73"/>
      <c r="K346" s="54"/>
      <c r="L346" s="55" t="s">
        <v>71</v>
      </c>
      <c r="M346" s="18" t="str">
        <f>IFNA( VLOOKUP(LEFT(F346, IFERROR(FIND(" ", F346, 1),1) - 1), lists!$A$31:$B$37, 2, FALSE),"")</f>
        <v/>
      </c>
      <c r="N346" s="18" t="str">
        <f>IFERROR(__xludf.DUMMYFUNCTION("IFNA(VLOOKUP(IFNA(REGEXEXTRACT(F346, ""(Пасхи|50-ці|посту)""),""""),lists!$A$39:$B$41,2,FALSE),"""")"),"")</f>
        <v/>
      </c>
      <c r="O346" s="19" t="str">
        <f>IFERROR(__xludf.DUMMYFUNCTION("IFNA(REGEXEXTRACT(F346, ""\d{1,2}""),"""")"),"6")</f>
        <v>6</v>
      </c>
      <c r="P346" s="14" t="b">
        <f t="shared" si="6"/>
        <v>0</v>
      </c>
    </row>
    <row r="347">
      <c r="A347" s="13" t="s">
        <v>1480</v>
      </c>
      <c r="B347" s="9" t="str">
        <f t="shared" si="1"/>
        <v>Мр.</v>
      </c>
      <c r="C347" s="10" t="s">
        <v>1343</v>
      </c>
      <c r="D347" s="11" t="str">
        <f t="shared" si="2"/>
        <v>67</v>
      </c>
      <c r="E347" s="12" t="s">
        <v>22</v>
      </c>
      <c r="F347" s="13" t="s">
        <v>1481</v>
      </c>
      <c r="G347" s="14"/>
      <c r="H347" s="15" t="s">
        <v>70</v>
      </c>
      <c r="I347" s="16" t="s">
        <v>71</v>
      </c>
      <c r="J347" s="73"/>
      <c r="K347" s="54"/>
      <c r="L347" s="55" t="s">
        <v>71</v>
      </c>
      <c r="M347" s="18" t="str">
        <f>IFNA( VLOOKUP(LEFT(F347, IFERROR(FIND(" ", F347, 1),1) - 1), lists!$A$31:$B$37, 2, FALSE),"")</f>
        <v/>
      </c>
      <c r="N347" s="18" t="str">
        <f>IFERROR(__xludf.DUMMYFUNCTION("IFNA(VLOOKUP(IFNA(REGEXEXTRACT(F347, ""(Пасхи|50-ці|посту)""),""""),lists!$A$39:$B$41,2,FALSE),"""")"),"")</f>
        <v/>
      </c>
      <c r="O347" s="19" t="str">
        <f>IFERROR(__xludf.DUMMYFUNCTION("IFNA(REGEXEXTRACT(F347, ""\d{1,2}""),"""")"),"3")</f>
        <v>3</v>
      </c>
      <c r="P347" s="14" t="b">
        <f t="shared" si="6"/>
        <v>0</v>
      </c>
    </row>
    <row r="348">
      <c r="A348" s="21" t="s">
        <v>1482</v>
      </c>
      <c r="B348" s="9" t="str">
        <f t="shared" si="1"/>
        <v>Мр.</v>
      </c>
      <c r="C348" s="10" t="s">
        <v>1343</v>
      </c>
      <c r="D348" s="11" t="str">
        <f t="shared" si="2"/>
        <v>68</v>
      </c>
      <c r="E348" s="9"/>
      <c r="F348" s="36" t="s">
        <v>1483</v>
      </c>
      <c r="G348" s="14"/>
      <c r="H348" s="22"/>
      <c r="I348" s="16" t="s">
        <v>29</v>
      </c>
      <c r="J348" s="53">
        <v>35.0</v>
      </c>
      <c r="K348" s="55">
        <v>2.0</v>
      </c>
      <c r="L348" s="55">
        <v>5.0</v>
      </c>
      <c r="M348" s="18">
        <f>IFNA( VLOOKUP(LEFT(F348, IFERROR(FIND(" ", F348, 1),1) - 1), lists!$A$31:$B$37, 2, FALSE),"")</f>
        <v>5</v>
      </c>
      <c r="N348" s="18" t="str">
        <f>IFERROR(__xludf.DUMMYFUNCTION("IFNA(VLOOKUP(IFNA(REGEXEXTRACT(F348, ""(Пасхи|50-ці|посту)""),""""),lists!$A$39:$B$41,2,FALSE),"""")"),"")</f>
        <v/>
      </c>
      <c r="O348" s="19" t="str">
        <f>IFERROR(__xludf.DUMMYFUNCTION("IFNA(REGEXEXTRACT(F348, ""\d{1,2}""),"""")"),"")</f>
        <v/>
      </c>
      <c r="P348" s="14" t="b">
        <f t="shared" si="6"/>
        <v>0</v>
      </c>
    </row>
    <row r="349">
      <c r="A349" s="13" t="s">
        <v>1484</v>
      </c>
      <c r="B349" s="9" t="str">
        <f t="shared" si="1"/>
        <v>Мр.</v>
      </c>
      <c r="C349" s="10" t="s">
        <v>1343</v>
      </c>
      <c r="D349" s="11" t="str">
        <f t="shared" si="2"/>
        <v>69</v>
      </c>
      <c r="E349" s="26" t="s">
        <v>18</v>
      </c>
      <c r="F349" s="13" t="s">
        <v>1485</v>
      </c>
      <c r="G349" s="14"/>
      <c r="H349" s="22"/>
      <c r="I349" s="16" t="s">
        <v>24</v>
      </c>
      <c r="J349" s="53">
        <v>2.0</v>
      </c>
      <c r="K349" s="54"/>
      <c r="L349" s="55">
        <v>7.0</v>
      </c>
      <c r="M349" s="18" t="str">
        <f>IFNA( VLOOKUP(LEFT(F349, IFERROR(FIND(" ", F349, 1),1) - 1), lists!$A$31:$B$37, 2, FALSE),"")</f>
        <v/>
      </c>
      <c r="N349" s="18" t="str">
        <f>IFERROR(__xludf.DUMMYFUNCTION("IFNA(VLOOKUP(IFNA(REGEXEXTRACT(F349, ""(Пасхи|50-ці|посту)""),""""),lists!$A$39:$B$41,2,FALSE),"""")"),"pascha")</f>
        <v>pascha</v>
      </c>
      <c r="O349" s="19" t="str">
        <f>IFERROR(__xludf.DUMMYFUNCTION("IFNA(REGEXEXTRACT(F349, ""\d{1,2}""),"""")"),"3")</f>
        <v>3</v>
      </c>
      <c r="P349" s="14" t="b">
        <f t="shared" si="6"/>
        <v>0</v>
      </c>
    </row>
    <row r="350">
      <c r="A350" s="13" t="s">
        <v>1486</v>
      </c>
      <c r="B350" s="9" t="str">
        <f t="shared" si="1"/>
        <v>Мр.</v>
      </c>
      <c r="C350" s="10" t="s">
        <v>1343</v>
      </c>
      <c r="D350" s="11" t="str">
        <f t="shared" si="2"/>
        <v>69</v>
      </c>
      <c r="E350" s="26" t="s">
        <v>22</v>
      </c>
      <c r="F350" s="13" t="s">
        <v>1487</v>
      </c>
      <c r="G350" s="14"/>
      <c r="H350" s="15" t="s">
        <v>70</v>
      </c>
      <c r="I350" s="16" t="s">
        <v>71</v>
      </c>
      <c r="J350" s="73">
        <v>6.0</v>
      </c>
      <c r="K350" s="54"/>
      <c r="L350" s="55" t="s">
        <v>71</v>
      </c>
      <c r="M350" s="18" t="str">
        <f>IFNA( VLOOKUP(LEFT(F350, IFERROR(FIND(" ", F350, 1),1) - 1), lists!$A$31:$B$37, 2, FALSE),"")</f>
        <v/>
      </c>
      <c r="N350" s="18" t="str">
        <f>IFERROR(__xludf.DUMMYFUNCTION("IFNA(VLOOKUP(IFNA(REGEXEXTRACT(F350, ""(Пасхи|50-ці|посту)""),""""),lists!$A$39:$B$41,2,FALSE),"""")"),"")</f>
        <v/>
      </c>
      <c r="O350" s="19" t="str">
        <f>IFERROR(__xludf.DUMMYFUNCTION("IFNA(REGEXEXTRACT(F350, ""\d{1,2}""),"""")"),"6")</f>
        <v>6</v>
      </c>
      <c r="P350" s="14" t="b">
        <f t="shared" si="6"/>
        <v>0</v>
      </c>
    </row>
    <row r="351">
      <c r="A351" s="13" t="s">
        <v>1488</v>
      </c>
      <c r="B351" s="9" t="str">
        <f t="shared" si="1"/>
        <v>Мр.</v>
      </c>
      <c r="C351" s="10" t="s">
        <v>1343</v>
      </c>
      <c r="D351" s="11" t="str">
        <f t="shared" si="2"/>
        <v>70</v>
      </c>
      <c r="E351" s="9"/>
      <c r="F351" s="13" t="s">
        <v>1489</v>
      </c>
      <c r="G351" s="14"/>
      <c r="H351" s="15" t="s">
        <v>70</v>
      </c>
      <c r="I351" s="16" t="s">
        <v>71</v>
      </c>
      <c r="J351" s="73">
        <v>2.0</v>
      </c>
      <c r="K351" s="54"/>
      <c r="L351" s="55" t="s">
        <v>71</v>
      </c>
      <c r="M351" s="18" t="str">
        <f>IFNA( VLOOKUP(LEFT(F351, IFERROR(FIND(" ", F351, 1),1) - 1), lists!$A$31:$B$37, 2, FALSE),"")</f>
        <v/>
      </c>
      <c r="N351" s="18" t="str">
        <f>IFERROR(__xludf.DUMMYFUNCTION("IFNA(VLOOKUP(IFNA(REGEXEXTRACT(F351, ""(Пасхи|50-ці|посту)""),""""),lists!$A$39:$B$41,2,FALSE),"""")"),"")</f>
        <v/>
      </c>
      <c r="O351" s="19" t="str">
        <f>IFERROR(__xludf.DUMMYFUNCTION("IFNA(REGEXEXTRACT(F351, ""\d{1,2}""),"""")"),"2")</f>
        <v>2</v>
      </c>
      <c r="P351" s="14" t="b">
        <f t="shared" si="6"/>
        <v>0</v>
      </c>
    </row>
    <row r="352">
      <c r="A352" s="13" t="s">
        <v>1490</v>
      </c>
      <c r="B352" s="9" t="str">
        <f t="shared" si="1"/>
        <v>Мр.</v>
      </c>
      <c r="C352" s="10" t="s">
        <v>1343</v>
      </c>
      <c r="D352" s="11" t="str">
        <f t="shared" si="2"/>
        <v>71</v>
      </c>
      <c r="E352" s="9"/>
      <c r="F352" s="21" t="s">
        <v>1491</v>
      </c>
      <c r="G352" s="14"/>
      <c r="H352" s="15" t="s">
        <v>70</v>
      </c>
      <c r="I352" s="16" t="s">
        <v>24</v>
      </c>
      <c r="J352" s="53">
        <v>5.0</v>
      </c>
      <c r="K352" s="54"/>
      <c r="L352" s="55">
        <v>4.0</v>
      </c>
      <c r="M352" s="18" t="str">
        <f>IFNA( VLOOKUP(LEFT(F352, IFERROR(FIND(" ", F352, 1),1) - 1), lists!$A$31:$B$37, 2, FALSE),"")</f>
        <v/>
      </c>
      <c r="N352" s="18" t="str">
        <f>IFERROR(__xludf.DUMMYFUNCTION("IFNA(VLOOKUP(IFNA(REGEXEXTRACT(F352, ""(Пасхи|50-ці|посту)""),""""),lists!$A$39:$B$41,2,FALSE),"""")"),"")</f>
        <v/>
      </c>
      <c r="O352" s="19" t="str">
        <f>IFERROR(__xludf.DUMMYFUNCTION("IFNA(REGEXEXTRACT(F352, ""\d{1,2}""),"""")"),"3")</f>
        <v>3</v>
      </c>
      <c r="P352" s="14" t="b">
        <f t="shared" si="6"/>
        <v>0</v>
      </c>
    </row>
    <row r="353">
      <c r="A353" s="13" t="s">
        <v>1492</v>
      </c>
      <c r="B353" s="9" t="str">
        <f t="shared" si="1"/>
        <v>Мт.</v>
      </c>
      <c r="C353" s="10" t="s">
        <v>1493</v>
      </c>
      <c r="D353" s="11" t="str">
        <f t="shared" si="2"/>
        <v>1</v>
      </c>
      <c r="E353" s="9"/>
      <c r="F353" s="13" t="s">
        <v>822</v>
      </c>
      <c r="G353" s="14"/>
      <c r="H353" s="15" t="s">
        <v>70</v>
      </c>
      <c r="I353" s="16" t="s">
        <v>71</v>
      </c>
      <c r="J353" s="73" t="s">
        <v>71</v>
      </c>
      <c r="K353" s="54"/>
      <c r="L353" s="55">
        <v>7.0</v>
      </c>
      <c r="M353" s="18">
        <f>IFNA( VLOOKUP(LEFT(F353, IFERROR(FIND(" ", F353, 1),1) - 1), lists!$A$31:$B$37, 2, FALSE),"")</f>
        <v>7</v>
      </c>
      <c r="N353" s="18" t="str">
        <f>IFERROR(__xludf.DUMMYFUNCTION("IFNA(VLOOKUP(IFNA(REGEXEXTRACT(F353, ""(Пасхи|50-ці|посту)""),""""),lists!$A$39:$B$41,2,FALSE),"""")"),"")</f>
        <v/>
      </c>
      <c r="O353" s="19" t="str">
        <f>IFERROR(__xludf.DUMMYFUNCTION("IFNA(REGEXEXTRACT(F353, ""\d{1,2}""),"""")"),"")</f>
        <v/>
      </c>
      <c r="P353" s="14" t="b">
        <f t="shared" si="6"/>
        <v>0</v>
      </c>
    </row>
    <row r="354">
      <c r="A354" s="13" t="s">
        <v>1494</v>
      </c>
      <c r="B354" s="9" t="str">
        <f t="shared" si="1"/>
        <v>Мт.</v>
      </c>
      <c r="C354" s="10" t="s">
        <v>1493</v>
      </c>
      <c r="D354" s="11" t="str">
        <f t="shared" si="2"/>
        <v>2</v>
      </c>
      <c r="E354" s="9"/>
      <c r="F354" s="13" t="s">
        <v>1495</v>
      </c>
      <c r="G354" s="14"/>
      <c r="H354" s="15" t="s">
        <v>70</v>
      </c>
      <c r="I354" s="16" t="s">
        <v>71</v>
      </c>
      <c r="J354" s="73" t="s">
        <v>71</v>
      </c>
      <c r="K354" s="54"/>
      <c r="L354" s="55" t="s">
        <v>71</v>
      </c>
      <c r="M354" s="18" t="str">
        <f>IFNA( VLOOKUP(LEFT(F354, IFERROR(FIND(" ", F354, 1),1) - 1), lists!$A$31:$B$37, 2, FALSE),"")</f>
        <v/>
      </c>
      <c r="N354" s="18" t="str">
        <f>IFERROR(__xludf.DUMMYFUNCTION("IFNA(VLOOKUP(IFNA(REGEXEXTRACT(F354, ""(Пасхи|50-ці|посту)""),""""),lists!$A$39:$B$41,2,FALSE),"""")"),"")</f>
        <v/>
      </c>
      <c r="O354" s="19" t="str">
        <f>IFERROR(__xludf.DUMMYFUNCTION("IFNA(REGEXEXTRACT(F354, ""\d{1,2}""),"""")"),"")</f>
        <v/>
      </c>
      <c r="P354" s="14" t="b">
        <f t="shared" si="6"/>
        <v>0</v>
      </c>
    </row>
    <row r="355">
      <c r="A355" s="13" t="s">
        <v>1496</v>
      </c>
      <c r="B355" s="9" t="str">
        <f t="shared" si="1"/>
        <v>Мт.</v>
      </c>
      <c r="C355" s="10" t="s">
        <v>1493</v>
      </c>
      <c r="D355" s="11" t="str">
        <f t="shared" si="2"/>
        <v>3</v>
      </c>
      <c r="E355" s="9"/>
      <c r="F355" s="13" t="s">
        <v>1497</v>
      </c>
      <c r="G355" s="14"/>
      <c r="H355" s="15" t="s">
        <v>70</v>
      </c>
      <c r="I355" s="16" t="s">
        <v>71</v>
      </c>
      <c r="J355" s="73" t="s">
        <v>71</v>
      </c>
      <c r="K355" s="54"/>
      <c r="L355" s="55" t="s">
        <v>71</v>
      </c>
      <c r="M355" s="18" t="str">
        <f>IFNA( VLOOKUP(LEFT(F355, IFERROR(FIND(" ", F355, 1),1) - 1), lists!$A$31:$B$37, 2, FALSE),"")</f>
        <v/>
      </c>
      <c r="N355" s="18" t="str">
        <f>IFERROR(__xludf.DUMMYFUNCTION("IFNA(VLOOKUP(IFNA(REGEXEXTRACT(F355, ""(Пасхи|50-ці|посту)""),""""),lists!$A$39:$B$41,2,FALSE),"""")"),"")</f>
        <v/>
      </c>
      <c r="O355" s="19" t="str">
        <f>IFERROR(__xludf.DUMMYFUNCTION("IFNA(REGEXEXTRACT(F355, ""\d{1,2}""),"""")"),"")</f>
        <v/>
      </c>
      <c r="P355" s="14" t="b">
        <f t="shared" si="6"/>
        <v>0</v>
      </c>
    </row>
    <row r="356">
      <c r="A356" s="79" t="s">
        <v>1498</v>
      </c>
      <c r="B356" s="9" t="str">
        <f t="shared" si="1"/>
        <v>Мт.</v>
      </c>
      <c r="C356" s="10" t="s">
        <v>1493</v>
      </c>
      <c r="D356" s="11" t="str">
        <f t="shared" si="2"/>
        <v>4</v>
      </c>
      <c r="E356" s="9"/>
      <c r="F356" s="13" t="s">
        <v>1499</v>
      </c>
      <c r="G356" s="14"/>
      <c r="H356" s="15" t="s">
        <v>70</v>
      </c>
      <c r="I356" s="16" t="s">
        <v>71</v>
      </c>
      <c r="J356" s="73">
        <v>26.0</v>
      </c>
      <c r="K356" s="54"/>
      <c r="L356" s="55" t="s">
        <v>71</v>
      </c>
      <c r="M356" s="18" t="str">
        <f>IFNA( VLOOKUP(LEFT(F356, IFERROR(FIND(" ", F356, 1),1) - 1), lists!$A$31:$B$37, 2, FALSE),"")</f>
        <v/>
      </c>
      <c r="N356" s="18" t="str">
        <f>IFERROR(__xludf.DUMMYFUNCTION("IFNA(VLOOKUP(IFNA(REGEXEXTRACT(F356, ""(Пасхи|50-ці|посту)""),""""),lists!$A$39:$B$41,2,FALSE),"""")"),"")</f>
        <v/>
      </c>
      <c r="O356" s="19" t="str">
        <f>IFERROR(__xludf.DUMMYFUNCTION("IFNA(REGEXEXTRACT(F356, ""\d{1,2}""),"""")"),"26")</f>
        <v>26</v>
      </c>
      <c r="P356" s="14" t="b">
        <f t="shared" si="6"/>
        <v>0</v>
      </c>
    </row>
    <row r="357">
      <c r="A357" s="13" t="s">
        <v>1500</v>
      </c>
      <c r="B357" s="9" t="str">
        <f t="shared" si="1"/>
        <v>Мт.</v>
      </c>
      <c r="C357" s="10" t="s">
        <v>1493</v>
      </c>
      <c r="D357" s="11" t="str">
        <f t="shared" si="2"/>
        <v>5</v>
      </c>
      <c r="E357" s="9"/>
      <c r="F357" s="13" t="s">
        <v>1501</v>
      </c>
      <c r="G357" s="14"/>
      <c r="H357" s="15" t="s">
        <v>70</v>
      </c>
      <c r="I357" s="16" t="s">
        <v>71</v>
      </c>
      <c r="J357" s="73" t="s">
        <v>71</v>
      </c>
      <c r="K357" s="54"/>
      <c r="L357" s="55">
        <v>6.0</v>
      </c>
      <c r="M357" s="18">
        <f>IFNA( VLOOKUP(LEFT(F357, IFERROR(FIND(" ", F357, 1),1) - 1), lists!$A$31:$B$37, 2, FALSE),"")</f>
        <v>6</v>
      </c>
      <c r="N357" s="18" t="str">
        <f>IFERROR(__xludf.DUMMYFUNCTION("IFNA(VLOOKUP(IFNA(REGEXEXTRACT(F357, ""(Пасхи|50-ці|посту)""),""""),lists!$A$39:$B$41,2,FALSE),"""")"),"")</f>
        <v/>
      </c>
      <c r="O357" s="19" t="str">
        <f>IFERROR(__xludf.DUMMYFUNCTION("IFNA(REGEXEXTRACT(F357, ""\d{1,2}""),"""")"),"")</f>
        <v/>
      </c>
      <c r="P357" s="14" t="b">
        <f t="shared" si="6"/>
        <v>0</v>
      </c>
    </row>
    <row r="358">
      <c r="A358" s="13" t="s">
        <v>1502</v>
      </c>
      <c r="B358" s="9" t="str">
        <f t="shared" si="1"/>
        <v>Мт.</v>
      </c>
      <c r="C358" s="10" t="s">
        <v>1493</v>
      </c>
      <c r="D358" s="11" t="str">
        <f t="shared" si="2"/>
        <v>6</v>
      </c>
      <c r="E358" s="9"/>
      <c r="F358" s="13" t="s">
        <v>1503</v>
      </c>
      <c r="G358" s="14"/>
      <c r="H358" s="15" t="s">
        <v>70</v>
      </c>
      <c r="I358" s="16" t="s">
        <v>71</v>
      </c>
      <c r="J358" s="73" t="s">
        <v>71</v>
      </c>
      <c r="K358" s="54"/>
      <c r="L358" s="55" t="s">
        <v>71</v>
      </c>
      <c r="M358" s="18" t="str">
        <f>IFNA( VLOOKUP(LEFT(F358, IFERROR(FIND(" ", F358, 1),1) - 1), lists!$A$31:$B$37, 2, FALSE),"")</f>
        <v/>
      </c>
      <c r="N358" s="18" t="str">
        <f>IFERROR(__xludf.DUMMYFUNCTION("IFNA(VLOOKUP(IFNA(REGEXEXTRACT(F358, ""(Пасхи|50-ці|посту)""),""""),lists!$A$39:$B$41,2,FALSE),"""")"),"")</f>
        <v/>
      </c>
      <c r="O358" s="19" t="str">
        <f>IFERROR(__xludf.DUMMYFUNCTION("IFNA(REGEXEXTRACT(F358, ""\d{1,2}""),"""")"),"")</f>
        <v/>
      </c>
      <c r="P358" s="14" t="b">
        <f t="shared" si="6"/>
        <v>0</v>
      </c>
    </row>
    <row r="359">
      <c r="A359" s="13" t="s">
        <v>1504</v>
      </c>
      <c r="B359" s="9" t="str">
        <f t="shared" si="1"/>
        <v>Мт.</v>
      </c>
      <c r="C359" s="10" t="s">
        <v>1493</v>
      </c>
      <c r="D359" s="11" t="str">
        <f t="shared" si="2"/>
        <v>7</v>
      </c>
      <c r="E359" s="9"/>
      <c r="F359" s="13" t="s">
        <v>1505</v>
      </c>
      <c r="G359" s="14"/>
      <c r="H359" s="15" t="s">
        <v>70</v>
      </c>
      <c r="I359" s="16" t="s">
        <v>71</v>
      </c>
      <c r="J359" s="73" t="s">
        <v>71</v>
      </c>
      <c r="K359" s="54"/>
      <c r="L359" s="55">
        <v>6.0</v>
      </c>
      <c r="M359" s="18">
        <f>IFNA( VLOOKUP(LEFT(F359, IFERROR(FIND(" ", F359, 1),1) - 1), lists!$A$31:$B$37, 2, FALSE),"")</f>
        <v>6</v>
      </c>
      <c r="N359" s="18" t="str">
        <f>IFERROR(__xludf.DUMMYFUNCTION("IFNA(VLOOKUP(IFNA(REGEXEXTRACT(F359, ""(Пасхи|50-ці|посту)""),""""),lists!$A$39:$B$41,2,FALSE),"""")"),"")</f>
        <v/>
      </c>
      <c r="O359" s="19" t="str">
        <f>IFERROR(__xludf.DUMMYFUNCTION("IFNA(REGEXEXTRACT(F359, ""\d{1,2}""),"""")"),"")</f>
        <v/>
      </c>
      <c r="P359" s="14" t="b">
        <f t="shared" si="6"/>
        <v>0</v>
      </c>
    </row>
    <row r="360">
      <c r="A360" s="13" t="s">
        <v>1506</v>
      </c>
      <c r="B360" s="9" t="str">
        <f t="shared" si="1"/>
        <v>Мт.</v>
      </c>
      <c r="C360" s="10" t="s">
        <v>1493</v>
      </c>
      <c r="D360" s="11" t="str">
        <f t="shared" si="2"/>
        <v>8</v>
      </c>
      <c r="E360" s="9"/>
      <c r="F360" s="13" t="s">
        <v>1507</v>
      </c>
      <c r="G360" s="14"/>
      <c r="H360" s="15" t="s">
        <v>70</v>
      </c>
      <c r="I360" s="16" t="s">
        <v>71</v>
      </c>
      <c r="J360" s="73" t="s">
        <v>71</v>
      </c>
      <c r="K360" s="54"/>
      <c r="L360" s="55">
        <v>7.0</v>
      </c>
      <c r="M360" s="18">
        <f>IFNA( VLOOKUP(LEFT(F360, IFERROR(FIND(" ", F360, 1),1) - 1), lists!$A$31:$B$37, 2, FALSE),"")</f>
        <v>7</v>
      </c>
      <c r="N360" s="18" t="str">
        <f>IFERROR(__xludf.DUMMYFUNCTION("IFNA(VLOOKUP(IFNA(REGEXEXTRACT(F360, ""(Пасхи|50-ці|посту)""),""""),lists!$A$39:$B$41,2,FALSE),"""")"),"")</f>
        <v/>
      </c>
      <c r="O360" s="19" t="str">
        <f>IFERROR(__xludf.DUMMYFUNCTION("IFNA(REGEXEXTRACT(F360, ""\d{1,2}""),"""")"),"")</f>
        <v/>
      </c>
      <c r="P360" s="14" t="b">
        <f t="shared" si="6"/>
        <v>0</v>
      </c>
    </row>
    <row r="361">
      <c r="A361" s="13" t="s">
        <v>1508</v>
      </c>
      <c r="B361" s="9" t="str">
        <f t="shared" si="1"/>
        <v>Мт.</v>
      </c>
      <c r="C361" s="10" t="s">
        <v>1493</v>
      </c>
      <c r="D361" s="11" t="str">
        <f t="shared" si="2"/>
        <v>9</v>
      </c>
      <c r="E361" s="9"/>
      <c r="F361" s="61" t="s">
        <v>1509</v>
      </c>
      <c r="G361" s="14"/>
      <c r="H361" s="22"/>
      <c r="I361" s="16" t="s">
        <v>29</v>
      </c>
      <c r="J361" s="73">
        <v>2.0</v>
      </c>
      <c r="K361" s="54"/>
      <c r="L361" s="55">
        <v>7.0</v>
      </c>
      <c r="M361" s="18">
        <f>IFNA( VLOOKUP(LEFT(F361, IFERROR(FIND(" ", F361, 1),1) - 1), lists!$A$31:$B$37, 2, FALSE),"")</f>
        <v>7</v>
      </c>
      <c r="N361" s="18" t="str">
        <f>IFERROR(__xludf.DUMMYFUNCTION("IFNA(VLOOKUP(IFNA(REGEXEXTRACT(F361, ""(Пасхи|50-ці|посту)""),""""),lists!$A$39:$B$41,2,FALSE),"""")"),"")</f>
        <v/>
      </c>
      <c r="O361" s="19" t="str">
        <f>IFERROR(__xludf.DUMMYFUNCTION("IFNA(REGEXEXTRACT(F361, ""\d{1,2}""),"""")"),"2")</f>
        <v>2</v>
      </c>
      <c r="P361" s="14" t="b">
        <f t="shared" si="6"/>
        <v>0</v>
      </c>
    </row>
    <row r="362">
      <c r="A362" s="13" t="s">
        <v>1510</v>
      </c>
      <c r="B362" s="9" t="str">
        <f t="shared" si="1"/>
        <v>Мт.</v>
      </c>
      <c r="C362" s="10" t="s">
        <v>1493</v>
      </c>
      <c r="D362" s="11" t="str">
        <f t="shared" si="2"/>
        <v>10</v>
      </c>
      <c r="E362" s="12" t="s">
        <v>18</v>
      </c>
      <c r="F362" s="13" t="s">
        <v>1511</v>
      </c>
      <c r="G362" s="14"/>
      <c r="H362" s="22"/>
      <c r="I362" s="16" t="s">
        <v>29</v>
      </c>
      <c r="J362" s="73">
        <v>1.0</v>
      </c>
      <c r="K362" s="54"/>
      <c r="L362" s="55">
        <v>2.0</v>
      </c>
      <c r="M362" s="18">
        <f>IFNA( VLOOKUP(LEFT(F362, IFERROR(FIND(" ", F362, 1),1) - 1), lists!$A$31:$B$37, 2, FALSE),"")</f>
        <v>2</v>
      </c>
      <c r="N362" s="18" t="str">
        <f>IFERROR(__xludf.DUMMYFUNCTION("IFNA(VLOOKUP(IFNA(REGEXEXTRACT(F362, ""(Пасхи|50-ці|посту)""),""""),lists!$A$39:$B$41,2,FALSE),"""")"),"")</f>
        <v/>
      </c>
      <c r="O362" s="19" t="str">
        <f>IFERROR(__xludf.DUMMYFUNCTION("IFNA(REGEXEXTRACT(F362, ""\d{1,2}""),"""")"),"1")</f>
        <v>1</v>
      </c>
      <c r="P362" s="14" t="b">
        <f t="shared" si="6"/>
        <v>0</v>
      </c>
    </row>
    <row r="363">
      <c r="A363" s="13" t="s">
        <v>1512</v>
      </c>
      <c r="B363" s="9" t="str">
        <f t="shared" si="1"/>
        <v>Мт.</v>
      </c>
      <c r="C363" s="10" t="s">
        <v>1493</v>
      </c>
      <c r="D363" s="11" t="str">
        <f t="shared" si="2"/>
        <v>10</v>
      </c>
      <c r="E363" s="12" t="s">
        <v>22</v>
      </c>
      <c r="F363" s="81" t="s">
        <v>1513</v>
      </c>
      <c r="G363" s="9"/>
      <c r="H363" s="22"/>
      <c r="I363" s="16" t="s">
        <v>29</v>
      </c>
      <c r="J363" s="73">
        <v>2.0</v>
      </c>
      <c r="K363" s="54"/>
      <c r="L363" s="55">
        <v>7.0</v>
      </c>
      <c r="M363" s="18">
        <f>IFNA( VLOOKUP(LEFT(F363, IFERROR(FIND(" ", F363, 1),1) - 1), lists!$A$31:$B$37, 2, FALSE),"")</f>
        <v>7</v>
      </c>
      <c r="N363" s="18" t="str">
        <f>IFERROR(__xludf.DUMMYFUNCTION("IFNA(VLOOKUP(IFNA(REGEXEXTRACT(F363, ""(Пасхи|50-ці|посту)""),""""),lists!$A$39:$B$41,2,FALSE),"""")"),"")</f>
        <v/>
      </c>
      <c r="O363" s="19" t="str">
        <f>IFERROR(__xludf.DUMMYFUNCTION("IFNA(REGEXEXTRACT(F363, ""\d{1,2}""),"""")"),"2")</f>
        <v>2</v>
      </c>
      <c r="P363" s="14" t="b">
        <f t="shared" si="6"/>
        <v>0</v>
      </c>
    </row>
    <row r="364">
      <c r="A364" s="13" t="s">
        <v>1514</v>
      </c>
      <c r="B364" s="9" t="str">
        <f t="shared" si="1"/>
        <v>Мт.</v>
      </c>
      <c r="C364" s="10" t="s">
        <v>1493</v>
      </c>
      <c r="D364" s="11" t="str">
        <f t="shared" si="2"/>
        <v>10</v>
      </c>
      <c r="E364" s="12" t="s">
        <v>116</v>
      </c>
      <c r="F364" s="13" t="s">
        <v>1515</v>
      </c>
      <c r="G364" s="14"/>
      <c r="H364" s="15" t="s">
        <v>70</v>
      </c>
      <c r="I364" s="16" t="s">
        <v>71</v>
      </c>
      <c r="J364" s="73" t="s">
        <v>71</v>
      </c>
      <c r="K364" s="54"/>
      <c r="L364" s="55" t="s">
        <v>71</v>
      </c>
      <c r="M364" s="18" t="str">
        <f>IFNA( VLOOKUP(LEFT(F364, IFERROR(FIND(" ", F364, 1),1) - 1), lists!$A$31:$B$37, 2, FALSE),"")</f>
        <v/>
      </c>
      <c r="N364" s="18" t="str">
        <f>IFERROR(__xludf.DUMMYFUNCTION("IFNA(VLOOKUP(IFNA(REGEXEXTRACT(F364, ""(Пасхи|50-ці|посту)""),""""),lists!$A$39:$B$41,2,FALSE),"""")"),"")</f>
        <v/>
      </c>
      <c r="O364" s="19" t="str">
        <f>IFERROR(__xludf.DUMMYFUNCTION("IFNA(REGEXEXTRACT(F364, ""\d{1,2}""),"""")"),"")</f>
        <v/>
      </c>
      <c r="P364" s="14" t="b">
        <f t="shared" si="6"/>
        <v>0</v>
      </c>
    </row>
    <row r="365">
      <c r="A365" s="13" t="s">
        <v>1516</v>
      </c>
      <c r="B365" s="9" t="str">
        <f t="shared" si="1"/>
        <v>Мт.</v>
      </c>
      <c r="C365" s="10" t="s">
        <v>1493</v>
      </c>
      <c r="D365" s="11" t="str">
        <f t="shared" si="2"/>
        <v>11</v>
      </c>
      <c r="E365" s="9"/>
      <c r="F365" s="13" t="s">
        <v>1517</v>
      </c>
      <c r="G365" s="14"/>
      <c r="H365" s="15" t="s">
        <v>70</v>
      </c>
      <c r="I365" s="16" t="s">
        <v>71</v>
      </c>
      <c r="J365" s="73" t="s">
        <v>71</v>
      </c>
      <c r="K365" s="54"/>
      <c r="L365" s="55" t="s">
        <v>71</v>
      </c>
      <c r="M365" s="18" t="str">
        <f>IFNA( VLOOKUP(LEFT(F365, IFERROR(FIND(" ", F365, 1),1) - 1), lists!$A$31:$B$37, 2, FALSE),"")</f>
        <v/>
      </c>
      <c r="N365" s="18" t="str">
        <f>IFERROR(__xludf.DUMMYFUNCTION("IFNA(VLOOKUP(IFNA(REGEXEXTRACT(F365, ""(Пасхи|50-ці|посту)""),""""),lists!$A$39:$B$41,2,FALSE),"""")"),"")</f>
        <v/>
      </c>
      <c r="O365" s="19" t="str">
        <f>IFERROR(__xludf.DUMMYFUNCTION("IFNA(REGEXEXTRACT(F365, ""\d{1,2}""),"""")"),"")</f>
        <v/>
      </c>
      <c r="P365" s="14" t="b">
        <f t="shared" si="6"/>
        <v>0</v>
      </c>
    </row>
    <row r="366">
      <c r="A366" s="13" t="s">
        <v>1518</v>
      </c>
      <c r="B366" s="9" t="str">
        <f t="shared" si="1"/>
        <v>Мт.</v>
      </c>
      <c r="C366" s="10" t="s">
        <v>1493</v>
      </c>
      <c r="D366" s="11" t="str">
        <f t="shared" si="2"/>
        <v>12</v>
      </c>
      <c r="E366" s="9"/>
      <c r="F366" s="13" t="s">
        <v>1519</v>
      </c>
      <c r="G366" s="14"/>
      <c r="H366" s="15"/>
      <c r="I366" s="16" t="s">
        <v>29</v>
      </c>
      <c r="J366" s="73">
        <v>1.0</v>
      </c>
      <c r="K366" s="54"/>
      <c r="L366" s="55">
        <v>3.0</v>
      </c>
      <c r="M366" s="18">
        <f>IFNA( VLOOKUP(LEFT(F366, IFERROR(FIND(" ", F366, 1),1) - 1), lists!$A$31:$B$37, 2, FALSE),"")</f>
        <v>3</v>
      </c>
      <c r="N366" s="18" t="str">
        <f>IFERROR(__xludf.DUMMYFUNCTION("IFNA(VLOOKUP(IFNA(REGEXEXTRACT(F366, ""(Пасхи|50-ці|посту)""),""""),lists!$A$39:$B$41,2,FALSE),"""")"),"")</f>
        <v/>
      </c>
      <c r="O366" s="19" t="str">
        <f>IFERROR(__xludf.DUMMYFUNCTION("IFNA(REGEXEXTRACT(F366, ""\d{1,2}""),"""")"),"1")</f>
        <v>1</v>
      </c>
      <c r="P366" s="14" t="b">
        <f t="shared" si="6"/>
        <v>0</v>
      </c>
    </row>
    <row r="367">
      <c r="A367" s="13" t="s">
        <v>1520</v>
      </c>
      <c r="B367" s="9" t="str">
        <f t="shared" si="1"/>
        <v>Мт.</v>
      </c>
      <c r="C367" s="10" t="s">
        <v>1493</v>
      </c>
      <c r="D367" s="11" t="str">
        <f t="shared" si="2"/>
        <v>13</v>
      </c>
      <c r="E367" s="9"/>
      <c r="F367" s="13" t="s">
        <v>1521</v>
      </c>
      <c r="G367" s="14"/>
      <c r="H367" s="22"/>
      <c r="I367" s="16" t="s">
        <v>29</v>
      </c>
      <c r="J367" s="73">
        <v>1.0</v>
      </c>
      <c r="K367" s="54"/>
      <c r="L367" s="55">
        <v>4.0</v>
      </c>
      <c r="M367" s="18">
        <f>IFNA( VLOOKUP(LEFT(F367, IFERROR(FIND(" ", F367, 1),1) - 1), lists!$A$31:$B$37, 2, FALSE),"")</f>
        <v>4</v>
      </c>
      <c r="N367" s="18" t="str">
        <f>IFERROR(__xludf.DUMMYFUNCTION("IFNA(VLOOKUP(IFNA(REGEXEXTRACT(F367, ""(Пасхи|50-ці|посту)""),""""),lists!$A$39:$B$41,2,FALSE),"""")"),"")</f>
        <v/>
      </c>
      <c r="O367" s="19" t="str">
        <f>IFERROR(__xludf.DUMMYFUNCTION("IFNA(REGEXEXTRACT(F367, ""\d{1,2}""),"""")"),"1")</f>
        <v>1</v>
      </c>
      <c r="P367" s="14" t="b">
        <f t="shared" si="6"/>
        <v>0</v>
      </c>
    </row>
    <row r="368">
      <c r="A368" s="13" t="s">
        <v>1522</v>
      </c>
      <c r="B368" s="9" t="str">
        <f t="shared" si="1"/>
        <v>Мт.</v>
      </c>
      <c r="C368" s="10" t="s">
        <v>1493</v>
      </c>
      <c r="D368" s="11" t="str">
        <f t="shared" si="2"/>
        <v>14</v>
      </c>
      <c r="E368" s="9"/>
      <c r="F368" s="13" t="s">
        <v>1523</v>
      </c>
      <c r="G368" s="14"/>
      <c r="H368" s="15"/>
      <c r="I368" s="16" t="s">
        <v>29</v>
      </c>
      <c r="J368" s="73">
        <v>1.0</v>
      </c>
      <c r="K368" s="54"/>
      <c r="L368" s="55">
        <v>5.0</v>
      </c>
      <c r="M368" s="18">
        <f>IFNA( VLOOKUP(LEFT(F368, IFERROR(FIND(" ", F368, 1),1) - 1), lists!$A$31:$B$37, 2, FALSE),"")</f>
        <v>5</v>
      </c>
      <c r="N368" s="18" t="str">
        <f>IFERROR(__xludf.DUMMYFUNCTION("IFNA(VLOOKUP(IFNA(REGEXEXTRACT(F368, ""(Пасхи|50-ці|посту)""),""""),lists!$A$39:$B$41,2,FALSE),"""")"),"")</f>
        <v/>
      </c>
      <c r="O368" s="19" t="str">
        <f>IFERROR(__xludf.DUMMYFUNCTION("IFNA(REGEXEXTRACT(F368, ""\d{1,2}""),"""")"),"1")</f>
        <v>1</v>
      </c>
      <c r="P368" s="14" t="b">
        <f t="shared" si="6"/>
        <v>0</v>
      </c>
    </row>
    <row r="369">
      <c r="A369" s="13" t="s">
        <v>1524</v>
      </c>
      <c r="B369" s="9" t="str">
        <f t="shared" si="1"/>
        <v>Мт.</v>
      </c>
      <c r="C369" s="10" t="s">
        <v>1493</v>
      </c>
      <c r="D369" s="11" t="str">
        <f t="shared" si="2"/>
        <v>15</v>
      </c>
      <c r="E369" s="9"/>
      <c r="F369" s="13" t="s">
        <v>1525</v>
      </c>
      <c r="G369" s="14"/>
      <c r="H369" s="22"/>
      <c r="I369" s="16" t="s">
        <v>29</v>
      </c>
      <c r="J369" s="73">
        <v>1.0</v>
      </c>
      <c r="K369" s="54"/>
      <c r="L369" s="55">
        <v>6.0</v>
      </c>
      <c r="M369" s="18">
        <f>IFNA( VLOOKUP(LEFT(F369, IFERROR(FIND(" ", F369, 1),1) - 1), lists!$A$31:$B$37, 2, FALSE),"")</f>
        <v>6</v>
      </c>
      <c r="N369" s="18" t="str">
        <f>IFERROR(__xludf.DUMMYFUNCTION("IFNA(VLOOKUP(IFNA(REGEXEXTRACT(F369, ""(Пасхи|50-ці|посту)""),""""),lists!$A$39:$B$41,2,FALSE),"""")"),"")</f>
        <v/>
      </c>
      <c r="O369" s="19" t="str">
        <f>IFERROR(__xludf.DUMMYFUNCTION("IFNA(REGEXEXTRACT(F369, ""\d{1,2}""),"""")"),"1")</f>
        <v>1</v>
      </c>
      <c r="P369" s="14" t="b">
        <f t="shared" si="6"/>
        <v>0</v>
      </c>
    </row>
    <row r="370">
      <c r="A370" s="13" t="s">
        <v>1526</v>
      </c>
      <c r="B370" s="9" t="str">
        <f t="shared" si="1"/>
        <v>Мт.</v>
      </c>
      <c r="C370" s="10" t="s">
        <v>1493</v>
      </c>
      <c r="D370" s="11" t="str">
        <f t="shared" si="2"/>
        <v>16</v>
      </c>
      <c r="E370" s="9"/>
      <c r="F370" s="13" t="s">
        <v>319</v>
      </c>
      <c r="G370" s="14"/>
      <c r="H370" s="22"/>
      <c r="I370" s="16" t="s">
        <v>29</v>
      </c>
      <c r="J370" s="53">
        <v>36.0</v>
      </c>
      <c r="K370" s="55">
        <v>1.0</v>
      </c>
      <c r="L370" s="55">
        <v>6.0</v>
      </c>
      <c r="M370" s="18">
        <f>IFNA( VLOOKUP(LEFT(F370, IFERROR(FIND(" ", F370, 1),1) - 1), lists!$A$31:$B$37, 2, FALSE),"")</f>
        <v>6</v>
      </c>
      <c r="N370" s="18" t="str">
        <f>IFERROR(__xludf.DUMMYFUNCTION("IFNA(VLOOKUP(IFNA(REGEXEXTRACT(F370, ""(Пасхи|50-ці|посту)""),""""),lists!$A$39:$B$41,2,FALSE),"""")"),"")</f>
        <v/>
      </c>
      <c r="O370" s="19" t="str">
        <f>IFERROR(__xludf.DUMMYFUNCTION("IFNA(REGEXEXTRACT(F370, ""\d{1,2}""),"""")"),"")</f>
        <v/>
      </c>
      <c r="P370" s="14" t="b">
        <f t="shared" si="6"/>
        <v>0</v>
      </c>
    </row>
    <row r="371">
      <c r="A371" s="13" t="s">
        <v>1527</v>
      </c>
      <c r="B371" s="9" t="str">
        <f t="shared" si="1"/>
        <v>Мт.</v>
      </c>
      <c r="C371" s="10" t="s">
        <v>1493</v>
      </c>
      <c r="D371" s="11" t="str">
        <f t="shared" si="2"/>
        <v>17</v>
      </c>
      <c r="E371" s="9"/>
      <c r="F371" s="13" t="s">
        <v>1528</v>
      </c>
      <c r="G371" s="14"/>
      <c r="H371" s="22"/>
      <c r="I371" s="16" t="s">
        <v>29</v>
      </c>
      <c r="J371" s="53">
        <v>36.0</v>
      </c>
      <c r="K371" s="55">
        <v>1.0</v>
      </c>
      <c r="L371" s="55">
        <v>7.0</v>
      </c>
      <c r="M371" s="18">
        <f>IFNA( VLOOKUP(LEFT(F371, IFERROR(FIND(" ", F371, 1),1) - 1), lists!$A$31:$B$37, 2, FALSE),"")</f>
        <v>7</v>
      </c>
      <c r="N371" s="18" t="str">
        <f>IFERROR(__xludf.DUMMYFUNCTION("IFNA(VLOOKUP(IFNA(REGEXEXTRACT(F371, ""(Пасхи|50-ці|посту)""),""""),lists!$A$39:$B$41,2,FALSE),"""")"),"")</f>
        <v/>
      </c>
      <c r="O371" s="19" t="str">
        <f>IFERROR(__xludf.DUMMYFUNCTION("IFNA(REGEXEXTRACT(F371, ""\d{1,2}""),"""")"),"")</f>
        <v/>
      </c>
      <c r="P371" s="14" t="b">
        <f t="shared" si="6"/>
        <v>0</v>
      </c>
    </row>
    <row r="372">
      <c r="A372" s="13" t="s">
        <v>1529</v>
      </c>
      <c r="B372" s="9" t="str">
        <f t="shared" si="1"/>
        <v>Мт.</v>
      </c>
      <c r="C372" s="10" t="s">
        <v>1493</v>
      </c>
      <c r="D372" s="11" t="str">
        <f t="shared" si="2"/>
        <v>18</v>
      </c>
      <c r="E372" s="9"/>
      <c r="F372" s="13" t="s">
        <v>1530</v>
      </c>
      <c r="G372" s="14"/>
      <c r="H372" s="22"/>
      <c r="I372" s="16" t="s">
        <v>29</v>
      </c>
      <c r="J372" s="73">
        <v>3.0</v>
      </c>
      <c r="K372" s="54"/>
      <c r="L372" s="55">
        <v>7.0</v>
      </c>
      <c r="M372" s="18">
        <f>IFNA( VLOOKUP(LEFT(F372, IFERROR(FIND(" ", F372, 1),1) - 1), lists!$A$31:$B$37, 2, FALSE),"")</f>
        <v>7</v>
      </c>
      <c r="N372" s="18" t="str">
        <f>IFERROR(__xludf.DUMMYFUNCTION("IFNA(VLOOKUP(IFNA(REGEXEXTRACT(F372, ""(Пасхи|50-ці|посту)""),""""),lists!$A$39:$B$41,2,FALSE),"""")"),"")</f>
        <v/>
      </c>
      <c r="O372" s="19" t="str">
        <f>IFERROR(__xludf.DUMMYFUNCTION("IFNA(REGEXEXTRACT(F372, ""\d{1,2}""),"""")"),"3")</f>
        <v>3</v>
      </c>
      <c r="P372" s="14" t="b">
        <f t="shared" si="6"/>
        <v>0</v>
      </c>
    </row>
    <row r="373">
      <c r="A373" s="13" t="s">
        <v>1531</v>
      </c>
      <c r="B373" s="9" t="str">
        <f t="shared" si="1"/>
        <v>Мт.</v>
      </c>
      <c r="C373" s="10" t="s">
        <v>1493</v>
      </c>
      <c r="D373" s="11" t="str">
        <f t="shared" si="2"/>
        <v>19</v>
      </c>
      <c r="E373" s="9"/>
      <c r="F373" s="13" t="s">
        <v>871</v>
      </c>
      <c r="G373" s="14"/>
      <c r="H373" s="22"/>
      <c r="I373" s="16" t="s">
        <v>29</v>
      </c>
      <c r="J373" s="73">
        <v>2.0</v>
      </c>
      <c r="K373" s="54"/>
      <c r="L373" s="55">
        <v>1.0</v>
      </c>
      <c r="M373" s="18">
        <f>IFNA( VLOOKUP(LEFT(F373, IFERROR(FIND(" ", F373, 1),1) - 1), lists!$A$31:$B$37, 2, FALSE),"")</f>
        <v>1</v>
      </c>
      <c r="N373" s="18" t="str">
        <f>IFERROR(__xludf.DUMMYFUNCTION("IFNA(VLOOKUP(IFNA(REGEXEXTRACT(F373, ""(Пасхи|50-ці|посту)""),""""),lists!$A$39:$B$41,2,FALSE),"""")"),"")</f>
        <v/>
      </c>
      <c r="O373" s="19" t="str">
        <f>IFERROR(__xludf.DUMMYFUNCTION("IFNA(REGEXEXTRACT(F373, ""\d{1,2}""),"""")"),"2")</f>
        <v>2</v>
      </c>
      <c r="P373" s="14" t="b">
        <f t="shared" si="6"/>
        <v>0</v>
      </c>
    </row>
    <row r="374">
      <c r="A374" s="13" t="s">
        <v>1532</v>
      </c>
      <c r="B374" s="9" t="str">
        <f t="shared" si="1"/>
        <v>Мт.</v>
      </c>
      <c r="C374" s="10" t="s">
        <v>1493</v>
      </c>
      <c r="D374" s="11" t="str">
        <f t="shared" si="2"/>
        <v>20</v>
      </c>
      <c r="E374" s="80" t="s">
        <v>18</v>
      </c>
      <c r="F374" s="13" t="s">
        <v>1533</v>
      </c>
      <c r="G374" s="14"/>
      <c r="H374" s="22"/>
      <c r="I374" s="16" t="s">
        <v>29</v>
      </c>
      <c r="J374" s="73">
        <v>2.0</v>
      </c>
      <c r="K374" s="54"/>
      <c r="L374" s="55">
        <v>6.0</v>
      </c>
      <c r="M374" s="18">
        <f>IFNA( VLOOKUP(LEFT(F374, IFERROR(FIND(" ", F374, 1),1) - 1), lists!$A$31:$B$37, 2, FALSE),"")</f>
        <v>6</v>
      </c>
      <c r="N374" s="18" t="str">
        <f>IFERROR(__xludf.DUMMYFUNCTION("IFNA(VLOOKUP(IFNA(REGEXEXTRACT(F374, ""(Пасхи|50-ці|посту)""),""""),lists!$A$39:$B$41,2,FALSE),"""")"),"")</f>
        <v/>
      </c>
      <c r="O374" s="19" t="str">
        <f>IFERROR(__xludf.DUMMYFUNCTION("IFNA(REGEXEXTRACT(F374, ""\d{1,2}""),"""")"),"2")</f>
        <v>2</v>
      </c>
      <c r="P374" s="14" t="b">
        <f t="shared" si="6"/>
        <v>0</v>
      </c>
    </row>
    <row r="375">
      <c r="A375" s="13" t="s">
        <v>1534</v>
      </c>
      <c r="B375" s="9" t="str">
        <f t="shared" si="1"/>
        <v>Мт.</v>
      </c>
      <c r="C375" s="10" t="s">
        <v>1493</v>
      </c>
      <c r="D375" s="11" t="str">
        <f t="shared" si="2"/>
        <v>20</v>
      </c>
      <c r="E375" s="80" t="s">
        <v>22</v>
      </c>
      <c r="F375" s="13" t="s">
        <v>1535</v>
      </c>
      <c r="G375" s="14"/>
      <c r="H375" s="15" t="s">
        <v>70</v>
      </c>
      <c r="I375" s="16" t="s">
        <v>71</v>
      </c>
      <c r="J375" s="73" t="s">
        <v>71</v>
      </c>
      <c r="K375" s="54"/>
      <c r="L375" s="55" t="s">
        <v>71</v>
      </c>
      <c r="M375" s="18" t="str">
        <f>IFNA( VLOOKUP(LEFT(F375, IFERROR(FIND(" ", F375, 1),1) - 1), lists!$A$31:$B$37, 2, FALSE),"")</f>
        <v/>
      </c>
      <c r="N375" s="18" t="str">
        <f>IFERROR(__xludf.DUMMYFUNCTION("IFNA(VLOOKUP(IFNA(REGEXEXTRACT(F375, ""(Пасхи|50-ці|посту)""),""""),lists!$A$39:$B$41,2,FALSE),"""")"),"")</f>
        <v/>
      </c>
      <c r="O375" s="19" t="str">
        <f>IFERROR(__xludf.DUMMYFUNCTION("IFNA(REGEXEXTRACT(F375, ""\d{1,2}""),"""")"),"")</f>
        <v/>
      </c>
      <c r="P375" s="14" t="b">
        <f t="shared" si="6"/>
        <v>0</v>
      </c>
    </row>
    <row r="376">
      <c r="A376" s="13" t="s">
        <v>1536</v>
      </c>
      <c r="B376" s="9" t="str">
        <f t="shared" si="1"/>
        <v>Мт.</v>
      </c>
      <c r="C376" s="10" t="s">
        <v>1493</v>
      </c>
      <c r="D376" s="11" t="str">
        <f t="shared" si="2"/>
        <v>21</v>
      </c>
      <c r="E376" s="9"/>
      <c r="F376" s="13" t="s">
        <v>1537</v>
      </c>
      <c r="G376" s="14"/>
      <c r="H376" s="15" t="s">
        <v>70</v>
      </c>
      <c r="I376" s="16" t="s">
        <v>71</v>
      </c>
      <c r="J376" s="73" t="s">
        <v>71</v>
      </c>
      <c r="K376" s="54"/>
      <c r="L376" s="55" t="s">
        <v>71</v>
      </c>
      <c r="M376" s="18" t="str">
        <f>IFNA( VLOOKUP(LEFT(F376, IFERROR(FIND(" ", F376, 1),1) - 1), lists!$A$31:$B$37, 2, FALSE),"")</f>
        <v/>
      </c>
      <c r="N376" s="18" t="str">
        <f>IFERROR(__xludf.DUMMYFUNCTION("IFNA(VLOOKUP(IFNA(REGEXEXTRACT(F376, ""(Пасхи|50-ці|посту)""),""""),lists!$A$39:$B$41,2,FALSE),"""")"),"")</f>
        <v/>
      </c>
      <c r="O376" s="19" t="str">
        <f>IFERROR(__xludf.DUMMYFUNCTION("IFNA(REGEXEXTRACT(F376, ""\d{1,2}""),"""")"),"")</f>
        <v/>
      </c>
      <c r="P376" s="14" t="b">
        <f t="shared" si="6"/>
        <v>0</v>
      </c>
    </row>
    <row r="377">
      <c r="A377" s="13" t="s">
        <v>1538</v>
      </c>
      <c r="B377" s="9" t="str">
        <f t="shared" si="1"/>
        <v>Мт.</v>
      </c>
      <c r="C377" s="10" t="s">
        <v>1493</v>
      </c>
      <c r="D377" s="11" t="str">
        <f t="shared" si="2"/>
        <v>22</v>
      </c>
      <c r="E377" s="9"/>
      <c r="F377" s="13" t="s">
        <v>877</v>
      </c>
      <c r="G377" s="14"/>
      <c r="H377" s="22"/>
      <c r="I377" s="16" t="s">
        <v>29</v>
      </c>
      <c r="J377" s="73">
        <v>2.0</v>
      </c>
      <c r="K377" s="54"/>
      <c r="L377" s="55">
        <v>2.0</v>
      </c>
      <c r="M377" s="18">
        <f>IFNA( VLOOKUP(LEFT(F377, IFERROR(FIND(" ", F377, 1),1) - 1), lists!$A$31:$B$37, 2, FALSE),"")</f>
        <v>2</v>
      </c>
      <c r="N377" s="18" t="str">
        <f>IFERROR(__xludf.DUMMYFUNCTION("IFNA(VLOOKUP(IFNA(REGEXEXTRACT(F377, ""(Пасхи|50-ці|посту)""),""""),lists!$A$39:$B$41,2,FALSE),"""")"),"")</f>
        <v/>
      </c>
      <c r="O377" s="19" t="str">
        <f>IFERROR(__xludf.DUMMYFUNCTION("IFNA(REGEXEXTRACT(F377, ""\d{1,2}""),"""")"),"2")</f>
        <v>2</v>
      </c>
      <c r="P377" s="14" t="b">
        <f t="shared" si="6"/>
        <v>0</v>
      </c>
    </row>
    <row r="378">
      <c r="A378" s="13" t="s">
        <v>1539</v>
      </c>
      <c r="B378" s="9" t="str">
        <f t="shared" si="1"/>
        <v>Мт.</v>
      </c>
      <c r="C378" s="10" t="s">
        <v>1493</v>
      </c>
      <c r="D378" s="11" t="str">
        <f t="shared" si="2"/>
        <v>23</v>
      </c>
      <c r="E378" s="9"/>
      <c r="F378" s="13" t="s">
        <v>1540</v>
      </c>
      <c r="G378" s="14"/>
      <c r="H378" s="22"/>
      <c r="I378" s="16" t="s">
        <v>29</v>
      </c>
      <c r="J378" s="73">
        <v>2.0</v>
      </c>
      <c r="K378" s="54"/>
      <c r="L378" s="55">
        <v>3.0</v>
      </c>
      <c r="M378" s="18">
        <f>IFNA( VLOOKUP(LEFT(F378, IFERROR(FIND(" ", F378, 1),1) - 1), lists!$A$31:$B$37, 2, FALSE),"")</f>
        <v>3</v>
      </c>
      <c r="N378" s="18" t="str">
        <f>IFERROR(__xludf.DUMMYFUNCTION("IFNA(VLOOKUP(IFNA(REGEXEXTRACT(F378, ""(Пасхи|50-ці|посту)""),""""),lists!$A$39:$B$41,2,FALSE),"""")"),"")</f>
        <v/>
      </c>
      <c r="O378" s="19" t="str">
        <f>IFERROR(__xludf.DUMMYFUNCTION("IFNA(REGEXEXTRACT(F378, ""\d{1,2}""),"""")"),"2")</f>
        <v>2</v>
      </c>
      <c r="P378" s="14" t="b">
        <f t="shared" si="6"/>
        <v>0</v>
      </c>
    </row>
    <row r="379">
      <c r="A379" s="13" t="s">
        <v>1541</v>
      </c>
      <c r="B379" s="9" t="str">
        <f t="shared" si="1"/>
        <v>Мт.</v>
      </c>
      <c r="C379" s="10" t="s">
        <v>1493</v>
      </c>
      <c r="D379" s="11" t="str">
        <f t="shared" si="2"/>
        <v>24</v>
      </c>
      <c r="E379" s="9"/>
      <c r="F379" s="13" t="s">
        <v>1542</v>
      </c>
      <c r="G379" s="14"/>
      <c r="H379" s="22"/>
      <c r="I379" s="16" t="s">
        <v>29</v>
      </c>
      <c r="J379" s="73">
        <v>3.0</v>
      </c>
      <c r="K379" s="54"/>
      <c r="L379" s="55">
        <v>6.0</v>
      </c>
      <c r="M379" s="18">
        <f>IFNA( VLOOKUP(LEFT(F379, IFERROR(FIND(" ", F379, 1),1) - 1), lists!$A$31:$B$37, 2, FALSE),"")</f>
        <v>6</v>
      </c>
      <c r="N379" s="18" t="str">
        <f>IFERROR(__xludf.DUMMYFUNCTION("IFNA(VLOOKUP(IFNA(REGEXEXTRACT(F379, ""(Пасхи|50-ці|посту)""),""""),lists!$A$39:$B$41,2,FALSE),"""")"),"")</f>
        <v/>
      </c>
      <c r="O379" s="19" t="str">
        <f>IFERROR(__xludf.DUMMYFUNCTION("IFNA(REGEXEXTRACT(F379, ""\d{1,2}""),"""")"),"3")</f>
        <v>3</v>
      </c>
      <c r="P379" s="14" t="b">
        <f t="shared" si="6"/>
        <v>0</v>
      </c>
    </row>
    <row r="380">
      <c r="A380" s="13" t="s">
        <v>1543</v>
      </c>
      <c r="B380" s="9" t="str">
        <f t="shared" si="1"/>
        <v>Мт.</v>
      </c>
      <c r="C380" s="10" t="s">
        <v>1493</v>
      </c>
      <c r="D380" s="11" t="str">
        <f t="shared" si="2"/>
        <v>25</v>
      </c>
      <c r="E380" s="9"/>
      <c r="F380" s="13" t="s">
        <v>1544</v>
      </c>
      <c r="G380" s="14"/>
      <c r="H380" s="22"/>
      <c r="I380" s="16" t="s">
        <v>29</v>
      </c>
      <c r="J380" s="73">
        <v>4.0</v>
      </c>
      <c r="K380" s="54"/>
      <c r="L380" s="55">
        <v>7.0</v>
      </c>
      <c r="M380" s="18">
        <f>IFNA( VLOOKUP(LEFT(F380, IFERROR(FIND(" ", F380, 1),1) - 1), lists!$A$31:$B$37, 2, FALSE),"")</f>
        <v>7</v>
      </c>
      <c r="N380" s="18" t="str">
        <f>IFERROR(__xludf.DUMMYFUNCTION("IFNA(VLOOKUP(IFNA(REGEXEXTRACT(F380, ""(Пасхи|50-ці|посту)""),""""),lists!$A$39:$B$41,2,FALSE),"""")"),"")</f>
        <v/>
      </c>
      <c r="O380" s="19" t="str">
        <f>IFERROR(__xludf.DUMMYFUNCTION("IFNA(REGEXEXTRACT(F380, ""\d{1,2}""),"""")"),"4")</f>
        <v>4</v>
      </c>
      <c r="P380" s="14" t="b">
        <f t="shared" si="6"/>
        <v>0</v>
      </c>
    </row>
    <row r="381">
      <c r="A381" s="13" t="s">
        <v>1545</v>
      </c>
      <c r="B381" s="9" t="str">
        <f t="shared" si="1"/>
        <v>Мт.</v>
      </c>
      <c r="C381" s="10" t="s">
        <v>1493</v>
      </c>
      <c r="D381" s="11" t="str">
        <f t="shared" si="2"/>
        <v>26</v>
      </c>
      <c r="E381" s="9"/>
      <c r="F381" s="13" t="s">
        <v>921</v>
      </c>
      <c r="G381" s="14"/>
      <c r="H381" s="22"/>
      <c r="I381" s="16" t="s">
        <v>29</v>
      </c>
      <c r="J381" s="73">
        <v>4.0</v>
      </c>
      <c r="K381" s="54"/>
      <c r="L381" s="55">
        <v>6.0</v>
      </c>
      <c r="M381" s="18">
        <f>IFNA( VLOOKUP(LEFT(F381, IFERROR(FIND(" ", F381, 1),1) - 1), lists!$A$31:$B$37, 2, FALSE),"")</f>
        <v>6</v>
      </c>
      <c r="N381" s="18" t="str">
        <f>IFERROR(__xludf.DUMMYFUNCTION("IFNA(VLOOKUP(IFNA(REGEXEXTRACT(F381, ""(Пасхи|50-ці|посту)""),""""),lists!$A$39:$B$41,2,FALSE),"""")"),"")</f>
        <v/>
      </c>
      <c r="O381" s="19" t="str">
        <f>IFERROR(__xludf.DUMMYFUNCTION("IFNA(REGEXEXTRACT(F381, ""\d{1,2}""),"""")"),"4")</f>
        <v>4</v>
      </c>
      <c r="P381" s="14" t="b">
        <f t="shared" si="6"/>
        <v>0</v>
      </c>
    </row>
    <row r="382">
      <c r="A382" s="13" t="s">
        <v>1546</v>
      </c>
      <c r="B382" s="9" t="str">
        <f t="shared" si="1"/>
        <v>Мт.</v>
      </c>
      <c r="C382" s="10" t="s">
        <v>1493</v>
      </c>
      <c r="D382" s="11" t="str">
        <f t="shared" si="2"/>
        <v>27</v>
      </c>
      <c r="E382" s="9"/>
      <c r="F382" s="13" t="s">
        <v>1547</v>
      </c>
      <c r="G382" s="14"/>
      <c r="H382" s="22"/>
      <c r="I382" s="16" t="s">
        <v>29</v>
      </c>
      <c r="J382" s="73">
        <v>2.0</v>
      </c>
      <c r="K382" s="54"/>
      <c r="L382" s="55">
        <v>4.0</v>
      </c>
      <c r="M382" s="18">
        <f>IFNA( VLOOKUP(LEFT(F382, IFERROR(FIND(" ", F382, 1),1) - 1), lists!$A$31:$B$37, 2, FALSE),"")</f>
        <v>4</v>
      </c>
      <c r="N382" s="18" t="str">
        <f>IFERROR(__xludf.DUMMYFUNCTION("IFNA(VLOOKUP(IFNA(REGEXEXTRACT(F382, ""(Пасхи|50-ці|посту)""),""""),lists!$A$39:$B$41,2,FALSE),"""")"),"")</f>
        <v/>
      </c>
      <c r="O382" s="19" t="str">
        <f>IFERROR(__xludf.DUMMYFUNCTION("IFNA(REGEXEXTRACT(F382, ""\d{1,2}""),"""")"),"2")</f>
        <v>2</v>
      </c>
      <c r="P382" s="14" t="b">
        <f t="shared" si="6"/>
        <v>0</v>
      </c>
    </row>
    <row r="383">
      <c r="A383" s="13" t="s">
        <v>1548</v>
      </c>
      <c r="B383" s="9" t="str">
        <f t="shared" si="1"/>
        <v>Мт.</v>
      </c>
      <c r="C383" s="10" t="s">
        <v>1493</v>
      </c>
      <c r="D383" s="11" t="str">
        <f t="shared" si="2"/>
        <v>28</v>
      </c>
      <c r="E383" s="9"/>
      <c r="F383" s="13" t="s">
        <v>1549</v>
      </c>
      <c r="G383" s="14"/>
      <c r="H383" s="22"/>
      <c r="I383" s="16" t="s">
        <v>29</v>
      </c>
      <c r="J383" s="73">
        <v>5.0</v>
      </c>
      <c r="K383" s="54"/>
      <c r="L383" s="55">
        <v>7.0</v>
      </c>
      <c r="M383" s="18">
        <f>IFNA( VLOOKUP(LEFT(F383, IFERROR(FIND(" ", F383, 1),1) - 1), lists!$A$31:$B$37, 2, FALSE),"")</f>
        <v>7</v>
      </c>
      <c r="N383" s="18" t="str">
        <f>IFERROR(__xludf.DUMMYFUNCTION("IFNA(VLOOKUP(IFNA(REGEXEXTRACT(F383, ""(Пасхи|50-ці|посту)""),""""),lists!$A$39:$B$41,2,FALSE),"""")"),"")</f>
        <v/>
      </c>
      <c r="O383" s="19" t="str">
        <f>IFERROR(__xludf.DUMMYFUNCTION("IFNA(REGEXEXTRACT(F383, ""\d{1,2}""),"""")"),"5")</f>
        <v>5</v>
      </c>
      <c r="P383" s="14" t="b">
        <f t="shared" si="6"/>
        <v>0</v>
      </c>
    </row>
    <row r="384">
      <c r="A384" s="13" t="s">
        <v>1550</v>
      </c>
      <c r="B384" s="9" t="str">
        <f t="shared" si="1"/>
        <v>Мт.</v>
      </c>
      <c r="C384" s="10" t="s">
        <v>1493</v>
      </c>
      <c r="D384" s="11" t="str">
        <f t="shared" si="2"/>
        <v>29</v>
      </c>
      <c r="E384" s="9"/>
      <c r="F384" s="13" t="s">
        <v>1551</v>
      </c>
      <c r="G384" s="14"/>
      <c r="H384" s="22"/>
      <c r="I384" s="16" t="s">
        <v>29</v>
      </c>
      <c r="J384" s="73">
        <v>6.0</v>
      </c>
      <c r="K384" s="54"/>
      <c r="L384" s="55">
        <v>7.0</v>
      </c>
      <c r="M384" s="18">
        <f>IFNA( VLOOKUP(LEFT(F384, IFERROR(FIND(" ", F384, 1),1) - 1), lists!$A$31:$B$37, 2, FALSE),"")</f>
        <v>7</v>
      </c>
      <c r="N384" s="18" t="str">
        <f>IFERROR(__xludf.DUMMYFUNCTION("IFNA(VLOOKUP(IFNA(REGEXEXTRACT(F384, ""(Пасхи|50-ці|посту)""),""""),lists!$A$39:$B$41,2,FALSE),"""")"),"")</f>
        <v/>
      </c>
      <c r="O384" s="19" t="str">
        <f>IFERROR(__xludf.DUMMYFUNCTION("IFNA(REGEXEXTRACT(F384, ""\d{1,2}""),"""")"),"6")</f>
        <v>6</v>
      </c>
      <c r="P384" s="14" t="b">
        <f t="shared" si="6"/>
        <v>0</v>
      </c>
    </row>
    <row r="385">
      <c r="A385" s="13" t="s">
        <v>1552</v>
      </c>
      <c r="B385" s="9" t="str">
        <f t="shared" si="1"/>
        <v>Мт.</v>
      </c>
      <c r="C385" s="10" t="s">
        <v>1493</v>
      </c>
      <c r="D385" s="11" t="str">
        <f t="shared" si="2"/>
        <v>30</v>
      </c>
      <c r="E385" s="9"/>
      <c r="F385" s="13" t="s">
        <v>1553</v>
      </c>
      <c r="G385" s="14"/>
      <c r="H385" s="15" t="s">
        <v>70</v>
      </c>
      <c r="I385" s="16" t="s">
        <v>29</v>
      </c>
      <c r="J385" s="73">
        <v>5.0</v>
      </c>
      <c r="K385" s="54"/>
      <c r="L385" s="55">
        <v>6.0</v>
      </c>
      <c r="M385" s="18">
        <f>IFNA( VLOOKUP(LEFT(F385, IFERROR(FIND(" ", F385, 1),1) - 1), lists!$A$31:$B$37, 2, FALSE),"")</f>
        <v>6</v>
      </c>
      <c r="N385" s="18" t="str">
        <f>IFERROR(__xludf.DUMMYFUNCTION("IFNA(VLOOKUP(IFNA(REGEXEXTRACT(F385, ""(Пасхи|50-ці|посту)""),""""),lists!$A$39:$B$41,2,FALSE),"""")"),"")</f>
        <v/>
      </c>
      <c r="O385" s="19" t="str">
        <f>IFERROR(__xludf.DUMMYFUNCTION("IFNA(REGEXEXTRACT(F385, ""\d{1,2}""),"""")"),"5")</f>
        <v>5</v>
      </c>
      <c r="P385" s="14" t="b">
        <f t="shared" si="6"/>
        <v>0</v>
      </c>
    </row>
    <row r="386">
      <c r="A386" s="13" t="s">
        <v>1554</v>
      </c>
      <c r="B386" s="9" t="str">
        <f t="shared" si="1"/>
        <v>Мт.</v>
      </c>
      <c r="C386" s="10" t="s">
        <v>1493</v>
      </c>
      <c r="D386" s="11" t="str">
        <f t="shared" si="2"/>
        <v>31</v>
      </c>
      <c r="E386" s="9"/>
      <c r="F386" s="13" t="s">
        <v>890</v>
      </c>
      <c r="G386" s="14"/>
      <c r="H386" s="22"/>
      <c r="I386" s="16" t="s">
        <v>29</v>
      </c>
      <c r="J386" s="73">
        <v>2.0</v>
      </c>
      <c r="K386" s="54"/>
      <c r="L386" s="55">
        <v>5.0</v>
      </c>
      <c r="M386" s="18">
        <f>IFNA( VLOOKUP(LEFT(F386, IFERROR(FIND(" ", F386, 1),1) - 1), lists!$A$31:$B$37, 2, FALSE),"")</f>
        <v>5</v>
      </c>
      <c r="N386" s="18" t="str">
        <f>IFERROR(__xludf.DUMMYFUNCTION("IFNA(VLOOKUP(IFNA(REGEXEXTRACT(F386, ""(Пасхи|50-ці|посту)""),""""),lists!$A$39:$B$41,2,FALSE),"""")"),"")</f>
        <v/>
      </c>
      <c r="O386" s="19" t="str">
        <f>IFERROR(__xludf.DUMMYFUNCTION("IFNA(REGEXEXTRACT(F386, ""\d{1,2}""),"""")"),"2")</f>
        <v>2</v>
      </c>
      <c r="P386" s="14" t="b">
        <f t="shared" si="6"/>
        <v>0</v>
      </c>
    </row>
    <row r="387">
      <c r="A387" s="13" t="s">
        <v>1555</v>
      </c>
      <c r="B387" s="9" t="str">
        <f t="shared" si="1"/>
        <v>Мт.</v>
      </c>
      <c r="C387" s="10" t="s">
        <v>1493</v>
      </c>
      <c r="D387" s="11" t="str">
        <f t="shared" si="2"/>
        <v>32</v>
      </c>
      <c r="E387" s="9"/>
      <c r="F387" s="13" t="s">
        <v>964</v>
      </c>
      <c r="G387" s="14"/>
      <c r="H387" s="22"/>
      <c r="I387" s="16" t="s">
        <v>29</v>
      </c>
      <c r="J387" s="73">
        <v>6.0</v>
      </c>
      <c r="K387" s="54"/>
      <c r="L387" s="55">
        <v>6.0</v>
      </c>
      <c r="M387" s="18">
        <f>IFNA( VLOOKUP(LEFT(F387, IFERROR(FIND(" ", F387, 1),1) - 1), lists!$A$31:$B$37, 2, FALSE),"")</f>
        <v>6</v>
      </c>
      <c r="N387" s="18" t="str">
        <f>IFERROR(__xludf.DUMMYFUNCTION("IFNA(VLOOKUP(IFNA(REGEXEXTRACT(F387, ""(Пасхи|50-ці|посту)""),""""),lists!$A$39:$B$41,2,FALSE),"""")"),"")</f>
        <v/>
      </c>
      <c r="O387" s="19" t="str">
        <f>IFERROR(__xludf.DUMMYFUNCTION("IFNA(REGEXEXTRACT(F387, ""\d{1,2}""),"""")"),"6")</f>
        <v>6</v>
      </c>
      <c r="P387" s="14" t="b">
        <f t="shared" si="6"/>
        <v>0</v>
      </c>
    </row>
    <row r="388">
      <c r="A388" s="13" t="s">
        <v>1556</v>
      </c>
      <c r="B388" s="9" t="str">
        <f t="shared" si="1"/>
        <v>Мт.</v>
      </c>
      <c r="C388" s="10" t="s">
        <v>1493</v>
      </c>
      <c r="D388" s="11" t="str">
        <f t="shared" si="2"/>
        <v>33</v>
      </c>
      <c r="E388" s="9"/>
      <c r="F388" s="13" t="s">
        <v>1557</v>
      </c>
      <c r="G388" s="14"/>
      <c r="H388" s="22"/>
      <c r="I388" s="16" t="s">
        <v>29</v>
      </c>
      <c r="J388" s="73">
        <v>7.0</v>
      </c>
      <c r="K388" s="54"/>
      <c r="L388" s="55">
        <v>7.0</v>
      </c>
      <c r="M388" s="18">
        <f>IFNA( VLOOKUP(LEFT(F388, IFERROR(FIND(" ", F388, 1),1) - 1), lists!$A$31:$B$37, 2, FALSE),"")</f>
        <v>7</v>
      </c>
      <c r="N388" s="18" t="str">
        <f>IFERROR(__xludf.DUMMYFUNCTION("IFNA(VLOOKUP(IFNA(REGEXEXTRACT(F388, ""(Пасхи|50-ці|посту)""),""""),lists!$A$39:$B$41,2,FALSE),"""")"),"")</f>
        <v/>
      </c>
      <c r="O388" s="19" t="str">
        <f>IFERROR(__xludf.DUMMYFUNCTION("IFNA(REGEXEXTRACT(F388, ""\d{1,2}""),"""")"),"7")</f>
        <v>7</v>
      </c>
      <c r="P388" s="14" t="b">
        <f t="shared" si="6"/>
        <v>0</v>
      </c>
    </row>
    <row r="389">
      <c r="A389" s="13" t="s">
        <v>1558</v>
      </c>
      <c r="B389" s="9" t="str">
        <f t="shared" si="1"/>
        <v>Мт.</v>
      </c>
      <c r="C389" s="10" t="s">
        <v>1493</v>
      </c>
      <c r="D389" s="11" t="str">
        <f t="shared" si="2"/>
        <v>34</v>
      </c>
      <c r="E389" s="12" t="s">
        <v>18</v>
      </c>
      <c r="F389" s="13" t="s">
        <v>882</v>
      </c>
      <c r="G389" s="14"/>
      <c r="H389" s="22"/>
      <c r="I389" s="16" t="s">
        <v>29</v>
      </c>
      <c r="J389" s="73">
        <v>3.0</v>
      </c>
      <c r="K389" s="54"/>
      <c r="L389" s="55">
        <v>1.0</v>
      </c>
      <c r="M389" s="18">
        <f>IFNA( VLOOKUP(LEFT(F389, IFERROR(FIND(" ", F389, 1),1) - 1), lists!$A$31:$B$37, 2, FALSE),"")</f>
        <v>1</v>
      </c>
      <c r="N389" s="18" t="str">
        <f>IFERROR(__xludf.DUMMYFUNCTION("IFNA(VLOOKUP(IFNA(REGEXEXTRACT(F389, ""(Пасхи|50-ці|посту)""),""""),lists!$A$39:$B$41,2,FALSE),"""")"),"")</f>
        <v/>
      </c>
      <c r="O389" s="19" t="str">
        <f>IFERROR(__xludf.DUMMYFUNCTION("IFNA(REGEXEXTRACT(F389, ""\d{1,2}""),"""")"),"3")</f>
        <v>3</v>
      </c>
      <c r="P389" s="14" t="b">
        <f t="shared" si="6"/>
        <v>0</v>
      </c>
    </row>
    <row r="390">
      <c r="A390" s="21" t="s">
        <v>1559</v>
      </c>
      <c r="B390" s="9" t="str">
        <f t="shared" si="1"/>
        <v>Мт.</v>
      </c>
      <c r="C390" s="10" t="s">
        <v>1493</v>
      </c>
      <c r="D390" s="11" t="str">
        <f t="shared" si="2"/>
        <v>34</v>
      </c>
      <c r="E390" s="12" t="s">
        <v>22</v>
      </c>
      <c r="F390" s="13" t="s">
        <v>1560</v>
      </c>
      <c r="G390" s="14"/>
      <c r="H390" s="15" t="s">
        <v>70</v>
      </c>
      <c r="I390" s="16" t="s">
        <v>71</v>
      </c>
      <c r="J390" s="73">
        <v>1.0</v>
      </c>
      <c r="K390" s="54"/>
      <c r="L390" s="55" t="s">
        <v>71</v>
      </c>
      <c r="M390" s="18" t="str">
        <f>IFNA( VLOOKUP(LEFT(F390, IFERROR(FIND(" ", F390, 1),1) - 1), lists!$A$31:$B$37, 2, FALSE),"")</f>
        <v/>
      </c>
      <c r="N390" s="18" t="str">
        <f>IFERROR(__xludf.DUMMYFUNCTION("IFNA(VLOOKUP(IFNA(REGEXEXTRACT(F390, ""(Пасхи|50-ці|посту)""),""""),lists!$A$39:$B$41,2,FALSE),"""")"),"")</f>
        <v/>
      </c>
      <c r="O390" s="19" t="str">
        <f>IFERROR(__xludf.DUMMYFUNCTION("IFNA(REGEXEXTRACT(F390, ""\d{1,2}""),"""")"),"1")</f>
        <v>1</v>
      </c>
      <c r="P390" s="14" t="b">
        <f t="shared" si="6"/>
        <v>0</v>
      </c>
    </row>
    <row r="391">
      <c r="A391" s="13" t="s">
        <v>1561</v>
      </c>
      <c r="B391" s="9" t="str">
        <f t="shared" si="1"/>
        <v>Мт.</v>
      </c>
      <c r="C391" s="10" t="s">
        <v>1493</v>
      </c>
      <c r="D391" s="11" t="str">
        <f t="shared" si="2"/>
        <v>35</v>
      </c>
      <c r="E391" s="9"/>
      <c r="F391" s="13" t="s">
        <v>896</v>
      </c>
      <c r="G391" s="14"/>
      <c r="H391" s="22"/>
      <c r="I391" s="16" t="s">
        <v>29</v>
      </c>
      <c r="J391" s="73">
        <v>3.0</v>
      </c>
      <c r="K391" s="54"/>
      <c r="L391" s="55">
        <v>2.0</v>
      </c>
      <c r="M391" s="18">
        <f>IFNA( VLOOKUP(LEFT(F391, IFERROR(FIND(" ", F391, 1),1) - 1), lists!$A$31:$B$37, 2, FALSE),"")</f>
        <v>2</v>
      </c>
      <c r="N391" s="18" t="str">
        <f>IFERROR(__xludf.DUMMYFUNCTION("IFNA(VLOOKUP(IFNA(REGEXEXTRACT(F391, ""(Пасхи|50-ці|посту)""),""""),lists!$A$39:$B$41,2,FALSE),"""")"),"")</f>
        <v/>
      </c>
      <c r="O391" s="19" t="str">
        <f>IFERROR(__xludf.DUMMYFUNCTION("IFNA(REGEXEXTRACT(F391, ""\d{1,2}""),"""")"),"3")</f>
        <v>3</v>
      </c>
      <c r="P391" s="14" t="b">
        <f t="shared" si="6"/>
        <v>0</v>
      </c>
    </row>
    <row r="392">
      <c r="A392" s="13" t="s">
        <v>1562</v>
      </c>
      <c r="B392" s="9" t="str">
        <f t="shared" si="1"/>
        <v>Мт.</v>
      </c>
      <c r="C392" s="10" t="s">
        <v>1493</v>
      </c>
      <c r="D392" s="11" t="str">
        <f t="shared" si="2"/>
        <v>36</v>
      </c>
      <c r="E392" s="9"/>
      <c r="F392" s="13" t="s">
        <v>1563</v>
      </c>
      <c r="G392" s="14"/>
      <c r="H392" s="15" t="s">
        <v>70</v>
      </c>
      <c r="I392" s="16" t="s">
        <v>29</v>
      </c>
      <c r="J392" s="73">
        <v>3.0</v>
      </c>
      <c r="K392" s="54"/>
      <c r="L392" s="55">
        <v>3.0</v>
      </c>
      <c r="M392" s="18">
        <f>IFNA( VLOOKUP(LEFT(F392, IFERROR(FIND(" ", F392, 1),1) - 1), lists!$A$31:$B$37, 2, FALSE),"")</f>
        <v>3</v>
      </c>
      <c r="N392" s="18" t="str">
        <f>IFERROR(__xludf.DUMMYFUNCTION("IFNA(VLOOKUP(IFNA(REGEXEXTRACT(F392, ""(Пасхи|50-ці|посту)""),""""),lists!$A$39:$B$41,2,FALSE),"""")"),"")</f>
        <v/>
      </c>
      <c r="O392" s="19" t="str">
        <f>IFERROR(__xludf.DUMMYFUNCTION("IFNA(REGEXEXTRACT(F392, ""\d{1,2}""),"""")"),"3")</f>
        <v>3</v>
      </c>
      <c r="P392" s="14" t="b">
        <f t="shared" si="6"/>
        <v>0</v>
      </c>
    </row>
    <row r="393">
      <c r="A393" s="13" t="s">
        <v>1564</v>
      </c>
      <c r="B393" s="9" t="str">
        <f t="shared" si="1"/>
        <v>Мт.</v>
      </c>
      <c r="C393" s="10" t="s">
        <v>1493</v>
      </c>
      <c r="D393" s="11" t="str">
        <f t="shared" si="2"/>
        <v>37</v>
      </c>
      <c r="E393" s="9"/>
      <c r="F393" s="13" t="s">
        <v>900</v>
      </c>
      <c r="G393" s="14"/>
      <c r="H393" s="22"/>
      <c r="I393" s="16" t="s">
        <v>29</v>
      </c>
      <c r="J393" s="73">
        <v>3.0</v>
      </c>
      <c r="K393" s="54"/>
      <c r="L393" s="55">
        <v>4.0</v>
      </c>
      <c r="M393" s="18">
        <f>IFNA( VLOOKUP(LEFT(F393, IFERROR(FIND(" ", F393, 1),1) - 1), lists!$A$31:$B$37, 2, FALSE),"")</f>
        <v>4</v>
      </c>
      <c r="N393" s="18" t="str">
        <f>IFERROR(__xludf.DUMMYFUNCTION("IFNA(VLOOKUP(IFNA(REGEXEXTRACT(F393, ""(Пасхи|50-ці|посту)""),""""),lists!$A$39:$B$41,2,FALSE),"""")"),"")</f>
        <v/>
      </c>
      <c r="O393" s="19" t="str">
        <f>IFERROR(__xludf.DUMMYFUNCTION("IFNA(REGEXEXTRACT(F393, ""\d{1,2}""),"""")"),"3")</f>
        <v>3</v>
      </c>
      <c r="P393" s="14" t="b">
        <f t="shared" si="6"/>
        <v>0</v>
      </c>
    </row>
    <row r="394">
      <c r="A394" s="13" t="s">
        <v>1565</v>
      </c>
      <c r="B394" s="9" t="str">
        <f t="shared" si="1"/>
        <v>Мт.</v>
      </c>
      <c r="C394" s="10" t="s">
        <v>1493</v>
      </c>
      <c r="D394" s="11" t="str">
        <f t="shared" si="2"/>
        <v>38</v>
      </c>
      <c r="E394" s="12" t="s">
        <v>18</v>
      </c>
      <c r="F394" s="13" t="s">
        <v>1566</v>
      </c>
      <c r="G394" s="14"/>
      <c r="H394" s="22"/>
      <c r="I394" s="16" t="s">
        <v>29</v>
      </c>
      <c r="J394" s="73">
        <v>1.0</v>
      </c>
      <c r="K394" s="54"/>
      <c r="L394" s="55">
        <v>7.0</v>
      </c>
      <c r="M394" s="18">
        <f>IFNA( VLOOKUP(LEFT(F394, IFERROR(FIND(" ", F394, 1),1) - 1), lists!$A$31:$B$37, 2, FALSE),"")</f>
        <v>7</v>
      </c>
      <c r="N394" s="18" t="str">
        <f>IFERROR(__xludf.DUMMYFUNCTION("IFNA(VLOOKUP(IFNA(REGEXEXTRACT(F394, ""(Пасхи|50-ці|посту)""),""""),lists!$A$39:$B$41,2,FALSE),"""")"),"")</f>
        <v/>
      </c>
      <c r="O394" s="19" t="str">
        <f>IFERROR(__xludf.DUMMYFUNCTION("IFNA(REGEXEXTRACT(F394, ""\d{1,2}""),"""")"),"1")</f>
        <v>1</v>
      </c>
      <c r="P394" s="14" t="b">
        <f t="shared" si="6"/>
        <v>0</v>
      </c>
    </row>
    <row r="395">
      <c r="A395" s="13" t="s">
        <v>1567</v>
      </c>
      <c r="B395" s="9" t="str">
        <f t="shared" si="1"/>
        <v>Мт.</v>
      </c>
      <c r="C395" s="10" t="s">
        <v>1493</v>
      </c>
      <c r="D395" s="11" t="str">
        <f t="shared" si="2"/>
        <v>38</v>
      </c>
      <c r="E395" s="12" t="s">
        <v>22</v>
      </c>
      <c r="F395" s="13" t="s">
        <v>1043</v>
      </c>
      <c r="G395" s="14"/>
      <c r="H395" s="22"/>
      <c r="I395" s="16" t="s">
        <v>29</v>
      </c>
      <c r="J395" s="73">
        <v>3.0</v>
      </c>
      <c r="K395" s="54"/>
      <c r="L395" s="55">
        <v>5.0</v>
      </c>
      <c r="M395" s="18">
        <f>IFNA( VLOOKUP(LEFT(F395, IFERROR(FIND(" ", F395, 1),1) - 1), lists!$A$31:$B$37, 2, FALSE),"")</f>
        <v>5</v>
      </c>
      <c r="N395" s="18" t="str">
        <f>IFERROR(__xludf.DUMMYFUNCTION("IFNA(VLOOKUP(IFNA(REGEXEXTRACT(F395, ""(Пасхи|50-ці|посту)""),""""),lists!$A$39:$B$41,2,FALSE),"""")"),"")</f>
        <v/>
      </c>
      <c r="O395" s="19" t="str">
        <f>IFERROR(__xludf.DUMMYFUNCTION("IFNA(REGEXEXTRACT(F395, ""\d{1,2}""),"""")"),"3")</f>
        <v>3</v>
      </c>
      <c r="P395" s="14" t="b">
        <f t="shared" si="6"/>
        <v>0</v>
      </c>
    </row>
    <row r="396">
      <c r="A396" s="13" t="s">
        <v>1568</v>
      </c>
      <c r="B396" s="9" t="str">
        <f t="shared" si="1"/>
        <v>Мт.</v>
      </c>
      <c r="C396" s="10" t="s">
        <v>1493</v>
      </c>
      <c r="D396" s="11" t="str">
        <f t="shared" si="2"/>
        <v>39</v>
      </c>
      <c r="E396" s="9"/>
      <c r="F396" s="13" t="s">
        <v>1569</v>
      </c>
      <c r="G396" s="14"/>
      <c r="H396" s="15" t="s">
        <v>70</v>
      </c>
      <c r="I396" s="16" t="s">
        <v>29</v>
      </c>
      <c r="J396" s="73">
        <v>7.0</v>
      </c>
      <c r="K396" s="54"/>
      <c r="L396" s="55">
        <v>6.0</v>
      </c>
      <c r="M396" s="18">
        <f>IFNA( VLOOKUP(LEFT(F396, IFERROR(FIND(" ", F396, 1),1) - 1), lists!$A$31:$B$37, 2, FALSE),"")</f>
        <v>6</v>
      </c>
      <c r="N396" s="18" t="str">
        <f>IFERROR(__xludf.DUMMYFUNCTION("IFNA(VLOOKUP(IFNA(REGEXEXTRACT(F396, ""(Пасхи|50-ці|посту)""),""""),lists!$A$39:$B$41,2,FALSE),"""")"),"")</f>
        <v/>
      </c>
      <c r="O396" s="19" t="str">
        <f>IFERROR(__xludf.DUMMYFUNCTION("IFNA(REGEXEXTRACT(F396, ""\d{1,2}""),"""")"),"7")</f>
        <v>7</v>
      </c>
      <c r="P396" s="14" t="b">
        <f t="shared" si="6"/>
        <v>0</v>
      </c>
    </row>
    <row r="397">
      <c r="A397" s="13" t="s">
        <v>1570</v>
      </c>
      <c r="B397" s="9" t="str">
        <f t="shared" si="1"/>
        <v>Мт.</v>
      </c>
      <c r="C397" s="10" t="s">
        <v>1493</v>
      </c>
      <c r="D397" s="11" t="str">
        <f t="shared" si="2"/>
        <v>40</v>
      </c>
      <c r="E397" s="9"/>
      <c r="F397" s="13" t="s">
        <v>1571</v>
      </c>
      <c r="G397" s="14"/>
      <c r="H397" s="15" t="s">
        <v>70</v>
      </c>
      <c r="I397" s="16" t="s">
        <v>29</v>
      </c>
      <c r="J397" s="73">
        <v>4.0</v>
      </c>
      <c r="K397" s="54"/>
      <c r="L397" s="55">
        <v>1.0</v>
      </c>
      <c r="M397" s="18">
        <f>IFNA( VLOOKUP(LEFT(F397, IFERROR(FIND(" ", F397, 1),1) - 1), lists!$A$31:$B$37, 2, FALSE),"")</f>
        <v>1</v>
      </c>
      <c r="N397" s="18" t="str">
        <f>IFERROR(__xludf.DUMMYFUNCTION("IFNA(VLOOKUP(IFNA(REGEXEXTRACT(F397, ""(Пасхи|50-ці|посту)""),""""),lists!$A$39:$B$41,2,FALSE),"""")"),"")</f>
        <v/>
      </c>
      <c r="O397" s="19" t="str">
        <f>IFERROR(__xludf.DUMMYFUNCTION("IFNA(REGEXEXTRACT(F397, ""\d{1,2}""),"""")"),"4")</f>
        <v>4</v>
      </c>
      <c r="P397" s="14" t="b">
        <f t="shared" si="6"/>
        <v>0</v>
      </c>
    </row>
    <row r="398">
      <c r="A398" s="13" t="s">
        <v>1572</v>
      </c>
      <c r="B398" s="9" t="str">
        <f t="shared" si="1"/>
        <v>Мт.</v>
      </c>
      <c r="C398" s="10" t="s">
        <v>1493</v>
      </c>
      <c r="D398" s="11" t="str">
        <f t="shared" si="2"/>
        <v>41</v>
      </c>
      <c r="E398" s="9"/>
      <c r="F398" s="13" t="s">
        <v>908</v>
      </c>
      <c r="G398" s="14"/>
      <c r="H398" s="22"/>
      <c r="I398" s="16" t="s">
        <v>29</v>
      </c>
      <c r="J398" s="73">
        <v>4.0</v>
      </c>
      <c r="K398" s="54"/>
      <c r="L398" s="55">
        <v>2.0</v>
      </c>
      <c r="M398" s="18">
        <f>IFNA( VLOOKUP(LEFT(F398, IFERROR(FIND(" ", F398, 1),1) - 1), lists!$A$31:$B$37, 2, FALSE),"")</f>
        <v>2</v>
      </c>
      <c r="N398" s="18" t="str">
        <f>IFERROR(__xludf.DUMMYFUNCTION("IFNA(VLOOKUP(IFNA(REGEXEXTRACT(F398, ""(Пасхи|50-ці|посту)""),""""),lists!$A$39:$B$41,2,FALSE),"""")"),"")</f>
        <v/>
      </c>
      <c r="O398" s="19" t="str">
        <f>IFERROR(__xludf.DUMMYFUNCTION("IFNA(REGEXEXTRACT(F398, ""\d{1,2}""),"""")"),"4")</f>
        <v>4</v>
      </c>
      <c r="P398" s="14" t="b">
        <f t="shared" si="6"/>
        <v>0</v>
      </c>
    </row>
    <row r="399">
      <c r="A399" s="13" t="s">
        <v>1573</v>
      </c>
      <c r="B399" s="9" t="str">
        <f t="shared" si="1"/>
        <v>Мт.</v>
      </c>
      <c r="C399" s="10" t="s">
        <v>1493</v>
      </c>
      <c r="D399" s="11" t="str">
        <f t="shared" si="2"/>
        <v>42</v>
      </c>
      <c r="E399" s="9"/>
      <c r="F399" s="13" t="s">
        <v>910</v>
      </c>
      <c r="G399" s="14"/>
      <c r="H399" s="15"/>
      <c r="I399" s="16" t="s">
        <v>29</v>
      </c>
      <c r="J399" s="73">
        <v>4.0</v>
      </c>
      <c r="K399" s="54"/>
      <c r="L399" s="55">
        <v>3.0</v>
      </c>
      <c r="M399" s="18">
        <f>IFNA( VLOOKUP(LEFT(F399, IFERROR(FIND(" ", F399, 1),1) - 1), lists!$A$31:$B$37, 2, FALSE),"")</f>
        <v>3</v>
      </c>
      <c r="N399" s="18" t="str">
        <f>IFERROR(__xludf.DUMMYFUNCTION("IFNA(VLOOKUP(IFNA(REGEXEXTRACT(F399, ""(Пасхи|50-ці|посту)""),""""),lists!$A$39:$B$41,2,FALSE),"""")"),"")</f>
        <v/>
      </c>
      <c r="O399" s="19" t="str">
        <f>IFERROR(__xludf.DUMMYFUNCTION("IFNA(REGEXEXTRACT(F399, ""\d{1,2}""),"""")"),"4")</f>
        <v>4</v>
      </c>
      <c r="P399" s="14" t="b">
        <f t="shared" si="6"/>
        <v>0</v>
      </c>
    </row>
    <row r="400">
      <c r="A400" s="13" t="s">
        <v>1574</v>
      </c>
      <c r="B400" s="9" t="str">
        <f t="shared" si="1"/>
        <v>Мт.</v>
      </c>
      <c r="C400" s="10" t="s">
        <v>1493</v>
      </c>
      <c r="D400" s="11" t="str">
        <f t="shared" si="2"/>
        <v>43</v>
      </c>
      <c r="E400" s="9"/>
      <c r="F400" s="21" t="s">
        <v>1575</v>
      </c>
      <c r="G400" s="14"/>
      <c r="H400" s="22"/>
      <c r="I400" s="16" t="s">
        <v>29</v>
      </c>
      <c r="J400" s="73">
        <v>4.0</v>
      </c>
      <c r="K400" s="54"/>
      <c r="L400" s="55">
        <v>4.0</v>
      </c>
      <c r="M400" s="18">
        <f>IFNA( VLOOKUP(LEFT(F400, IFERROR(FIND(" ", F400, 1),1) - 1), lists!$A$31:$B$37, 2, FALSE),"")</f>
        <v>4</v>
      </c>
      <c r="N400" s="18" t="str">
        <f>IFERROR(__xludf.DUMMYFUNCTION("IFNA(VLOOKUP(IFNA(REGEXEXTRACT(F400, ""(Пасхи|50-ці|посту)""),""""),lists!$A$39:$B$41,2,FALSE),"""")"),"")</f>
        <v/>
      </c>
      <c r="O400" s="19" t="str">
        <f>IFERROR(__xludf.DUMMYFUNCTION("IFNA(REGEXEXTRACT(F400, ""\d{1,2}""),"""")"),"4")</f>
        <v>4</v>
      </c>
      <c r="P400" s="14" t="b">
        <f t="shared" si="6"/>
        <v>0</v>
      </c>
    </row>
    <row r="401">
      <c r="A401" s="13" t="s">
        <v>1576</v>
      </c>
      <c r="B401" s="9" t="str">
        <f t="shared" si="1"/>
        <v>Мт.</v>
      </c>
      <c r="C401" s="10" t="s">
        <v>1493</v>
      </c>
      <c r="D401" s="11" t="str">
        <f t="shared" si="2"/>
        <v>44</v>
      </c>
      <c r="E401" s="9"/>
      <c r="F401" s="13" t="s">
        <v>1577</v>
      </c>
      <c r="G401" s="14"/>
      <c r="H401" s="15"/>
      <c r="I401" s="16" t="s">
        <v>29</v>
      </c>
      <c r="J401" s="73">
        <v>4.0</v>
      </c>
      <c r="K401" s="54"/>
      <c r="L401" s="55">
        <v>5.0</v>
      </c>
      <c r="M401" s="18">
        <f>IFNA( VLOOKUP(LEFT(F401, IFERROR(FIND(" ", F401, 1),1) - 1), lists!$A$31:$B$37, 2, FALSE),"")</f>
        <v>5</v>
      </c>
      <c r="N401" s="18" t="str">
        <f>IFERROR(__xludf.DUMMYFUNCTION("IFNA(VLOOKUP(IFNA(REGEXEXTRACT(F401, ""(Пасхи|50-ці|посту)""),""""),lists!$A$39:$B$41,2,FALSE),"""")"),"")</f>
        <v/>
      </c>
      <c r="O401" s="19" t="str">
        <f>IFERROR(__xludf.DUMMYFUNCTION("IFNA(REGEXEXTRACT(F401, ""\d{1,2}""),"""")"),"4")</f>
        <v>4</v>
      </c>
      <c r="P401" s="14" t="b">
        <f t="shared" si="6"/>
        <v>0</v>
      </c>
    </row>
    <row r="402">
      <c r="A402" s="13" t="s">
        <v>1578</v>
      </c>
      <c r="B402" s="9" t="str">
        <f t="shared" si="1"/>
        <v>Мт.</v>
      </c>
      <c r="C402" s="10" t="s">
        <v>1493</v>
      </c>
      <c r="D402" s="11" t="str">
        <f t="shared" si="2"/>
        <v>45</v>
      </c>
      <c r="E402" s="9"/>
      <c r="F402" s="13" t="s">
        <v>923</v>
      </c>
      <c r="G402" s="14"/>
      <c r="H402" s="22"/>
      <c r="I402" s="16" t="s">
        <v>29</v>
      </c>
      <c r="J402" s="73">
        <v>5.0</v>
      </c>
      <c r="K402" s="54"/>
      <c r="L402" s="55">
        <v>1.0</v>
      </c>
      <c r="M402" s="18">
        <f>IFNA( VLOOKUP(LEFT(F402, IFERROR(FIND(" ", F402, 1),1) - 1), lists!$A$31:$B$37, 2, FALSE),"")</f>
        <v>1</v>
      </c>
      <c r="N402" s="18" t="str">
        <f>IFERROR(__xludf.DUMMYFUNCTION("IFNA(VLOOKUP(IFNA(REGEXEXTRACT(F402, ""(Пасхи|50-ці|посту)""),""""),lists!$A$39:$B$41,2,FALSE),"""")"),"")</f>
        <v/>
      </c>
      <c r="O402" s="19" t="str">
        <f>IFERROR(__xludf.DUMMYFUNCTION("IFNA(REGEXEXTRACT(F402, ""\d{1,2}""),"""")"),"5")</f>
        <v>5</v>
      </c>
      <c r="P402" s="14" t="b">
        <f t="shared" si="6"/>
        <v>0</v>
      </c>
    </row>
    <row r="403">
      <c r="A403" s="13" t="s">
        <v>1579</v>
      </c>
      <c r="B403" s="9" t="str">
        <f t="shared" si="1"/>
        <v>Мт.</v>
      </c>
      <c r="C403" s="10" t="s">
        <v>1493</v>
      </c>
      <c r="D403" s="11" t="str">
        <f t="shared" si="2"/>
        <v>46</v>
      </c>
      <c r="E403" s="12" t="s">
        <v>18</v>
      </c>
      <c r="F403" s="13" t="s">
        <v>925</v>
      </c>
      <c r="G403" s="14"/>
      <c r="H403" s="22"/>
      <c r="I403" s="16" t="s">
        <v>29</v>
      </c>
      <c r="J403" s="73">
        <v>5.0</v>
      </c>
      <c r="K403" s="54"/>
      <c r="L403" s="55">
        <v>2.0</v>
      </c>
      <c r="M403" s="18">
        <f>IFNA( VLOOKUP(LEFT(F403, IFERROR(FIND(" ", F403, 1),1) - 1), lists!$A$31:$B$37, 2, FALSE),"")</f>
        <v>2</v>
      </c>
      <c r="N403" s="18" t="str">
        <f>IFERROR(__xludf.DUMMYFUNCTION("IFNA(VLOOKUP(IFNA(REGEXEXTRACT(F403, ""(Пасхи|50-ці|посту)""),""""),lists!$A$39:$B$41,2,FALSE),"""")"),"")</f>
        <v/>
      </c>
      <c r="O403" s="19" t="str">
        <f>IFERROR(__xludf.DUMMYFUNCTION("IFNA(REGEXEXTRACT(F403, ""\d{1,2}""),"""")"),"5")</f>
        <v>5</v>
      </c>
      <c r="P403" s="14" t="b">
        <f t="shared" si="6"/>
        <v>0</v>
      </c>
    </row>
    <row r="404">
      <c r="A404" s="13" t="s">
        <v>1580</v>
      </c>
      <c r="B404" s="9" t="str">
        <f t="shared" si="1"/>
        <v>Мт.</v>
      </c>
      <c r="C404" s="10" t="s">
        <v>1493</v>
      </c>
      <c r="D404" s="11" t="str">
        <f t="shared" si="2"/>
        <v>46</v>
      </c>
      <c r="E404" s="12" t="s">
        <v>22</v>
      </c>
      <c r="F404" s="13" t="s">
        <v>724</v>
      </c>
      <c r="G404" s="14"/>
      <c r="H404" s="15" t="s">
        <v>70</v>
      </c>
      <c r="I404" s="16" t="s">
        <v>71</v>
      </c>
      <c r="J404" s="73" t="s">
        <v>71</v>
      </c>
      <c r="K404" s="54"/>
      <c r="L404" s="55">
        <v>6.0</v>
      </c>
      <c r="M404" s="18">
        <f>IFNA( VLOOKUP(LEFT(F404, IFERROR(FIND(" ", F404, 1),1) - 1), lists!$A$31:$B$37, 2, FALSE),"")</f>
        <v>6</v>
      </c>
      <c r="N404" s="18" t="str">
        <f>IFERROR(__xludf.DUMMYFUNCTION("IFNA(VLOOKUP(IFNA(REGEXEXTRACT(F404, ""(Пасхи|50-ці|посту)""),""""),lists!$A$39:$B$41,2,FALSE),"""")"),"")</f>
        <v/>
      </c>
      <c r="O404" s="19" t="str">
        <f>IFERROR(__xludf.DUMMYFUNCTION("IFNA(REGEXEXTRACT(F404, ""\d{1,2}""),"""")"),"")</f>
        <v/>
      </c>
      <c r="P404" s="14" t="b">
        <f t="shared" si="6"/>
        <v>0</v>
      </c>
    </row>
    <row r="405">
      <c r="A405" s="13" t="s">
        <v>1581</v>
      </c>
      <c r="B405" s="9" t="str">
        <f t="shared" si="1"/>
        <v>Мт.</v>
      </c>
      <c r="C405" s="10" t="s">
        <v>1493</v>
      </c>
      <c r="D405" s="11" t="str">
        <f t="shared" si="2"/>
        <v>47</v>
      </c>
      <c r="E405" s="9"/>
      <c r="F405" s="13" t="s">
        <v>1582</v>
      </c>
      <c r="G405" s="14"/>
      <c r="H405" s="22"/>
      <c r="I405" s="16" t="s">
        <v>29</v>
      </c>
      <c r="J405" s="73">
        <v>8.0</v>
      </c>
      <c r="K405" s="54"/>
      <c r="L405" s="55">
        <v>6.0</v>
      </c>
      <c r="M405" s="18">
        <f>IFNA( VLOOKUP(LEFT(F405, IFERROR(FIND(" ", F405, 1),1) - 1), lists!$A$31:$B$37, 2, FALSE),"")</f>
        <v>6</v>
      </c>
      <c r="N405" s="18" t="str">
        <f>IFERROR(__xludf.DUMMYFUNCTION("IFNA(VLOOKUP(IFNA(REGEXEXTRACT(F405, ""(Пасхи|50-ці|посту)""),""""),lists!$A$39:$B$41,2,FALSE),"""")"),"")</f>
        <v/>
      </c>
      <c r="O405" s="19" t="str">
        <f>IFERROR(__xludf.DUMMYFUNCTION("IFNA(REGEXEXTRACT(F405, ""\d{1,2}""),"""")"),"8")</f>
        <v>8</v>
      </c>
      <c r="P405" s="14" t="b">
        <f t="shared" si="6"/>
        <v>0</v>
      </c>
    </row>
    <row r="406">
      <c r="A406" s="13" t="s">
        <v>1583</v>
      </c>
      <c r="B406" s="9" t="str">
        <f t="shared" si="1"/>
        <v>Мт.</v>
      </c>
      <c r="C406" s="10" t="s">
        <v>1493</v>
      </c>
      <c r="D406" s="11" t="str">
        <f t="shared" si="2"/>
        <v>48</v>
      </c>
      <c r="E406" s="9"/>
      <c r="F406" s="13" t="s">
        <v>892</v>
      </c>
      <c r="G406" s="14"/>
      <c r="H406" s="22"/>
      <c r="I406" s="16" t="s">
        <v>29</v>
      </c>
      <c r="J406" s="73">
        <v>5.0</v>
      </c>
      <c r="K406" s="54"/>
      <c r="L406" s="55">
        <v>3.0</v>
      </c>
      <c r="M406" s="18">
        <f>IFNA( VLOOKUP(LEFT(F406, IFERROR(FIND(" ", F406, 1),1) - 1), lists!$A$31:$B$37, 2, FALSE),"")</f>
        <v>3</v>
      </c>
      <c r="N406" s="18" t="str">
        <f>IFERROR(__xludf.DUMMYFUNCTION("IFNA(VLOOKUP(IFNA(REGEXEXTRACT(F406, ""(Пасхи|50-ці|посту)""),""""),lists!$A$39:$B$41,2,FALSE),"""")"),"")</f>
        <v/>
      </c>
      <c r="O406" s="19" t="str">
        <f>IFERROR(__xludf.DUMMYFUNCTION("IFNA(REGEXEXTRACT(F406, ""\d{1,2}""),"""")"),"5")</f>
        <v>5</v>
      </c>
      <c r="P406" s="14" t="b">
        <f t="shared" si="6"/>
        <v>0</v>
      </c>
    </row>
    <row r="407">
      <c r="A407" s="13" t="s">
        <v>1584</v>
      </c>
      <c r="B407" s="9" t="str">
        <f t="shared" si="1"/>
        <v>Мт.</v>
      </c>
      <c r="C407" s="10" t="s">
        <v>1493</v>
      </c>
      <c r="D407" s="11" t="str">
        <f t="shared" si="2"/>
        <v>49</v>
      </c>
      <c r="E407" s="9"/>
      <c r="F407" s="13" t="s">
        <v>929</v>
      </c>
      <c r="G407" s="14"/>
      <c r="H407" s="15"/>
      <c r="I407" s="16" t="s">
        <v>29</v>
      </c>
      <c r="J407" s="73">
        <v>5.0</v>
      </c>
      <c r="K407" s="54"/>
      <c r="L407" s="55">
        <v>4.0</v>
      </c>
      <c r="M407" s="18">
        <f>IFNA( VLOOKUP(LEFT(F407, IFERROR(FIND(" ", F407, 1),1) - 1), lists!$A$31:$B$37, 2, FALSE),"")</f>
        <v>4</v>
      </c>
      <c r="N407" s="18" t="str">
        <f>IFERROR(__xludf.DUMMYFUNCTION("IFNA(VLOOKUP(IFNA(REGEXEXTRACT(F407, ""(Пасхи|50-ці|посту)""),""""),lists!$A$39:$B$41,2,FALSE),"""")"),"")</f>
        <v/>
      </c>
      <c r="O407" s="19" t="str">
        <f>IFERROR(__xludf.DUMMYFUNCTION("IFNA(REGEXEXTRACT(F407, ""\d{1,2}""),"""")"),"5")</f>
        <v>5</v>
      </c>
      <c r="P407" s="14" t="b">
        <f t="shared" si="6"/>
        <v>0</v>
      </c>
    </row>
    <row r="408">
      <c r="A408" s="13" t="s">
        <v>1585</v>
      </c>
      <c r="B408" s="9" t="str">
        <f t="shared" si="1"/>
        <v>Мт.</v>
      </c>
      <c r="C408" s="10" t="s">
        <v>1493</v>
      </c>
      <c r="D408" s="11" t="str">
        <f t="shared" si="2"/>
        <v>50</v>
      </c>
      <c r="E408" s="9"/>
      <c r="F408" s="13" t="s">
        <v>935</v>
      </c>
      <c r="G408" s="14"/>
      <c r="H408" s="22"/>
      <c r="I408" s="16" t="s">
        <v>29</v>
      </c>
      <c r="J408" s="73">
        <v>5.0</v>
      </c>
      <c r="K408" s="54"/>
      <c r="L408" s="55">
        <v>5.0</v>
      </c>
      <c r="M408" s="18">
        <f>IFNA( VLOOKUP(LEFT(F408, IFERROR(FIND(" ", F408, 1),1) - 1), lists!$A$31:$B$37, 2, FALSE),"")</f>
        <v>5</v>
      </c>
      <c r="N408" s="18" t="str">
        <f>IFERROR(__xludf.DUMMYFUNCTION("IFNA(VLOOKUP(IFNA(REGEXEXTRACT(F408, ""(Пасхи|50-ці|посту)""),""""),lists!$A$39:$B$41,2,FALSE),"""")"),"")</f>
        <v/>
      </c>
      <c r="O408" s="19" t="str">
        <f>IFERROR(__xludf.DUMMYFUNCTION("IFNA(REGEXEXTRACT(F408, ""\d{1,2}""),"""")"),"5")</f>
        <v>5</v>
      </c>
      <c r="P408" s="14" t="b">
        <f t="shared" si="6"/>
        <v>0</v>
      </c>
    </row>
    <row r="409">
      <c r="A409" s="13" t="s">
        <v>1586</v>
      </c>
      <c r="B409" s="9" t="str">
        <f t="shared" si="1"/>
        <v>Мт.</v>
      </c>
      <c r="C409" s="10" t="s">
        <v>1493</v>
      </c>
      <c r="D409" s="11" t="str">
        <f t="shared" si="2"/>
        <v>51</v>
      </c>
      <c r="E409" s="9"/>
      <c r="F409" s="13" t="s">
        <v>944</v>
      </c>
      <c r="G409" s="14"/>
      <c r="H409" s="22"/>
      <c r="I409" s="16" t="s">
        <v>29</v>
      </c>
      <c r="J409" s="73">
        <v>6.0</v>
      </c>
      <c r="K409" s="54"/>
      <c r="L409" s="55">
        <v>1.0</v>
      </c>
      <c r="M409" s="18">
        <f>IFNA( VLOOKUP(LEFT(F409, IFERROR(FIND(" ", F409, 1),1) - 1), lists!$A$31:$B$37, 2, FALSE),"")</f>
        <v>1</v>
      </c>
      <c r="N409" s="18" t="str">
        <f>IFERROR(__xludf.DUMMYFUNCTION("IFNA(VLOOKUP(IFNA(REGEXEXTRACT(F409, ""(Пасхи|50-ці|посту)""),""""),lists!$A$39:$B$41,2,FALSE),"""")"),"")</f>
        <v/>
      </c>
      <c r="O409" s="19" t="str">
        <f>IFERROR(__xludf.DUMMYFUNCTION("IFNA(REGEXEXTRACT(F409, ""\d{1,2}""),"""")"),"6")</f>
        <v>6</v>
      </c>
      <c r="P409" s="14" t="b">
        <f t="shared" si="6"/>
        <v>0</v>
      </c>
    </row>
    <row r="410">
      <c r="A410" s="13" t="s">
        <v>1587</v>
      </c>
      <c r="B410" s="9" t="str">
        <f t="shared" si="1"/>
        <v>Мт.</v>
      </c>
      <c r="C410" s="10" t="s">
        <v>1493</v>
      </c>
      <c r="D410" s="11" t="str">
        <f t="shared" si="2"/>
        <v>52</v>
      </c>
      <c r="E410" s="80" t="s">
        <v>22</v>
      </c>
      <c r="F410" s="13" t="s">
        <v>1588</v>
      </c>
      <c r="G410" s="14"/>
      <c r="H410" s="15" t="s">
        <v>70</v>
      </c>
      <c r="I410" s="16" t="s">
        <v>71</v>
      </c>
      <c r="J410" s="73" t="s">
        <v>71</v>
      </c>
      <c r="K410" s="54"/>
      <c r="L410" s="55" t="s">
        <v>71</v>
      </c>
      <c r="M410" s="18" t="str">
        <f>IFNA( VLOOKUP(LEFT(F410, IFERROR(FIND(" ", F410, 1),1) - 1), lists!$A$31:$B$37, 2, FALSE),"")</f>
        <v/>
      </c>
      <c r="N410" s="18" t="str">
        <f>IFERROR(__xludf.DUMMYFUNCTION("IFNA(VLOOKUP(IFNA(REGEXEXTRACT(F410, ""(Пасхи|50-ці|посту)""),""""),lists!$A$39:$B$41,2,FALSE),"""")"),"")</f>
        <v/>
      </c>
      <c r="O410" s="19" t="str">
        <f>IFERROR(__xludf.DUMMYFUNCTION("IFNA(REGEXEXTRACT(F410, ""\d{1,2}""),"""")"),"")</f>
        <v/>
      </c>
      <c r="P410" s="14" t="b">
        <f t="shared" si="6"/>
        <v>0</v>
      </c>
    </row>
    <row r="411">
      <c r="A411" s="13" t="s">
        <v>1589</v>
      </c>
      <c r="B411" s="9" t="str">
        <f t="shared" si="1"/>
        <v>Мт.</v>
      </c>
      <c r="C411" s="10" t="s">
        <v>1493</v>
      </c>
      <c r="D411" s="11" t="str">
        <f t="shared" si="2"/>
        <v>52</v>
      </c>
      <c r="E411" s="80" t="s">
        <v>18</v>
      </c>
      <c r="F411" s="13" t="s">
        <v>950</v>
      </c>
      <c r="G411" s="14"/>
      <c r="H411" s="15"/>
      <c r="I411" s="16" t="s">
        <v>29</v>
      </c>
      <c r="J411" s="73">
        <v>6.0</v>
      </c>
      <c r="K411" s="54"/>
      <c r="L411" s="55">
        <v>2.0</v>
      </c>
      <c r="M411" s="18">
        <f>IFNA( VLOOKUP(LEFT(F411, IFERROR(FIND(" ", F411, 1),1) - 1), lists!$A$31:$B$37, 2, FALSE),"")</f>
        <v>2</v>
      </c>
      <c r="N411" s="18" t="str">
        <f>IFERROR(__xludf.DUMMYFUNCTION("IFNA(VLOOKUP(IFNA(REGEXEXTRACT(F411, ""(Пасхи|50-ці|посту)""),""""),lists!$A$39:$B$41,2,FALSE),"""")"),"")</f>
        <v/>
      </c>
      <c r="O411" s="19" t="str">
        <f>IFERROR(__xludf.DUMMYFUNCTION("IFNA(REGEXEXTRACT(F411, ""\d{1,2}""),"""")"),"6")</f>
        <v>6</v>
      </c>
      <c r="P411" s="14" t="b">
        <f t="shared" si="6"/>
        <v>0</v>
      </c>
    </row>
    <row r="412">
      <c r="A412" s="13" t="s">
        <v>1590</v>
      </c>
      <c r="B412" s="9" t="str">
        <f t="shared" si="1"/>
        <v>Мт.</v>
      </c>
      <c r="C412" s="10" t="s">
        <v>1493</v>
      </c>
      <c r="D412" s="11" t="str">
        <f t="shared" si="2"/>
        <v>53</v>
      </c>
      <c r="E412" s="9"/>
      <c r="F412" s="13" t="s">
        <v>954</v>
      </c>
      <c r="G412" s="14"/>
      <c r="H412" s="15"/>
      <c r="I412" s="16" t="s">
        <v>29</v>
      </c>
      <c r="J412" s="73">
        <v>6.0</v>
      </c>
      <c r="K412" s="54"/>
      <c r="L412" s="55">
        <v>3.0</v>
      </c>
      <c r="M412" s="18">
        <f>IFNA( VLOOKUP(LEFT(F412, IFERROR(FIND(" ", F412, 1),1) - 1), lists!$A$31:$B$37, 2, FALSE),"")</f>
        <v>3</v>
      </c>
      <c r="N412" s="18" t="str">
        <f>IFERROR(__xludf.DUMMYFUNCTION("IFNA(VLOOKUP(IFNA(REGEXEXTRACT(F412, ""(Пасхи|50-ці|посту)""),""""),lists!$A$39:$B$41,2,FALSE),"""")"),"")</f>
        <v/>
      </c>
      <c r="O412" s="19" t="str">
        <f>IFERROR(__xludf.DUMMYFUNCTION("IFNA(REGEXEXTRACT(F412, ""\d{1,2}""),"""")"),"6")</f>
        <v>6</v>
      </c>
      <c r="P412" s="14" t="b">
        <f t="shared" si="6"/>
        <v>0</v>
      </c>
    </row>
    <row r="413">
      <c r="A413" s="13" t="s">
        <v>1591</v>
      </c>
      <c r="B413" s="9" t="str">
        <f t="shared" si="1"/>
        <v>Мт.</v>
      </c>
      <c r="C413" s="10" t="s">
        <v>1493</v>
      </c>
      <c r="D413" s="11" t="str">
        <f t="shared" si="2"/>
        <v>54</v>
      </c>
      <c r="E413" s="9"/>
      <c r="F413" s="13" t="s">
        <v>1592</v>
      </c>
      <c r="G413" s="14"/>
      <c r="H413" s="22"/>
      <c r="I413" s="16" t="s">
        <v>29</v>
      </c>
      <c r="J413" s="73">
        <v>6.0</v>
      </c>
      <c r="K413" s="55"/>
      <c r="L413" s="55">
        <v>4.0</v>
      </c>
      <c r="M413" s="18">
        <f>IFNA( VLOOKUP(LEFT(F413, IFERROR(FIND(" ", F413, 1),1) - 1), lists!$A$31:$B$37, 2, FALSE),"")</f>
        <v>4</v>
      </c>
      <c r="N413" s="18" t="str">
        <f>IFERROR(__xludf.DUMMYFUNCTION("IFNA(VLOOKUP(IFNA(REGEXEXTRACT(F413, ""(Пасхи|50-ці|посту)""),""""),lists!$A$39:$B$41,2,FALSE),"""")"),"")</f>
        <v/>
      </c>
      <c r="O413" s="19" t="str">
        <f>IFERROR(__xludf.DUMMYFUNCTION("IFNA(REGEXEXTRACT(F413, ""\d{1,2}""),"""")"),"6")</f>
        <v>6</v>
      </c>
      <c r="P413" s="14" t="b">
        <f t="shared" si="6"/>
        <v>0</v>
      </c>
    </row>
    <row r="414">
      <c r="A414" s="13" t="s">
        <v>1593</v>
      </c>
      <c r="B414" s="9" t="str">
        <f t="shared" si="1"/>
        <v>Мт.</v>
      </c>
      <c r="C414" s="10" t="s">
        <v>1493</v>
      </c>
      <c r="D414" s="11" t="str">
        <f t="shared" si="2"/>
        <v>55</v>
      </c>
      <c r="E414" s="9"/>
      <c r="F414" s="13" t="s">
        <v>1594</v>
      </c>
      <c r="G414" s="14"/>
      <c r="H414" s="15" t="s">
        <v>70</v>
      </c>
      <c r="I414" s="16" t="s">
        <v>29</v>
      </c>
      <c r="J414" s="73">
        <v>6.0</v>
      </c>
      <c r="K414" s="54"/>
      <c r="L414" s="55">
        <v>5.0</v>
      </c>
      <c r="M414" s="18">
        <f>IFNA( VLOOKUP(LEFT(F414, IFERROR(FIND(" ", F414, 1),1) - 1), lists!$A$31:$B$37, 2, FALSE),"")</f>
        <v>5</v>
      </c>
      <c r="N414" s="18" t="str">
        <f>IFERROR(__xludf.DUMMYFUNCTION("IFNA(VLOOKUP(IFNA(REGEXEXTRACT(F414, ""(Пасхи|50-ці|посту)""),""""),lists!$A$39:$B$41,2,FALSE),"""")"),"")</f>
        <v/>
      </c>
      <c r="O414" s="19" t="str">
        <f>IFERROR(__xludf.DUMMYFUNCTION("IFNA(REGEXEXTRACT(F414, ""\d{1,2}""),"""")"),"6")</f>
        <v>6</v>
      </c>
      <c r="P414" s="14" t="b">
        <f t="shared" si="6"/>
        <v>0</v>
      </c>
    </row>
    <row r="415">
      <c r="A415" s="13" t="s">
        <v>1595</v>
      </c>
      <c r="B415" s="9" t="str">
        <f t="shared" si="1"/>
        <v>Мт.</v>
      </c>
      <c r="C415" s="10" t="s">
        <v>1493</v>
      </c>
      <c r="D415" s="11" t="str">
        <f t="shared" si="2"/>
        <v>56</v>
      </c>
      <c r="E415" s="9"/>
      <c r="F415" s="21" t="s">
        <v>1596</v>
      </c>
      <c r="G415" s="9" t="s">
        <v>1597</v>
      </c>
      <c r="H415" s="22"/>
      <c r="I415" s="16" t="s">
        <v>29</v>
      </c>
      <c r="J415" s="73">
        <v>7.0</v>
      </c>
      <c r="K415" s="55"/>
      <c r="L415" s="55">
        <v>1.0</v>
      </c>
      <c r="M415" s="18">
        <f>IFNA( VLOOKUP(LEFT(F415, IFERROR(FIND(" ", F415, 1),1) - 1), lists!$A$31:$B$37, 2, FALSE),"")</f>
        <v>1</v>
      </c>
      <c r="N415" s="18" t="str">
        <f>IFERROR(__xludf.DUMMYFUNCTION("IFNA(VLOOKUP(IFNA(REGEXEXTRACT(F415, ""(Пасхи|50-ці|посту)""),""""),lists!$A$39:$B$41,2,FALSE),"""")"),"")</f>
        <v/>
      </c>
      <c r="O415" s="19" t="str">
        <f>IFERROR(__xludf.DUMMYFUNCTION("IFNA(REGEXEXTRACT(F415, ""\d{1,2}""),"""")"),"7")</f>
        <v>7</v>
      </c>
      <c r="P415" s="14" t="b">
        <f t="shared" si="6"/>
        <v>0</v>
      </c>
    </row>
    <row r="416">
      <c r="A416" s="13" t="s">
        <v>1598</v>
      </c>
      <c r="B416" s="9" t="str">
        <f t="shared" si="1"/>
        <v>Мт.</v>
      </c>
      <c r="C416" s="10" t="s">
        <v>1493</v>
      </c>
      <c r="D416" s="11" t="str">
        <f t="shared" si="2"/>
        <v>57</v>
      </c>
      <c r="E416" s="9"/>
      <c r="F416" s="13" t="s">
        <v>1599</v>
      </c>
      <c r="G416" s="9" t="s">
        <v>1600</v>
      </c>
      <c r="H416" s="15" t="s">
        <v>70</v>
      </c>
      <c r="I416" s="16" t="s">
        <v>29</v>
      </c>
      <c r="J416" s="73">
        <v>7.0</v>
      </c>
      <c r="K416" s="55"/>
      <c r="L416" s="55">
        <v>2.0</v>
      </c>
      <c r="M416" s="18">
        <f>IFNA( VLOOKUP(LEFT(F416, IFERROR(FIND(" ", F416, 1),1) - 1), lists!$A$31:$B$37, 2, FALSE),"")</f>
        <v>2</v>
      </c>
      <c r="N416" s="18" t="str">
        <f>IFERROR(__xludf.DUMMYFUNCTION("IFNA(VLOOKUP(IFNA(REGEXEXTRACT(F416, ""(Пасхи|50-ці|посту)""),""""),lists!$A$39:$B$41,2,FALSE),"""")"),"")</f>
        <v/>
      </c>
      <c r="O416" s="19" t="str">
        <f>IFERROR(__xludf.DUMMYFUNCTION("IFNA(REGEXEXTRACT(F416, ""\d{1,2}""),"""")"),"7")</f>
        <v>7</v>
      </c>
      <c r="P416" s="14" t="b">
        <f t="shared" si="6"/>
        <v>0</v>
      </c>
    </row>
    <row r="417">
      <c r="A417" s="13" t="s">
        <v>1601</v>
      </c>
      <c r="B417" s="9" t="str">
        <f t="shared" si="1"/>
        <v>Мт.</v>
      </c>
      <c r="C417" s="10" t="s">
        <v>1493</v>
      </c>
      <c r="D417" s="11" t="str">
        <f t="shared" si="2"/>
        <v>58</v>
      </c>
      <c r="E417" s="9"/>
      <c r="F417" s="13" t="s">
        <v>1602</v>
      </c>
      <c r="G417" s="14"/>
      <c r="H417" s="22"/>
      <c r="I417" s="16" t="s">
        <v>29</v>
      </c>
      <c r="J417" s="73">
        <v>8.0</v>
      </c>
      <c r="K417" s="54"/>
      <c r="L417" s="55">
        <v>7.0</v>
      </c>
      <c r="M417" s="18">
        <f>IFNA( VLOOKUP(LEFT(F417, IFERROR(FIND(" ", F417, 1),1) - 1), lists!$A$31:$B$37, 2, FALSE),"")</f>
        <v>7</v>
      </c>
      <c r="N417" s="18" t="str">
        <f>IFERROR(__xludf.DUMMYFUNCTION("IFNA(VLOOKUP(IFNA(REGEXEXTRACT(F417, ""(Пасхи|50-ці|посту)""),""""),lists!$A$39:$B$41,2,FALSE),"""")"),"")</f>
        <v/>
      </c>
      <c r="O417" s="19" t="str">
        <f>IFERROR(__xludf.DUMMYFUNCTION("IFNA(REGEXEXTRACT(F417, ""\d{1,2}""),"""")"),"8")</f>
        <v>8</v>
      </c>
      <c r="P417" s="14" t="b">
        <f t="shared" si="6"/>
        <v>0</v>
      </c>
    </row>
    <row r="418">
      <c r="A418" s="13" t="s">
        <v>1603</v>
      </c>
      <c r="B418" s="9" t="str">
        <f t="shared" si="1"/>
        <v>Мт.</v>
      </c>
      <c r="C418" s="10" t="s">
        <v>1493</v>
      </c>
      <c r="D418" s="11" t="str">
        <f t="shared" si="2"/>
        <v>59</v>
      </c>
      <c r="E418" s="9"/>
      <c r="F418" s="13" t="s">
        <v>1604</v>
      </c>
      <c r="G418" s="14"/>
      <c r="H418" s="15"/>
      <c r="I418" s="16" t="s">
        <v>29</v>
      </c>
      <c r="J418" s="73">
        <v>9.0</v>
      </c>
      <c r="K418" s="54"/>
      <c r="L418" s="55">
        <v>7.0</v>
      </c>
      <c r="M418" s="18">
        <f>IFNA( VLOOKUP(LEFT(F418, IFERROR(FIND(" ", F418, 1),1) - 1), lists!$A$31:$B$37, 2, FALSE),"")</f>
        <v>7</v>
      </c>
      <c r="N418" s="18" t="str">
        <f>IFERROR(__xludf.DUMMYFUNCTION("IFNA(VLOOKUP(IFNA(REGEXEXTRACT(F418, ""(Пасхи|50-ці|посту)""),""""),lists!$A$39:$B$41,2,FALSE),"""")"),"")</f>
        <v/>
      </c>
      <c r="O418" s="19" t="str">
        <f>IFERROR(__xludf.DUMMYFUNCTION("IFNA(REGEXEXTRACT(F418, ""\d{1,2}""),"""")"),"9")</f>
        <v>9</v>
      </c>
      <c r="P418" s="14" t="b">
        <f t="shared" si="6"/>
        <v>0</v>
      </c>
    </row>
    <row r="419">
      <c r="A419" s="13" t="s">
        <v>1605</v>
      </c>
      <c r="B419" s="9" t="str">
        <f t="shared" si="1"/>
        <v>Мт.</v>
      </c>
      <c r="C419" s="10" t="s">
        <v>1493</v>
      </c>
      <c r="D419" s="11" t="str">
        <f t="shared" si="2"/>
        <v>60</v>
      </c>
      <c r="E419" s="9"/>
      <c r="F419" s="13" t="s">
        <v>980</v>
      </c>
      <c r="G419" s="14"/>
      <c r="H419" s="22"/>
      <c r="I419" s="16" t="s">
        <v>29</v>
      </c>
      <c r="J419" s="73">
        <v>7.0</v>
      </c>
      <c r="K419" s="54"/>
      <c r="L419" s="55">
        <v>3.0</v>
      </c>
      <c r="M419" s="18">
        <f>IFNA( VLOOKUP(LEFT(F419, IFERROR(FIND(" ", F419, 1),1) - 1), lists!$A$31:$B$37, 2, FALSE),"")</f>
        <v>3</v>
      </c>
      <c r="N419" s="18" t="str">
        <f>IFERROR(__xludf.DUMMYFUNCTION("IFNA(VLOOKUP(IFNA(REGEXEXTRACT(F419, ""(Пасхи|50-ці|посту)""),""""),lists!$A$39:$B$41,2,FALSE),"""")"),"")</f>
        <v/>
      </c>
      <c r="O419" s="19" t="str">
        <f>IFERROR(__xludf.DUMMYFUNCTION("IFNA(REGEXEXTRACT(F419, ""\d{1,2}""),"""")"),"7")</f>
        <v>7</v>
      </c>
      <c r="P419" s="14" t="b">
        <f t="shared" si="6"/>
        <v>0</v>
      </c>
    </row>
    <row r="420">
      <c r="A420" s="13" t="s">
        <v>1606</v>
      </c>
      <c r="B420" s="9" t="str">
        <f t="shared" si="1"/>
        <v>Мт.</v>
      </c>
      <c r="C420" s="10" t="s">
        <v>1493</v>
      </c>
      <c r="D420" s="11" t="str">
        <f t="shared" si="2"/>
        <v>61</v>
      </c>
      <c r="E420" s="9"/>
      <c r="F420" s="13" t="s">
        <v>982</v>
      </c>
      <c r="G420" s="14"/>
      <c r="H420" s="22"/>
      <c r="I420" s="16" t="s">
        <v>29</v>
      </c>
      <c r="J420" s="73">
        <v>7.0</v>
      </c>
      <c r="K420" s="54"/>
      <c r="L420" s="55">
        <v>4.0</v>
      </c>
      <c r="M420" s="18">
        <f>IFNA( VLOOKUP(LEFT(F420, IFERROR(FIND(" ", F420, 1),1) - 1), lists!$A$31:$B$37, 2, FALSE),"")</f>
        <v>4</v>
      </c>
      <c r="N420" s="18" t="str">
        <f>IFERROR(__xludf.DUMMYFUNCTION("IFNA(VLOOKUP(IFNA(REGEXEXTRACT(F420, ""(Пасхи|50-ці|посту)""),""""),lists!$A$39:$B$41,2,FALSE),"""")"),"")</f>
        <v/>
      </c>
      <c r="O420" s="19" t="str">
        <f>IFERROR(__xludf.DUMMYFUNCTION("IFNA(REGEXEXTRACT(F420, ""\d{1,2}""),"""")"),"7")</f>
        <v>7</v>
      </c>
      <c r="P420" s="14" t="b">
        <f t="shared" si="6"/>
        <v>0</v>
      </c>
    </row>
    <row r="421">
      <c r="A421" s="13" t="s">
        <v>1607</v>
      </c>
      <c r="B421" s="9" t="str">
        <f t="shared" si="1"/>
        <v>Мт.</v>
      </c>
      <c r="C421" s="10" t="s">
        <v>1493</v>
      </c>
      <c r="D421" s="11" t="str">
        <f t="shared" si="2"/>
        <v>62</v>
      </c>
      <c r="E421" s="9"/>
      <c r="F421" s="13" t="s">
        <v>1608</v>
      </c>
      <c r="G421" s="14"/>
      <c r="H421" s="15"/>
      <c r="I421" s="16" t="s">
        <v>29</v>
      </c>
      <c r="J421" s="73">
        <v>17.0</v>
      </c>
      <c r="K421" s="54"/>
      <c r="L421" s="55">
        <v>7.0</v>
      </c>
      <c r="M421" s="18">
        <f>IFNA( VLOOKUP(LEFT(F421, IFERROR(FIND(" ", F421, 1),1) - 1), lists!$A$31:$B$37, 2, FALSE),"")</f>
        <v>7</v>
      </c>
      <c r="N421" s="18" t="str">
        <f>IFERROR(__xludf.DUMMYFUNCTION("IFNA(VLOOKUP(IFNA(REGEXEXTRACT(F421, ""(Пасхи|50-ці|посту)""),""""),lists!$A$39:$B$41,2,FALSE),"""")"),"")</f>
        <v/>
      </c>
      <c r="O421" s="19" t="str">
        <f>IFERROR(__xludf.DUMMYFUNCTION("IFNA(REGEXEXTRACT(F421, ""\d{1,2}""),"""")"),"17")</f>
        <v>17</v>
      </c>
      <c r="P421" s="14" t="b">
        <f t="shared" si="6"/>
        <v>0</v>
      </c>
    </row>
    <row r="422">
      <c r="A422" s="13" t="s">
        <v>1609</v>
      </c>
      <c r="B422" s="9" t="str">
        <f t="shared" si="1"/>
        <v>Мт.</v>
      </c>
      <c r="C422" s="10" t="s">
        <v>1493</v>
      </c>
      <c r="D422" s="11" t="str">
        <f t="shared" si="2"/>
        <v>63</v>
      </c>
      <c r="E422" s="9"/>
      <c r="F422" s="13" t="s">
        <v>986</v>
      </c>
      <c r="G422" s="14"/>
      <c r="H422" s="22"/>
      <c r="I422" s="16" t="s">
        <v>29</v>
      </c>
      <c r="J422" s="73">
        <v>7.0</v>
      </c>
      <c r="K422" s="54"/>
      <c r="L422" s="55">
        <v>5.0</v>
      </c>
      <c r="M422" s="18">
        <f>IFNA( VLOOKUP(LEFT(F422, IFERROR(FIND(" ", F422, 1),1) - 1), lists!$A$31:$B$37, 2, FALSE),"")</f>
        <v>5</v>
      </c>
      <c r="N422" s="18" t="str">
        <f>IFERROR(__xludf.DUMMYFUNCTION("IFNA(VLOOKUP(IFNA(REGEXEXTRACT(F422, ""(Пасхи|50-ці|посту)""),""""),lists!$A$39:$B$41,2,FALSE),"""")"),"")</f>
        <v/>
      </c>
      <c r="O422" s="19" t="str">
        <f>IFERROR(__xludf.DUMMYFUNCTION("IFNA(REGEXEXTRACT(F422, ""\d{1,2}""),"""")"),"7")</f>
        <v>7</v>
      </c>
      <c r="P422" s="14" t="b">
        <f t="shared" si="6"/>
        <v>0</v>
      </c>
    </row>
    <row r="423">
      <c r="A423" s="13" t="s">
        <v>1610</v>
      </c>
      <c r="B423" s="9" t="str">
        <f t="shared" si="1"/>
        <v>Мт.</v>
      </c>
      <c r="C423" s="10" t="s">
        <v>1493</v>
      </c>
      <c r="D423" s="11" t="str">
        <f t="shared" si="2"/>
        <v>64</v>
      </c>
      <c r="E423" s="9"/>
      <c r="F423" s="13" t="s">
        <v>1611</v>
      </c>
      <c r="G423" s="14"/>
      <c r="H423" s="15"/>
      <c r="I423" s="16" t="s">
        <v>29</v>
      </c>
      <c r="J423" s="73">
        <v>9.0</v>
      </c>
      <c r="K423" s="54"/>
      <c r="L423" s="55">
        <v>6.0</v>
      </c>
      <c r="M423" s="18">
        <f>IFNA( VLOOKUP(LEFT(F423, IFERROR(FIND(" ", F423, 1),1) - 1), lists!$A$31:$B$37, 2, FALSE),"")</f>
        <v>6</v>
      </c>
      <c r="N423" s="18" t="str">
        <f>IFERROR(__xludf.DUMMYFUNCTION("IFNA(VLOOKUP(IFNA(REGEXEXTRACT(F423, ""(Пасхи|50-ці|посту)""),""""),lists!$A$39:$B$41,2,FALSE),"""")"),"")</f>
        <v/>
      </c>
      <c r="O423" s="19" t="str">
        <f>IFERROR(__xludf.DUMMYFUNCTION("IFNA(REGEXEXTRACT(F423, ""\d{1,2}""),"""")"),"9")</f>
        <v>9</v>
      </c>
      <c r="P423" s="14" t="b">
        <f t="shared" si="6"/>
        <v>0</v>
      </c>
    </row>
    <row r="424">
      <c r="A424" s="13" t="s">
        <v>1612</v>
      </c>
      <c r="B424" s="9" t="str">
        <f t="shared" si="1"/>
        <v>Мт.</v>
      </c>
      <c r="C424" s="10" t="s">
        <v>1493</v>
      </c>
      <c r="D424" s="11" t="str">
        <f t="shared" si="2"/>
        <v>65</v>
      </c>
      <c r="E424" s="9"/>
      <c r="F424" s="13" t="s">
        <v>1613</v>
      </c>
      <c r="G424" s="14"/>
      <c r="H424" s="15"/>
      <c r="I424" s="16" t="s">
        <v>29</v>
      </c>
      <c r="J424" s="73">
        <v>8.0</v>
      </c>
      <c r="K424" s="54"/>
      <c r="L424" s="55">
        <v>1.0</v>
      </c>
      <c r="M424" s="18">
        <f>IFNA( VLOOKUP(LEFT(F424, IFERROR(FIND(" ", F424, 1),1) - 1), lists!$A$31:$B$37, 2, FALSE),"")</f>
        <v>1</v>
      </c>
      <c r="N424" s="18" t="str">
        <f>IFERROR(__xludf.DUMMYFUNCTION("IFNA(VLOOKUP(IFNA(REGEXEXTRACT(F424, ""(Пасхи|50-ці|посту)""),""""),lists!$A$39:$B$41,2,FALSE),"""")"),"")</f>
        <v/>
      </c>
      <c r="O424" s="19" t="str">
        <f>IFERROR(__xludf.DUMMYFUNCTION("IFNA(REGEXEXTRACT(F424, ""\d{1,2}""),"""")"),"8")</f>
        <v>8</v>
      </c>
      <c r="P424" s="14" t="b">
        <f t="shared" si="6"/>
        <v>0</v>
      </c>
    </row>
    <row r="425">
      <c r="A425" s="13" t="s">
        <v>1614</v>
      </c>
      <c r="B425" s="9" t="str">
        <f t="shared" si="1"/>
        <v>Мт.</v>
      </c>
      <c r="C425" s="10" t="s">
        <v>1493</v>
      </c>
      <c r="D425" s="11" t="str">
        <f t="shared" si="2"/>
        <v>66</v>
      </c>
      <c r="E425" s="9"/>
      <c r="F425" s="21" t="s">
        <v>1615</v>
      </c>
      <c r="G425" s="14"/>
      <c r="H425" s="15"/>
      <c r="I425" s="16" t="s">
        <v>29</v>
      </c>
      <c r="J425" s="73">
        <v>8.0</v>
      </c>
      <c r="K425" s="54"/>
      <c r="L425" s="55">
        <v>2.0</v>
      </c>
      <c r="M425" s="18">
        <f>IFNA( VLOOKUP(LEFT(F425, IFERROR(FIND(" ", F425, 1),1) - 1), lists!$A$31:$B$37, 2, FALSE),"")</f>
        <v>2</v>
      </c>
      <c r="N425" s="18" t="str">
        <f>IFERROR(__xludf.DUMMYFUNCTION("IFNA(VLOOKUP(IFNA(REGEXEXTRACT(F425, ""(Пасхи|50-ці|посту)""),""""),lists!$A$39:$B$41,2,FALSE),"""")"),"")</f>
        <v/>
      </c>
      <c r="O425" s="19" t="str">
        <f>IFERROR(__xludf.DUMMYFUNCTION("IFNA(REGEXEXTRACT(F425, ""\d{1,2}""),"""")"),"8")</f>
        <v>8</v>
      </c>
      <c r="P425" s="14" t="b">
        <f t="shared" si="6"/>
        <v>0</v>
      </c>
    </row>
    <row r="426">
      <c r="A426" s="13" t="s">
        <v>1616</v>
      </c>
      <c r="B426" s="9" t="str">
        <f t="shared" si="1"/>
        <v>Мт.</v>
      </c>
      <c r="C426" s="10" t="s">
        <v>1493</v>
      </c>
      <c r="D426" s="11" t="str">
        <f t="shared" si="2"/>
        <v>67</v>
      </c>
      <c r="E426" s="12" t="s">
        <v>18</v>
      </c>
      <c r="F426" s="21" t="s">
        <v>1617</v>
      </c>
      <c r="G426" s="14"/>
      <c r="H426" s="15" t="s">
        <v>70</v>
      </c>
      <c r="I426" s="16" t="s">
        <v>71</v>
      </c>
      <c r="J426" s="73">
        <v>29.0</v>
      </c>
      <c r="K426" s="54"/>
      <c r="L426" s="55" t="s">
        <v>71</v>
      </c>
      <c r="M426" s="18" t="str">
        <f>IFNA( VLOOKUP(LEFT(F426, IFERROR(FIND(" ", F426, 1),1) - 1), lists!$A$31:$B$37, 2, FALSE),"")</f>
        <v/>
      </c>
      <c r="N426" s="18" t="str">
        <f>IFERROR(__xludf.DUMMYFUNCTION("IFNA(VLOOKUP(IFNA(REGEXEXTRACT(F426, ""(Пасхи|50-ці|посту)""),""""),lists!$A$39:$B$41,2,FALSE),"""")"),"")</f>
        <v/>
      </c>
      <c r="O426" s="19" t="str">
        <f>IFERROR(__xludf.DUMMYFUNCTION("IFNA(REGEXEXTRACT(F426, ""\d{1,2}""),"""")"),"29")</f>
        <v>29</v>
      </c>
      <c r="P426" s="14" t="b">
        <f t="shared" si="6"/>
        <v>0</v>
      </c>
    </row>
    <row r="427">
      <c r="A427" s="13" t="s">
        <v>1618</v>
      </c>
      <c r="B427" s="9" t="str">
        <f t="shared" si="1"/>
        <v>Мт.</v>
      </c>
      <c r="C427" s="10" t="s">
        <v>1493</v>
      </c>
      <c r="D427" s="11" t="str">
        <f t="shared" si="2"/>
        <v>67</v>
      </c>
      <c r="E427" s="12" t="s">
        <v>22</v>
      </c>
      <c r="F427" s="13" t="s">
        <v>1619</v>
      </c>
      <c r="G427" s="14"/>
      <c r="H427" s="15" t="s">
        <v>70</v>
      </c>
      <c r="I427" s="16" t="s">
        <v>71</v>
      </c>
      <c r="J427" s="73" t="s">
        <v>71</v>
      </c>
      <c r="K427" s="54"/>
      <c r="L427" s="55" t="s">
        <v>71</v>
      </c>
      <c r="M427" s="18" t="str">
        <f>IFNA( VLOOKUP(LEFT(F427, IFERROR(FIND(" ", F427, 1),1) - 1), lists!$A$31:$B$37, 2, FALSE),"")</f>
        <v/>
      </c>
      <c r="N427" s="18" t="str">
        <f>IFERROR(__xludf.DUMMYFUNCTION("IFNA(VLOOKUP(IFNA(REGEXEXTRACT(F427, ""(Пасхи|50-ці|посту)""),""""),lists!$A$39:$B$41,2,FALSE),"""")"),"")</f>
        <v/>
      </c>
      <c r="O427" s="19" t="str">
        <f>IFERROR(__xludf.DUMMYFUNCTION("IFNA(REGEXEXTRACT(F427, ""\d{1,2}""),"""")"),"")</f>
        <v/>
      </c>
      <c r="P427" s="14" t="b">
        <f t="shared" si="6"/>
        <v>0</v>
      </c>
    </row>
    <row r="428">
      <c r="A428" s="13" t="s">
        <v>1620</v>
      </c>
      <c r="B428" s="9" t="str">
        <f t="shared" si="1"/>
        <v>Мт.</v>
      </c>
      <c r="C428" s="10" t="s">
        <v>1493</v>
      </c>
      <c r="D428" s="11" t="str">
        <f t="shared" si="2"/>
        <v>68</v>
      </c>
      <c r="E428" s="9"/>
      <c r="F428" s="13" t="s">
        <v>1621</v>
      </c>
      <c r="G428" s="14"/>
      <c r="H428" s="15"/>
      <c r="I428" s="16" t="s">
        <v>29</v>
      </c>
      <c r="J428" s="73">
        <v>8.0</v>
      </c>
      <c r="K428" s="54"/>
      <c r="L428" s="55">
        <v>3.0</v>
      </c>
      <c r="M428" s="18">
        <f>IFNA( VLOOKUP(LEFT(F428, IFERROR(FIND(" ", F428, 1),1) - 1), lists!$A$31:$B$37, 2, FALSE),"")</f>
        <v>3</v>
      </c>
      <c r="N428" s="18" t="str">
        <f>IFERROR(__xludf.DUMMYFUNCTION("IFNA(VLOOKUP(IFNA(REGEXEXTRACT(F428, ""(Пасхи|50-ці|посту)""),""""),lists!$A$39:$B$41,2,FALSE),"""")"),"")</f>
        <v/>
      </c>
      <c r="O428" s="19" t="str">
        <f>IFERROR(__xludf.DUMMYFUNCTION("IFNA(REGEXEXTRACT(F428, ""\d{1,2}""),"""")"),"8")</f>
        <v>8</v>
      </c>
      <c r="P428" s="14" t="b">
        <f t="shared" si="6"/>
        <v>0</v>
      </c>
    </row>
    <row r="429">
      <c r="A429" s="13" t="s">
        <v>1622</v>
      </c>
      <c r="B429" s="9" t="str">
        <f t="shared" si="1"/>
        <v>Мт.</v>
      </c>
      <c r="C429" s="10" t="s">
        <v>1493</v>
      </c>
      <c r="D429" s="11" t="str">
        <f t="shared" si="2"/>
        <v>69</v>
      </c>
      <c r="E429" s="9"/>
      <c r="F429" s="13" t="s">
        <v>1623</v>
      </c>
      <c r="G429" s="14"/>
      <c r="H429" s="15"/>
      <c r="I429" s="16" t="s">
        <v>29</v>
      </c>
      <c r="J429" s="73">
        <v>8.0</v>
      </c>
      <c r="K429" s="54"/>
      <c r="L429" s="55">
        <v>4.0</v>
      </c>
      <c r="M429" s="18">
        <f>IFNA( VLOOKUP(LEFT(F429, IFERROR(FIND(" ", F429, 1),1) - 1), lists!$A$31:$B$37, 2, FALSE),"")</f>
        <v>4</v>
      </c>
      <c r="N429" s="18" t="str">
        <f>IFERROR(__xludf.DUMMYFUNCTION("IFNA(VLOOKUP(IFNA(REGEXEXTRACT(F429, ""(Пасхи|50-ці|посту)""),""""),lists!$A$39:$B$41,2,FALSE),"""")"),"")</f>
        <v/>
      </c>
      <c r="O429" s="19" t="str">
        <f>IFERROR(__xludf.DUMMYFUNCTION("IFNA(REGEXEXTRACT(F429, ""\d{1,2}""),"""")"),"8")</f>
        <v>8</v>
      </c>
      <c r="P429" s="14" t="b">
        <f t="shared" si="6"/>
        <v>0</v>
      </c>
    </row>
    <row r="430">
      <c r="A430" s="13" t="s">
        <v>1624</v>
      </c>
      <c r="B430" s="9" t="str">
        <f t="shared" si="1"/>
        <v>Мт.</v>
      </c>
      <c r="C430" s="10" t="s">
        <v>1493</v>
      </c>
      <c r="D430" s="11" t="str">
        <f t="shared" si="2"/>
        <v>70</v>
      </c>
      <c r="E430" s="9"/>
      <c r="F430" s="13" t="s">
        <v>1625</v>
      </c>
      <c r="G430" s="14"/>
      <c r="H430" s="15" t="s">
        <v>70</v>
      </c>
      <c r="I430" s="16" t="s">
        <v>71</v>
      </c>
      <c r="J430" s="73">
        <v>6.0</v>
      </c>
      <c r="K430" s="54"/>
      <c r="L430" s="55" t="s">
        <v>71</v>
      </c>
      <c r="M430" s="18" t="str">
        <f>IFNA( VLOOKUP(LEFT(F430, IFERROR(FIND(" ", F430, 1),1) - 1), lists!$A$31:$B$37, 2, FALSE),"")</f>
        <v/>
      </c>
      <c r="N430" s="18" t="str">
        <f>IFERROR(__xludf.DUMMYFUNCTION("IFNA(VLOOKUP(IFNA(REGEXEXTRACT(F430, ""(Пасхи|50-ці|посту)""),""""),lists!$A$39:$B$41,2,FALSE),"""")"),"")</f>
        <v/>
      </c>
      <c r="O430" s="19" t="str">
        <f>IFERROR(__xludf.DUMMYFUNCTION("IFNA(REGEXEXTRACT(F430, ""\d{1,2}""),"""")"),"6")</f>
        <v>6</v>
      </c>
      <c r="P430" s="14" t="b">
        <f t="shared" si="6"/>
        <v>0</v>
      </c>
    </row>
    <row r="431">
      <c r="A431" s="13" t="s">
        <v>1626</v>
      </c>
      <c r="B431" s="9" t="str">
        <f t="shared" si="1"/>
        <v>Мт.</v>
      </c>
      <c r="C431" s="10" t="s">
        <v>1493</v>
      </c>
      <c r="D431" s="11" t="str">
        <f t="shared" si="2"/>
        <v>71</v>
      </c>
      <c r="E431" s="9"/>
      <c r="F431" s="13" t="s">
        <v>1627</v>
      </c>
      <c r="G431" s="14"/>
      <c r="H431" s="22"/>
      <c r="I431" s="16" t="s">
        <v>29</v>
      </c>
      <c r="J431" s="73">
        <v>8.0</v>
      </c>
      <c r="K431" s="54"/>
      <c r="L431" s="55">
        <v>5.0</v>
      </c>
      <c r="M431" s="18">
        <f>IFNA( VLOOKUP(LEFT(F431, IFERROR(FIND(" ", F431, 1),1) - 1), lists!$A$31:$B$37, 2, FALSE),"")</f>
        <v>5</v>
      </c>
      <c r="N431" s="18" t="str">
        <f>IFERROR(__xludf.DUMMYFUNCTION("IFNA(VLOOKUP(IFNA(REGEXEXTRACT(F431, ""(Пасхи|50-ці|посту)""),""""),lists!$A$39:$B$41,2,FALSE),"""")"),"")</f>
        <v/>
      </c>
      <c r="O431" s="19" t="str">
        <f>IFERROR(__xludf.DUMMYFUNCTION("IFNA(REGEXEXTRACT(F431, ""\d{1,2}""),"""")"),"8")</f>
        <v>8</v>
      </c>
      <c r="P431" s="14" t="b">
        <f t="shared" si="6"/>
        <v>0</v>
      </c>
    </row>
    <row r="432">
      <c r="A432" s="13" t="s">
        <v>1628</v>
      </c>
      <c r="B432" s="9" t="str">
        <f t="shared" si="1"/>
        <v>Мт.</v>
      </c>
      <c r="C432" s="10" t="s">
        <v>1493</v>
      </c>
      <c r="D432" s="11" t="str">
        <f t="shared" si="2"/>
        <v>72</v>
      </c>
      <c r="E432" s="9"/>
      <c r="F432" s="13" t="s">
        <v>1629</v>
      </c>
      <c r="G432" s="14"/>
      <c r="H432" s="22"/>
      <c r="I432" s="16" t="s">
        <v>29</v>
      </c>
      <c r="J432" s="73">
        <v>10.0</v>
      </c>
      <c r="K432" s="54"/>
      <c r="L432" s="55">
        <v>7.0</v>
      </c>
      <c r="M432" s="18">
        <f>IFNA( VLOOKUP(LEFT(F432, IFERROR(FIND(" ", F432, 1),1) - 1), lists!$A$31:$B$37, 2, FALSE),"")</f>
        <v>7</v>
      </c>
      <c r="N432" s="18" t="str">
        <f>IFERROR(__xludf.DUMMYFUNCTION("IFNA(VLOOKUP(IFNA(REGEXEXTRACT(F432, ""(Пасхи|50-ці|посту)""),""""),lists!$A$39:$B$41,2,FALSE),"""")"),"")</f>
        <v/>
      </c>
      <c r="O432" s="19" t="str">
        <f>IFERROR(__xludf.DUMMYFUNCTION("IFNA(REGEXEXTRACT(F432, ""\d{1,2}""),"""")"),"10")</f>
        <v>10</v>
      </c>
      <c r="P432" s="14" t="b">
        <f t="shared" si="6"/>
        <v>0</v>
      </c>
    </row>
    <row r="433">
      <c r="A433" s="13" t="s">
        <v>1630</v>
      </c>
      <c r="B433" s="9" t="str">
        <f t="shared" si="1"/>
        <v>Мт.</v>
      </c>
      <c r="C433" s="10" t="s">
        <v>1493</v>
      </c>
      <c r="D433" s="11" t="str">
        <f t="shared" si="2"/>
        <v>73</v>
      </c>
      <c r="E433" s="9"/>
      <c r="F433" s="13" t="s">
        <v>1631</v>
      </c>
      <c r="G433" s="14"/>
      <c r="H433" s="22"/>
      <c r="I433" s="16" t="s">
        <v>29</v>
      </c>
      <c r="J433" s="73">
        <v>10.0</v>
      </c>
      <c r="K433" s="54"/>
      <c r="L433" s="55">
        <v>6.0</v>
      </c>
      <c r="M433" s="18">
        <f>IFNA( VLOOKUP(LEFT(F433, IFERROR(FIND(" ", F433, 1),1) - 1), lists!$A$31:$B$37, 2, FALSE),"")</f>
        <v>6</v>
      </c>
      <c r="N433" s="18" t="str">
        <f>IFERROR(__xludf.DUMMYFUNCTION("IFNA(VLOOKUP(IFNA(REGEXEXTRACT(F433, ""(Пасхи|50-ці|посту)""),""""),lists!$A$39:$B$41,2,FALSE),"""")"),"")</f>
        <v/>
      </c>
      <c r="O433" s="19" t="str">
        <f>IFERROR(__xludf.DUMMYFUNCTION("IFNA(REGEXEXTRACT(F433, ""\d{1,2}""),"""")"),"10")</f>
        <v>10</v>
      </c>
      <c r="P433" s="14" t="b">
        <f t="shared" si="6"/>
        <v>0</v>
      </c>
    </row>
    <row r="434">
      <c r="A434" s="13" t="s">
        <v>1632</v>
      </c>
      <c r="B434" s="9" t="str">
        <f t="shared" si="1"/>
        <v>Мт.</v>
      </c>
      <c r="C434" s="10" t="s">
        <v>1493</v>
      </c>
      <c r="D434" s="11" t="str">
        <f t="shared" si="2"/>
        <v>74</v>
      </c>
      <c r="E434" s="9"/>
      <c r="F434" s="13" t="s">
        <v>1633</v>
      </c>
      <c r="G434" s="14"/>
      <c r="H434" s="22"/>
      <c r="I434" s="16" t="s">
        <v>29</v>
      </c>
      <c r="J434" s="73">
        <v>9.0</v>
      </c>
      <c r="K434" s="54"/>
      <c r="L434" s="55">
        <v>1.0</v>
      </c>
      <c r="M434" s="18">
        <f>IFNA( VLOOKUP(LEFT(F434, IFERROR(FIND(" ", F434, 1),1) - 1), lists!$A$31:$B$37, 2, FALSE),"")</f>
        <v>1</v>
      </c>
      <c r="N434" s="18" t="str">
        <f>IFERROR(__xludf.DUMMYFUNCTION("IFNA(VLOOKUP(IFNA(REGEXEXTRACT(F434, ""(Пасхи|50-ці|посту)""),""""),lists!$A$39:$B$41,2,FALSE),"""")"),"")</f>
        <v/>
      </c>
      <c r="O434" s="19" t="str">
        <f>IFERROR(__xludf.DUMMYFUNCTION("IFNA(REGEXEXTRACT(F434, ""\d{1,2}""),"""")"),"9")</f>
        <v>9</v>
      </c>
      <c r="P434" s="14" t="b">
        <f t="shared" si="6"/>
        <v>0</v>
      </c>
    </row>
    <row r="435">
      <c r="A435" s="13" t="s">
        <v>1634</v>
      </c>
      <c r="B435" s="9" t="str">
        <f t="shared" si="1"/>
        <v>Мт.</v>
      </c>
      <c r="C435" s="10" t="s">
        <v>1493</v>
      </c>
      <c r="D435" s="11" t="str">
        <f t="shared" si="2"/>
        <v>75</v>
      </c>
      <c r="E435" s="9"/>
      <c r="F435" s="13" t="s">
        <v>1635</v>
      </c>
      <c r="G435" s="14"/>
      <c r="H435" s="15"/>
      <c r="I435" s="16" t="s">
        <v>29</v>
      </c>
      <c r="J435" s="53">
        <v>1.0</v>
      </c>
      <c r="K435" s="54"/>
      <c r="L435" s="55">
        <v>1.0</v>
      </c>
      <c r="M435" s="18">
        <f>IFNA( VLOOKUP(LEFT(F435, IFERROR(FIND(" ", F435, 1),1) - 1), lists!$A$31:$B$37, 2, FALSE),"")</f>
        <v>1</v>
      </c>
      <c r="N435" s="18" t="str">
        <f>IFERROR(__xludf.DUMMYFUNCTION("IFNA(VLOOKUP(IFNA(REGEXEXTRACT(F435, ""(Пасхи|50-ці|посту)""),""""),lists!$A$39:$B$41,2,FALSE),"""")"),"")</f>
        <v/>
      </c>
      <c r="O435" s="19" t="str">
        <f>IFERROR(__xludf.DUMMYFUNCTION("IFNA(REGEXEXTRACT(F435, ""\d{1,2}""),"""")"),"")</f>
        <v/>
      </c>
      <c r="P435" s="14" t="b">
        <f t="shared" si="6"/>
        <v>0</v>
      </c>
    </row>
    <row r="436">
      <c r="A436" s="13" t="s">
        <v>1636</v>
      </c>
      <c r="B436" s="9" t="str">
        <f t="shared" si="1"/>
        <v>Мт.</v>
      </c>
      <c r="C436" s="10" t="s">
        <v>1493</v>
      </c>
      <c r="D436" s="11" t="str">
        <f t="shared" si="2"/>
        <v>76</v>
      </c>
      <c r="E436" s="9"/>
      <c r="F436" s="13" t="s">
        <v>1637</v>
      </c>
      <c r="G436" s="14"/>
      <c r="H436" s="22"/>
      <c r="I436" s="16" t="s">
        <v>29</v>
      </c>
      <c r="J436" s="73">
        <v>9.0</v>
      </c>
      <c r="K436" s="54"/>
      <c r="L436" s="55">
        <v>2.0</v>
      </c>
      <c r="M436" s="18">
        <f>IFNA( VLOOKUP(LEFT(F436, IFERROR(FIND(" ", F436, 1),1) - 1), lists!$A$31:$B$37, 2, FALSE),"")</f>
        <v>2</v>
      </c>
      <c r="N436" s="18" t="str">
        <f>IFERROR(__xludf.DUMMYFUNCTION("IFNA(VLOOKUP(IFNA(REGEXEXTRACT(F436, ""(Пасхи|50-ці|посту)""),""""),lists!$A$39:$B$41,2,FALSE),"""")"),"")</f>
        <v/>
      </c>
      <c r="O436" s="19" t="str">
        <f>IFERROR(__xludf.DUMMYFUNCTION("IFNA(REGEXEXTRACT(F436, ""\d{1,2}""),"""")"),"9")</f>
        <v>9</v>
      </c>
      <c r="P436" s="14" t="b">
        <f t="shared" si="6"/>
        <v>0</v>
      </c>
    </row>
    <row r="437">
      <c r="A437" s="13" t="s">
        <v>1638</v>
      </c>
      <c r="B437" s="9" t="str">
        <f t="shared" si="1"/>
        <v>Мт.</v>
      </c>
      <c r="C437" s="10" t="s">
        <v>1493</v>
      </c>
      <c r="D437" s="11" t="str">
        <f t="shared" si="2"/>
        <v>77</v>
      </c>
      <c r="E437" s="9"/>
      <c r="F437" s="13" t="s">
        <v>1639</v>
      </c>
      <c r="G437" s="14"/>
      <c r="H437" s="22"/>
      <c r="I437" s="16" t="s">
        <v>29</v>
      </c>
      <c r="J437" s="73">
        <v>11.0</v>
      </c>
      <c r="K437" s="54"/>
      <c r="L437" s="55">
        <v>7.0</v>
      </c>
      <c r="M437" s="18">
        <f>IFNA( VLOOKUP(LEFT(F437, IFERROR(FIND(" ", F437, 1),1) - 1), lists!$A$31:$B$37, 2, FALSE),"")</f>
        <v>7</v>
      </c>
      <c r="N437" s="18" t="str">
        <f>IFERROR(__xludf.DUMMYFUNCTION("IFNA(VLOOKUP(IFNA(REGEXEXTRACT(F437, ""(Пасхи|50-ці|посту)""),""""),lists!$A$39:$B$41,2,FALSE),"""")"),"")</f>
        <v/>
      </c>
      <c r="O437" s="19" t="str">
        <f>IFERROR(__xludf.DUMMYFUNCTION("IFNA(REGEXEXTRACT(F437, ""\d{1,2}""),"""")"),"11")</f>
        <v>11</v>
      </c>
      <c r="P437" s="14" t="b">
        <f t="shared" si="6"/>
        <v>0</v>
      </c>
    </row>
    <row r="438">
      <c r="A438" s="13" t="s">
        <v>1640</v>
      </c>
      <c r="B438" s="9" t="str">
        <f t="shared" si="1"/>
        <v>Мт.</v>
      </c>
      <c r="C438" s="10" t="s">
        <v>1493</v>
      </c>
      <c r="D438" s="11" t="str">
        <f t="shared" si="2"/>
        <v>78</v>
      </c>
      <c r="E438" s="9"/>
      <c r="F438" s="13" t="s">
        <v>1641</v>
      </c>
      <c r="G438" s="14"/>
      <c r="H438" s="22"/>
      <c r="I438" s="16" t="s">
        <v>29</v>
      </c>
      <c r="J438" s="73">
        <v>11.0</v>
      </c>
      <c r="K438" s="54"/>
      <c r="L438" s="55">
        <v>6.0</v>
      </c>
      <c r="M438" s="18">
        <f>IFNA( VLOOKUP(LEFT(F438, IFERROR(FIND(" ", F438, 1),1) - 1), lists!$A$31:$B$37, 2, FALSE),"")</f>
        <v>6</v>
      </c>
      <c r="N438" s="18" t="str">
        <f>IFERROR(__xludf.DUMMYFUNCTION("IFNA(VLOOKUP(IFNA(REGEXEXTRACT(F438, ""(Пасхи|50-ці|посту)""),""""),lists!$A$39:$B$41,2,FALSE),"""")"),"")</f>
        <v/>
      </c>
      <c r="O438" s="19" t="str">
        <f>IFERROR(__xludf.DUMMYFUNCTION("IFNA(REGEXEXTRACT(F438, ""\d{1,2}""),"""")"),"11")</f>
        <v>11</v>
      </c>
      <c r="P438" s="14" t="b">
        <f t="shared" si="6"/>
        <v>0</v>
      </c>
    </row>
    <row r="439">
      <c r="A439" s="13" t="s">
        <v>1642</v>
      </c>
      <c r="B439" s="9" t="str">
        <f t="shared" si="1"/>
        <v>Мт.</v>
      </c>
      <c r="C439" s="10" t="s">
        <v>1493</v>
      </c>
      <c r="D439" s="11" t="str">
        <f t="shared" si="2"/>
        <v>79</v>
      </c>
      <c r="E439" s="9"/>
      <c r="F439" s="13" t="s">
        <v>1643</v>
      </c>
      <c r="G439" s="14"/>
      <c r="H439" s="22"/>
      <c r="I439" s="16" t="s">
        <v>29</v>
      </c>
      <c r="J439" s="73">
        <v>12.0</v>
      </c>
      <c r="K439" s="54"/>
      <c r="L439" s="55">
        <v>7.0</v>
      </c>
      <c r="M439" s="18">
        <f>IFNA( VLOOKUP(LEFT(F439, IFERROR(FIND(" ", F439, 1),1) - 1), lists!$A$31:$B$37, 2, FALSE),"")</f>
        <v>7</v>
      </c>
      <c r="N439" s="18" t="str">
        <f>IFERROR(__xludf.DUMMYFUNCTION("IFNA(VLOOKUP(IFNA(REGEXEXTRACT(F439, ""(Пасхи|50-ці|посту)""),""""),lists!$A$39:$B$41,2,FALSE),"""")"),"")</f>
        <v/>
      </c>
      <c r="O439" s="19" t="str">
        <f>IFERROR(__xludf.DUMMYFUNCTION("IFNA(REGEXEXTRACT(F439, ""\d{1,2}""),"""")"),"12")</f>
        <v>12</v>
      </c>
      <c r="P439" s="14" t="b">
        <f t="shared" si="6"/>
        <v>0</v>
      </c>
    </row>
    <row r="440">
      <c r="A440" s="13" t="s">
        <v>1644</v>
      </c>
      <c r="B440" s="9" t="str">
        <f t="shared" si="1"/>
        <v>Мт.</v>
      </c>
      <c r="C440" s="10" t="s">
        <v>1493</v>
      </c>
      <c r="D440" s="11" t="str">
        <f t="shared" si="2"/>
        <v>80</v>
      </c>
      <c r="E440" s="9"/>
      <c r="F440" s="21" t="s">
        <v>1645</v>
      </c>
      <c r="G440" s="14"/>
      <c r="H440" s="15" t="s">
        <v>70</v>
      </c>
      <c r="I440" s="16" t="s">
        <v>29</v>
      </c>
      <c r="J440" s="73">
        <v>9.0</v>
      </c>
      <c r="K440" s="54"/>
      <c r="L440" s="55">
        <v>3.0</v>
      </c>
      <c r="M440" s="18">
        <f>IFNA( VLOOKUP(LEFT(F440, IFERROR(FIND(" ", F440, 1),1) - 1), lists!$A$31:$B$37, 2, FALSE),"")</f>
        <v>3</v>
      </c>
      <c r="N440" s="18" t="str">
        <f>IFERROR(__xludf.DUMMYFUNCTION("IFNA(VLOOKUP(IFNA(REGEXEXTRACT(F440, ""(Пасхи|50-ці|посту)""),""""),lists!$A$39:$B$41,2,FALSE),"""")"),"")</f>
        <v/>
      </c>
      <c r="O440" s="19" t="str">
        <f>IFERROR(__xludf.DUMMYFUNCTION("IFNA(REGEXEXTRACT(F440, ""\d{1,2}""),"""")"),"9")</f>
        <v>9</v>
      </c>
      <c r="P440" s="14" t="b">
        <f t="shared" si="6"/>
        <v>0</v>
      </c>
    </row>
    <row r="441">
      <c r="A441" s="13" t="s">
        <v>1646</v>
      </c>
      <c r="B441" s="9" t="str">
        <f t="shared" si="1"/>
        <v>Мт.</v>
      </c>
      <c r="C441" s="10" t="s">
        <v>1493</v>
      </c>
      <c r="D441" s="11" t="str">
        <f t="shared" si="2"/>
        <v>81</v>
      </c>
      <c r="E441" s="9"/>
      <c r="F441" s="13" t="s">
        <v>1647</v>
      </c>
      <c r="G441" s="14"/>
      <c r="H441" s="22"/>
      <c r="I441" s="16" t="s">
        <v>29</v>
      </c>
      <c r="J441" s="73">
        <v>9.0</v>
      </c>
      <c r="K441" s="54"/>
      <c r="L441" s="55">
        <v>4.0</v>
      </c>
      <c r="M441" s="18">
        <f>IFNA( VLOOKUP(LEFT(F441, IFERROR(FIND(" ", F441, 1),1) - 1), lists!$A$31:$B$37, 2, FALSE),"")</f>
        <v>4</v>
      </c>
      <c r="N441" s="18" t="str">
        <f>IFERROR(__xludf.DUMMYFUNCTION("IFNA(VLOOKUP(IFNA(REGEXEXTRACT(F441, ""(Пасхи|50-ці|посту)""),""""),lists!$A$39:$B$41,2,FALSE),"""")"),"")</f>
        <v/>
      </c>
      <c r="O441" s="19" t="str">
        <f>IFERROR(__xludf.DUMMYFUNCTION("IFNA(REGEXEXTRACT(F441, ""\d{1,2}""),"""")"),"9")</f>
        <v>9</v>
      </c>
      <c r="P441" s="14" t="b">
        <f t="shared" si="6"/>
        <v>0</v>
      </c>
    </row>
    <row r="442">
      <c r="A442" s="13" t="s">
        <v>1648</v>
      </c>
      <c r="B442" s="9" t="str">
        <f t="shared" si="1"/>
        <v>Мт.</v>
      </c>
      <c r="C442" s="10" t="s">
        <v>1493</v>
      </c>
      <c r="D442" s="11" t="str">
        <f t="shared" si="2"/>
        <v>82</v>
      </c>
      <c r="E442" s="9"/>
      <c r="F442" s="13" t="s">
        <v>1649</v>
      </c>
      <c r="G442" s="14"/>
      <c r="H442" s="15"/>
      <c r="I442" s="16" t="s">
        <v>29</v>
      </c>
      <c r="J442" s="73">
        <v>12.0</v>
      </c>
      <c r="K442" s="54"/>
      <c r="L442" s="55">
        <v>6.0</v>
      </c>
      <c r="M442" s="18">
        <f>IFNA( VLOOKUP(LEFT(F442, IFERROR(FIND(" ", F442, 1),1) - 1), lists!$A$31:$B$37, 2, FALSE),"")</f>
        <v>6</v>
      </c>
      <c r="N442" s="18" t="str">
        <f>IFERROR(__xludf.DUMMYFUNCTION("IFNA(VLOOKUP(IFNA(REGEXEXTRACT(F442, ""(Пасхи|50-ці|посту)""),""""),lists!$A$39:$B$41,2,FALSE),"""")"),"")</f>
        <v/>
      </c>
      <c r="O442" s="19" t="str">
        <f>IFERROR(__xludf.DUMMYFUNCTION("IFNA(REGEXEXTRACT(F442, ""\d{1,2}""),"""")"),"12")</f>
        <v>12</v>
      </c>
      <c r="P442" s="14" t="b">
        <f t="shared" si="6"/>
        <v>0</v>
      </c>
    </row>
    <row r="443">
      <c r="A443" s="13" t="s">
        <v>1650</v>
      </c>
      <c r="B443" s="9" t="str">
        <f t="shared" si="1"/>
        <v>Мт.</v>
      </c>
      <c r="C443" s="10" t="s">
        <v>1493</v>
      </c>
      <c r="D443" s="11" t="str">
        <f t="shared" si="2"/>
        <v>83</v>
      </c>
      <c r="E443" s="80" t="s">
        <v>22</v>
      </c>
      <c r="F443" s="13" t="s">
        <v>1651</v>
      </c>
      <c r="G443" s="14"/>
      <c r="H443" s="15"/>
      <c r="I443" s="16" t="s">
        <v>20</v>
      </c>
      <c r="J443" s="53">
        <v>6.0</v>
      </c>
      <c r="K443" s="54"/>
      <c r="L443" s="55">
        <v>7.0</v>
      </c>
      <c r="M443" s="18" t="str">
        <f>IFNA( VLOOKUP(LEFT(F443, IFERROR(FIND(" ", F443, 1),1) - 1), lists!$A$31:$B$37, 2, FALSE),"")</f>
        <v/>
      </c>
      <c r="N443" s="18" t="str">
        <f>IFERROR(__xludf.DUMMYFUNCTION("IFNA(VLOOKUP(IFNA(REGEXEXTRACT(F443, ""(Пасхи|50-ці|посту)""),""""),lists!$A$39:$B$41,2,FALSE),"""")"),"")</f>
        <v/>
      </c>
      <c r="O443" s="19" t="str">
        <f>IFERROR(__xludf.DUMMYFUNCTION("IFNA(REGEXEXTRACT(F443, ""\d{1,2}""),"""")"),"")</f>
        <v/>
      </c>
      <c r="P443" s="14" t="b">
        <f t="shared" si="6"/>
        <v>0</v>
      </c>
    </row>
    <row r="444">
      <c r="A444" s="13" t="s">
        <v>1652</v>
      </c>
      <c r="B444" s="9" t="str">
        <f t="shared" si="1"/>
        <v>Мт.</v>
      </c>
      <c r="C444" s="10" t="s">
        <v>1493</v>
      </c>
      <c r="D444" s="11" t="str">
        <f t="shared" si="2"/>
        <v>83</v>
      </c>
      <c r="E444" s="80" t="s">
        <v>18</v>
      </c>
      <c r="F444" s="13" t="s">
        <v>1653</v>
      </c>
      <c r="G444" s="14"/>
      <c r="H444" s="22"/>
      <c r="I444" s="16" t="s">
        <v>29</v>
      </c>
      <c r="J444" s="73">
        <v>9.0</v>
      </c>
      <c r="K444" s="54"/>
      <c r="L444" s="55">
        <v>5.0</v>
      </c>
      <c r="M444" s="18">
        <f>IFNA( VLOOKUP(LEFT(F444, IFERROR(FIND(" ", F444, 1),1) - 1), lists!$A$31:$B$37, 2, FALSE),"")</f>
        <v>5</v>
      </c>
      <c r="N444" s="18" t="str">
        <f>IFERROR(__xludf.DUMMYFUNCTION("IFNA(VLOOKUP(IFNA(REGEXEXTRACT(F444, ""(Пасхи|50-ці|посту)""),""""),lists!$A$39:$B$41,2,FALSE),"""")"),"")</f>
        <v/>
      </c>
      <c r="O444" s="19" t="str">
        <f>IFERROR(__xludf.DUMMYFUNCTION("IFNA(REGEXEXTRACT(F444, ""\d{1,2}""),"""")"),"9")</f>
        <v>9</v>
      </c>
      <c r="P444" s="14" t="b">
        <f t="shared" si="6"/>
        <v>0</v>
      </c>
    </row>
    <row r="445">
      <c r="A445" s="13" t="s">
        <v>1654</v>
      </c>
      <c r="B445" s="9" t="str">
        <f t="shared" si="1"/>
        <v>Мт.</v>
      </c>
      <c r="C445" s="10" t="s">
        <v>1493</v>
      </c>
      <c r="D445" s="11" t="str">
        <f t="shared" si="2"/>
        <v>84</v>
      </c>
      <c r="E445" s="80" t="s">
        <v>18</v>
      </c>
      <c r="F445" s="13" t="s">
        <v>1655</v>
      </c>
      <c r="G445" s="14"/>
      <c r="H445" s="15"/>
      <c r="I445" s="16" t="s">
        <v>29</v>
      </c>
      <c r="J445" s="73">
        <v>10.0</v>
      </c>
      <c r="K445" s="54"/>
      <c r="L445" s="55">
        <v>1.0</v>
      </c>
      <c r="M445" s="18">
        <f>IFNA( VLOOKUP(LEFT(F445, IFERROR(FIND(" ", F445, 1),1) - 1), lists!$A$31:$B$37, 2, FALSE),"")</f>
        <v>1</v>
      </c>
      <c r="N445" s="18" t="str">
        <f>IFERROR(__xludf.DUMMYFUNCTION("IFNA(VLOOKUP(IFNA(REGEXEXTRACT(F445, ""(Пасхи|50-ці|посту)""),""""),lists!$A$39:$B$41,2,FALSE),"""")"),"")</f>
        <v/>
      </c>
      <c r="O445" s="19" t="str">
        <f>IFERROR(__xludf.DUMMYFUNCTION("IFNA(REGEXEXTRACT(F445, ""\d{1,2}""),"""")"),"10")</f>
        <v>10</v>
      </c>
      <c r="P445" s="14" t="b">
        <f t="shared" si="6"/>
        <v>0</v>
      </c>
    </row>
    <row r="446">
      <c r="A446" s="13" t="s">
        <v>1656</v>
      </c>
      <c r="B446" s="9" t="str">
        <f t="shared" si="1"/>
        <v>Мт.</v>
      </c>
      <c r="C446" s="10" t="s">
        <v>1493</v>
      </c>
      <c r="D446" s="11" t="str">
        <f t="shared" si="2"/>
        <v>84</v>
      </c>
      <c r="E446" s="80" t="s">
        <v>22</v>
      </c>
      <c r="F446" s="21" t="s">
        <v>1657</v>
      </c>
      <c r="G446" s="14"/>
      <c r="H446" s="22"/>
      <c r="I446" s="16" t="s">
        <v>20</v>
      </c>
      <c r="J446" s="53">
        <v>7.0</v>
      </c>
      <c r="K446" s="54"/>
      <c r="L446" s="55">
        <v>1.0</v>
      </c>
      <c r="M446" s="18" t="str">
        <f>IFNA( VLOOKUP(LEFT(F446, IFERROR(FIND(" ", F446, 1),1) - 1), lists!$A$31:$B$37, 2, FALSE),"")</f>
        <v/>
      </c>
      <c r="N446" s="18" t="str">
        <f>IFERROR(__xludf.DUMMYFUNCTION("IFNA(VLOOKUP(IFNA(REGEXEXTRACT(F446, ""(Пасхи|50-ці|посту)""),""""),lists!$A$39:$B$41,2,FALSE),"""")"),"")</f>
        <v/>
      </c>
      <c r="O446" s="19" t="str">
        <f>IFERROR(__xludf.DUMMYFUNCTION("IFNA(REGEXEXTRACT(F446, ""\d{1,2}""),"""")"),"")</f>
        <v/>
      </c>
      <c r="P446" s="14" t="b">
        <f t="shared" si="6"/>
        <v>0</v>
      </c>
    </row>
    <row r="447">
      <c r="A447" s="13" t="s">
        <v>1658</v>
      </c>
      <c r="B447" s="9" t="str">
        <f t="shared" si="1"/>
        <v>Мт.</v>
      </c>
      <c r="C447" s="10" t="s">
        <v>1493</v>
      </c>
      <c r="D447" s="11" t="str">
        <f t="shared" si="2"/>
        <v>85</v>
      </c>
      <c r="E447" s="9"/>
      <c r="F447" s="13" t="s">
        <v>1659</v>
      </c>
      <c r="G447" s="14"/>
      <c r="H447" s="15"/>
      <c r="I447" s="16" t="s">
        <v>29</v>
      </c>
      <c r="J447" s="73">
        <v>10.0</v>
      </c>
      <c r="K447" s="54"/>
      <c r="L447" s="55">
        <v>2.0</v>
      </c>
      <c r="M447" s="18">
        <f>IFNA( VLOOKUP(LEFT(F447, IFERROR(FIND(" ", F447, 1),1) - 1), lists!$A$31:$B$37, 2, FALSE),"")</f>
        <v>2</v>
      </c>
      <c r="N447" s="18" t="str">
        <f>IFERROR(__xludf.DUMMYFUNCTION("IFNA(VLOOKUP(IFNA(REGEXEXTRACT(F447, ""(Пасхи|50-ці|посту)""),""""),lists!$A$39:$B$41,2,FALSE),"""")"),"")</f>
        <v/>
      </c>
      <c r="O447" s="19" t="str">
        <f>IFERROR(__xludf.DUMMYFUNCTION("IFNA(REGEXEXTRACT(F447, ""\d{1,2}""),"""")"),"10")</f>
        <v>10</v>
      </c>
      <c r="P447" s="14" t="b">
        <f t="shared" si="6"/>
        <v>0</v>
      </c>
    </row>
    <row r="448">
      <c r="A448" s="13" t="s">
        <v>1660</v>
      </c>
      <c r="B448" s="9" t="str">
        <f t="shared" si="1"/>
        <v>Мт.</v>
      </c>
      <c r="C448" s="10" t="s">
        <v>1493</v>
      </c>
      <c r="D448" s="11" t="str">
        <f t="shared" si="2"/>
        <v>86</v>
      </c>
      <c r="E448" s="9"/>
      <c r="F448" s="13" t="s">
        <v>1661</v>
      </c>
      <c r="G448" s="14"/>
      <c r="H448" s="22"/>
      <c r="I448" s="16" t="s">
        <v>29</v>
      </c>
      <c r="J448" s="73">
        <v>10.0</v>
      </c>
      <c r="K448" s="54"/>
      <c r="L448" s="55">
        <v>3.0</v>
      </c>
      <c r="M448" s="18">
        <f>IFNA( VLOOKUP(LEFT(F448, IFERROR(FIND(" ", F448, 1),1) - 1), lists!$A$31:$B$37, 2, FALSE),"")</f>
        <v>3</v>
      </c>
      <c r="N448" s="18" t="str">
        <f>IFERROR(__xludf.DUMMYFUNCTION("IFNA(VLOOKUP(IFNA(REGEXEXTRACT(F448, ""(Пасхи|50-ці|посту)""),""""),lists!$A$39:$B$41,2,FALSE),"""")"),"")</f>
        <v/>
      </c>
      <c r="O448" s="19" t="str">
        <f>IFERROR(__xludf.DUMMYFUNCTION("IFNA(REGEXEXTRACT(F448, ""\d{1,2}""),"""")"),"10")</f>
        <v>10</v>
      </c>
      <c r="P448" s="14" t="b">
        <f t="shared" si="6"/>
        <v>0</v>
      </c>
    </row>
    <row r="449">
      <c r="A449" s="13" t="s">
        <v>1662</v>
      </c>
      <c r="B449" s="9" t="str">
        <f t="shared" si="1"/>
        <v>Мт.</v>
      </c>
      <c r="C449" s="10" t="s">
        <v>1493</v>
      </c>
      <c r="D449" s="11" t="str">
        <f t="shared" si="2"/>
        <v>87</v>
      </c>
      <c r="E449" s="9"/>
      <c r="F449" s="13" t="s">
        <v>1663</v>
      </c>
      <c r="G449" s="14"/>
      <c r="H449" s="15" t="s">
        <v>70</v>
      </c>
      <c r="I449" s="16" t="s">
        <v>29</v>
      </c>
      <c r="J449" s="73">
        <v>13.0</v>
      </c>
      <c r="K449" s="54"/>
      <c r="L449" s="55">
        <v>7.0</v>
      </c>
      <c r="M449" s="18">
        <f>IFNA( VLOOKUP(LEFT(F449, IFERROR(FIND(" ", F449, 1),1) - 1), lists!$A$31:$B$37, 2, FALSE),"")</f>
        <v>7</v>
      </c>
      <c r="N449" s="18" t="str">
        <f>IFERROR(__xludf.DUMMYFUNCTION("IFNA(VLOOKUP(IFNA(REGEXEXTRACT(F449, ""(Пасхи|50-ці|посту)""),""""),lists!$A$39:$B$41,2,FALSE),"""")"),"")</f>
        <v/>
      </c>
      <c r="O449" s="19" t="str">
        <f>IFERROR(__xludf.DUMMYFUNCTION("IFNA(REGEXEXTRACT(F449, ""\d{1,2}""),"""")"),"13")</f>
        <v>13</v>
      </c>
      <c r="P449" s="14" t="b">
        <f t="shared" si="6"/>
        <v>0</v>
      </c>
    </row>
    <row r="450">
      <c r="A450" s="13" t="s">
        <v>1664</v>
      </c>
      <c r="B450" s="9" t="str">
        <f t="shared" si="1"/>
        <v>Мт.</v>
      </c>
      <c r="C450" s="10" t="s">
        <v>1493</v>
      </c>
      <c r="D450" s="11" t="str">
        <f t="shared" si="2"/>
        <v>88</v>
      </c>
      <c r="E450" s="9"/>
      <c r="F450" s="13" t="s">
        <v>1665</v>
      </c>
      <c r="G450" s="14"/>
      <c r="H450" s="15"/>
      <c r="I450" s="16" t="s">
        <v>29</v>
      </c>
      <c r="J450" s="73">
        <v>10.0</v>
      </c>
      <c r="K450" s="54"/>
      <c r="L450" s="55">
        <v>4.0</v>
      </c>
      <c r="M450" s="18">
        <f>IFNA( VLOOKUP(LEFT(F450, IFERROR(FIND(" ", F450, 1),1) - 1), lists!$A$31:$B$37, 2, FALSE),"")</f>
        <v>4</v>
      </c>
      <c r="N450" s="18" t="str">
        <f>IFERROR(__xludf.DUMMYFUNCTION("IFNA(VLOOKUP(IFNA(REGEXEXTRACT(F450, ""(Пасхи|50-ці|посту)""),""""),lists!$A$39:$B$41,2,FALSE),"""")"),"")</f>
        <v/>
      </c>
      <c r="O450" s="19" t="str">
        <f>IFERROR(__xludf.DUMMYFUNCTION("IFNA(REGEXEXTRACT(F450, ""\d{1,2}""),"""")"),"10")</f>
        <v>10</v>
      </c>
      <c r="P450" s="14" t="b">
        <f t="shared" si="6"/>
        <v>0</v>
      </c>
    </row>
    <row r="451">
      <c r="A451" s="13" t="s">
        <v>1666</v>
      </c>
      <c r="B451" s="9" t="str">
        <f t="shared" si="1"/>
        <v>Мт.</v>
      </c>
      <c r="C451" s="10" t="s">
        <v>1493</v>
      </c>
      <c r="D451" s="11" t="str">
        <f t="shared" si="2"/>
        <v>89</v>
      </c>
      <c r="E451" s="9"/>
      <c r="F451" s="13" t="s">
        <v>1667</v>
      </c>
      <c r="G451" s="14"/>
      <c r="H451" s="22"/>
      <c r="I451" s="16" t="s">
        <v>29</v>
      </c>
      <c r="J451" s="73">
        <v>14.0</v>
      </c>
      <c r="K451" s="54"/>
      <c r="L451" s="55">
        <v>7.0</v>
      </c>
      <c r="M451" s="18">
        <f>IFNA( VLOOKUP(LEFT(F451, IFERROR(FIND(" ", F451, 1),1) - 1), lists!$A$31:$B$37, 2, FALSE),"")</f>
        <v>7</v>
      </c>
      <c r="N451" s="18" t="str">
        <f>IFERROR(__xludf.DUMMYFUNCTION("IFNA(VLOOKUP(IFNA(REGEXEXTRACT(F451, ""(Пасхи|50-ці|посту)""),""""),lists!$A$39:$B$41,2,FALSE),"""")"),"")</f>
        <v/>
      </c>
      <c r="O451" s="19" t="str">
        <f>IFERROR(__xludf.DUMMYFUNCTION("IFNA(REGEXEXTRACT(F451, ""\d{1,2}""),"""")"),"14")</f>
        <v>14</v>
      </c>
      <c r="P451" s="14" t="b">
        <f t="shared" si="6"/>
        <v>0</v>
      </c>
    </row>
    <row r="452">
      <c r="A452" s="13" t="s">
        <v>1668</v>
      </c>
      <c r="B452" s="9" t="str">
        <f t="shared" si="1"/>
        <v>Мт.</v>
      </c>
      <c r="C452" s="10" t="s">
        <v>1493</v>
      </c>
      <c r="D452" s="11" t="str">
        <f t="shared" si="2"/>
        <v>90</v>
      </c>
      <c r="E452" s="80" t="s">
        <v>22</v>
      </c>
      <c r="F452" s="13" t="s">
        <v>1669</v>
      </c>
      <c r="G452" s="14"/>
      <c r="H452" s="22"/>
      <c r="I452" s="16" t="s">
        <v>29</v>
      </c>
      <c r="J452" s="53">
        <v>7.0</v>
      </c>
      <c r="K452" s="54"/>
      <c r="L452" s="55">
        <v>2.0</v>
      </c>
      <c r="M452" s="18" t="str">
        <f>IFNA( VLOOKUP(LEFT(F452, IFERROR(FIND(" ", F452, 1),1) - 1), lists!$A$31:$B$37, 2, FALSE),"")</f>
        <v/>
      </c>
      <c r="N452" s="18" t="str">
        <f>IFERROR(__xludf.DUMMYFUNCTION("IFNA(VLOOKUP(IFNA(REGEXEXTRACT(F452, ""(Пасхи|50-ці|посту)""),""""),lists!$A$39:$B$41,2,FALSE),"""")"),"")</f>
        <v/>
      </c>
      <c r="O452" s="19" t="str">
        <f>IFERROR(__xludf.DUMMYFUNCTION("IFNA(REGEXEXTRACT(F452, ""\d{1,2}""),"""")"),"")</f>
        <v/>
      </c>
      <c r="P452" s="14" t="b">
        <f t="shared" si="6"/>
        <v>0</v>
      </c>
    </row>
    <row r="453">
      <c r="A453" s="13" t="s">
        <v>1670</v>
      </c>
      <c r="B453" s="9" t="str">
        <f t="shared" si="1"/>
        <v>Мт.</v>
      </c>
      <c r="C453" s="10" t="s">
        <v>1493</v>
      </c>
      <c r="D453" s="11" t="str">
        <f t="shared" si="2"/>
        <v>90</v>
      </c>
      <c r="E453" s="80" t="s">
        <v>18</v>
      </c>
      <c r="F453" s="13" t="s">
        <v>1671</v>
      </c>
      <c r="G453" s="14"/>
      <c r="H453" s="22"/>
      <c r="I453" s="16" t="s">
        <v>29</v>
      </c>
      <c r="J453" s="73">
        <v>13.0</v>
      </c>
      <c r="K453" s="54"/>
      <c r="L453" s="55">
        <v>6.0</v>
      </c>
      <c r="M453" s="18">
        <f>IFNA( VLOOKUP(LEFT(F453, IFERROR(FIND(" ", F453, 1),1) - 1), lists!$A$31:$B$37, 2, FALSE),"")</f>
        <v>6</v>
      </c>
      <c r="N453" s="18" t="str">
        <f>IFERROR(__xludf.DUMMYFUNCTION("IFNA(VLOOKUP(IFNA(REGEXEXTRACT(F453, ""(Пасхи|50-ці|посту)""),""""),lists!$A$39:$B$41,2,FALSE),"""")"),"")</f>
        <v/>
      </c>
      <c r="O453" s="19" t="str">
        <f>IFERROR(__xludf.DUMMYFUNCTION("IFNA(REGEXEXTRACT(F453, ""\d{1,2}""),"""")"),"13")</f>
        <v>13</v>
      </c>
      <c r="P453" s="14" t="b">
        <f t="shared" si="6"/>
        <v>0</v>
      </c>
    </row>
    <row r="454">
      <c r="A454" s="13" t="s">
        <v>1672</v>
      </c>
      <c r="B454" s="9" t="str">
        <f t="shared" si="1"/>
        <v>Мт.</v>
      </c>
      <c r="C454" s="10" t="s">
        <v>1493</v>
      </c>
      <c r="D454" s="11" t="str">
        <f t="shared" si="2"/>
        <v>91</v>
      </c>
      <c r="E454" s="9"/>
      <c r="F454" s="13" t="s">
        <v>1673</v>
      </c>
      <c r="G454" s="14"/>
      <c r="H454" s="15"/>
      <c r="I454" s="16" t="s">
        <v>29</v>
      </c>
      <c r="J454" s="73">
        <v>10.0</v>
      </c>
      <c r="K454" s="54"/>
      <c r="L454" s="55">
        <v>5.0</v>
      </c>
      <c r="M454" s="18">
        <f>IFNA( VLOOKUP(LEFT(F454, IFERROR(FIND(" ", F454, 1),1) - 1), lists!$A$31:$B$37, 2, FALSE),"")</f>
        <v>5</v>
      </c>
      <c r="N454" s="18" t="str">
        <f>IFERROR(__xludf.DUMMYFUNCTION("IFNA(VLOOKUP(IFNA(REGEXEXTRACT(F454, ""(Пасхи|50-ці|посту)""),""""),lists!$A$39:$B$41,2,FALSE),"""")"),"")</f>
        <v/>
      </c>
      <c r="O454" s="19" t="str">
        <f>IFERROR(__xludf.DUMMYFUNCTION("IFNA(REGEXEXTRACT(F454, ""\d{1,2}""),"""")"),"10")</f>
        <v>10</v>
      </c>
      <c r="P454" s="14" t="b">
        <f t="shared" si="6"/>
        <v>0</v>
      </c>
    </row>
    <row r="455">
      <c r="A455" s="13" t="s">
        <v>1674</v>
      </c>
      <c r="B455" s="9" t="str">
        <f t="shared" si="1"/>
        <v>Мт.</v>
      </c>
      <c r="C455" s="10" t="s">
        <v>1493</v>
      </c>
      <c r="D455" s="11" t="str">
        <f t="shared" si="2"/>
        <v>92</v>
      </c>
      <c r="E455" s="9"/>
      <c r="F455" s="13" t="s">
        <v>1675</v>
      </c>
      <c r="G455" s="14"/>
      <c r="H455" s="44"/>
      <c r="I455" s="16" t="s">
        <v>29</v>
      </c>
      <c r="J455" s="73">
        <v>15.0</v>
      </c>
      <c r="K455" s="62"/>
      <c r="L455" s="63">
        <v>7.0</v>
      </c>
      <c r="M455" s="18">
        <f>IFNA( VLOOKUP(LEFT(F455, IFERROR(FIND(" ", F455, 1),1) - 1), lists!$A$31:$B$37, 2, FALSE),"")</f>
        <v>7</v>
      </c>
      <c r="N455" s="18" t="str">
        <f>IFERROR(__xludf.DUMMYFUNCTION("IFNA(VLOOKUP(IFNA(REGEXEXTRACT(F455, ""(Пасхи|50-ці|посту)""),""""),lists!$A$39:$B$41,2,FALSE),"""")"),"")</f>
        <v/>
      </c>
      <c r="O455" s="19" t="str">
        <f>IFERROR(__xludf.DUMMYFUNCTION("IFNA(REGEXEXTRACT(F455, ""\d{1,2}""),"""")"),"15")</f>
        <v>15</v>
      </c>
      <c r="P455" s="14" t="b">
        <f t="shared" si="6"/>
        <v>0</v>
      </c>
    </row>
    <row r="456">
      <c r="A456" s="13" t="s">
        <v>1676</v>
      </c>
      <c r="B456" s="9" t="str">
        <f t="shared" si="1"/>
        <v>Мт.</v>
      </c>
      <c r="C456" s="10" t="s">
        <v>1493</v>
      </c>
      <c r="D456" s="11" t="str">
        <f t="shared" si="2"/>
        <v>93</v>
      </c>
      <c r="E456" s="9"/>
      <c r="F456" s="13" t="s">
        <v>1677</v>
      </c>
      <c r="G456" s="14"/>
      <c r="H456" s="22"/>
      <c r="I456" s="16" t="s">
        <v>29</v>
      </c>
      <c r="J456" s="73">
        <v>14.0</v>
      </c>
      <c r="K456" s="54"/>
      <c r="L456" s="55">
        <v>6.0</v>
      </c>
      <c r="M456" s="18">
        <f>IFNA( VLOOKUP(LEFT(F456, IFERROR(FIND(" ", F456, 1),1) - 1), lists!$A$31:$B$37, 2, FALSE),"")</f>
        <v>6</v>
      </c>
      <c r="N456" s="18" t="str">
        <f>IFERROR(__xludf.DUMMYFUNCTION("IFNA(VLOOKUP(IFNA(REGEXEXTRACT(F456, ""(Пасхи|50-ці|посту)""),""""),lists!$A$39:$B$41,2,FALSE),"""")"),"")</f>
        <v/>
      </c>
      <c r="O456" s="19" t="str">
        <f>IFERROR(__xludf.DUMMYFUNCTION("IFNA(REGEXEXTRACT(F456, ""\d{1,2}""),"""")"),"14")</f>
        <v>14</v>
      </c>
      <c r="P456" s="14" t="b">
        <f t="shared" si="6"/>
        <v>0</v>
      </c>
    </row>
    <row r="457">
      <c r="A457" s="13" t="s">
        <v>1678</v>
      </c>
      <c r="B457" s="9" t="str">
        <f t="shared" si="1"/>
        <v>Мт.</v>
      </c>
      <c r="C457" s="10" t="s">
        <v>1493</v>
      </c>
      <c r="D457" s="11" t="str">
        <f t="shared" si="2"/>
        <v>94</v>
      </c>
      <c r="E457" s="9"/>
      <c r="F457" s="13" t="s">
        <v>1679</v>
      </c>
      <c r="G457" s="14"/>
      <c r="H457" s="22"/>
      <c r="I457" s="16" t="s">
        <v>29</v>
      </c>
      <c r="J457" s="73">
        <v>11.0</v>
      </c>
      <c r="K457" s="54"/>
      <c r="L457" s="55">
        <v>1.0</v>
      </c>
      <c r="M457" s="18">
        <f>IFNA( VLOOKUP(LEFT(F457, IFERROR(FIND(" ", F457, 1),1) - 1), lists!$A$31:$B$37, 2, FALSE),"")</f>
        <v>1</v>
      </c>
      <c r="N457" s="18" t="str">
        <f>IFERROR(__xludf.DUMMYFUNCTION("IFNA(VLOOKUP(IFNA(REGEXEXTRACT(F457, ""(Пасхи|50-ці|посту)""),""""),lists!$A$39:$B$41,2,FALSE),"""")"),"")</f>
        <v/>
      </c>
      <c r="O457" s="19" t="str">
        <f>IFERROR(__xludf.DUMMYFUNCTION("IFNA(REGEXEXTRACT(F457, ""\d{1,2}""),"""")"),"11")</f>
        <v>11</v>
      </c>
      <c r="P457" s="14" t="b">
        <f t="shared" si="6"/>
        <v>0</v>
      </c>
    </row>
    <row r="458">
      <c r="A458" s="13" t="s">
        <v>1680</v>
      </c>
      <c r="B458" s="9" t="str">
        <f t="shared" si="1"/>
        <v>Мт.</v>
      </c>
      <c r="C458" s="10" t="s">
        <v>1493</v>
      </c>
      <c r="D458" s="11" t="str">
        <f t="shared" si="2"/>
        <v>95</v>
      </c>
      <c r="E458" s="9"/>
      <c r="F458" s="13" t="s">
        <v>1681</v>
      </c>
      <c r="G458" s="14"/>
      <c r="H458" s="15"/>
      <c r="I458" s="16" t="s">
        <v>29</v>
      </c>
      <c r="J458" s="73">
        <v>11.0</v>
      </c>
      <c r="K458" s="54"/>
      <c r="L458" s="55">
        <v>2.0</v>
      </c>
      <c r="M458" s="18">
        <f>IFNA( VLOOKUP(LEFT(F458, IFERROR(FIND(" ", F458, 1),1) - 1), lists!$A$31:$B$37, 2, FALSE),"")</f>
        <v>2</v>
      </c>
      <c r="N458" s="18" t="str">
        <f>IFERROR(__xludf.DUMMYFUNCTION("IFNA(VLOOKUP(IFNA(REGEXEXTRACT(F458, ""(Пасхи|50-ці|посту)""),""""),lists!$A$39:$B$41,2,FALSE),"""")"),"")</f>
        <v/>
      </c>
      <c r="O458" s="19" t="str">
        <f>IFERROR(__xludf.DUMMYFUNCTION("IFNA(REGEXEXTRACT(F458, ""\d{1,2}""),"""")"),"11")</f>
        <v>11</v>
      </c>
      <c r="P458" s="14" t="b">
        <f t="shared" si="6"/>
        <v>0</v>
      </c>
    </row>
    <row r="459">
      <c r="A459" s="13" t="s">
        <v>1682</v>
      </c>
      <c r="B459" s="9" t="str">
        <f t="shared" si="1"/>
        <v>Мт.</v>
      </c>
      <c r="C459" s="10" t="s">
        <v>1493</v>
      </c>
      <c r="D459" s="11" t="str">
        <f t="shared" si="2"/>
        <v>96</v>
      </c>
      <c r="E459" s="9"/>
      <c r="F459" s="13" t="s">
        <v>1683</v>
      </c>
      <c r="G459" s="14"/>
      <c r="H459" s="15"/>
      <c r="I459" s="16" t="s">
        <v>29</v>
      </c>
      <c r="J459" s="73">
        <v>11.0</v>
      </c>
      <c r="K459" s="54"/>
      <c r="L459" s="55">
        <v>3.0</v>
      </c>
      <c r="M459" s="18">
        <f>IFNA( VLOOKUP(LEFT(F459, IFERROR(FIND(" ", F459, 1),1) - 1), lists!$A$31:$B$37, 2, FALSE),"")</f>
        <v>3</v>
      </c>
      <c r="N459" s="18" t="str">
        <f>IFERROR(__xludf.DUMMYFUNCTION("IFNA(VLOOKUP(IFNA(REGEXEXTRACT(F459, ""(Пасхи|50-ці|посту)""),""""),lists!$A$39:$B$41,2,FALSE),"""")"),"")</f>
        <v/>
      </c>
      <c r="O459" s="19" t="str">
        <f>IFERROR(__xludf.DUMMYFUNCTION("IFNA(REGEXEXTRACT(F459, ""\d{1,2}""),"""")"),"11")</f>
        <v>11</v>
      </c>
      <c r="P459" s="14" t="b">
        <f t="shared" si="6"/>
        <v>0</v>
      </c>
    </row>
    <row r="460">
      <c r="A460" s="13" t="s">
        <v>1684</v>
      </c>
      <c r="B460" s="9" t="str">
        <f t="shared" si="1"/>
        <v>Мт.</v>
      </c>
      <c r="C460" s="10" t="s">
        <v>1493</v>
      </c>
      <c r="D460" s="11" t="str">
        <f t="shared" si="2"/>
        <v>97</v>
      </c>
      <c r="E460" s="9"/>
      <c r="F460" s="13" t="s">
        <v>1685</v>
      </c>
      <c r="G460" s="14"/>
      <c r="H460" s="15"/>
      <c r="I460" s="16" t="s">
        <v>29</v>
      </c>
      <c r="J460" s="73">
        <v>15.0</v>
      </c>
      <c r="K460" s="54"/>
      <c r="L460" s="55">
        <v>6.0</v>
      </c>
      <c r="M460" s="18">
        <f>IFNA( VLOOKUP(LEFT(F460, IFERROR(FIND(" ", F460, 1),1) - 1), lists!$A$31:$B$37, 2, FALSE),"")</f>
        <v>6</v>
      </c>
      <c r="N460" s="18" t="str">
        <f>IFERROR(__xludf.DUMMYFUNCTION("IFNA(VLOOKUP(IFNA(REGEXEXTRACT(F460, ""(Пасхи|50-ці|посту)""),""""),lists!$A$39:$B$41,2,FALSE),"""")"),"")</f>
        <v/>
      </c>
      <c r="O460" s="19" t="str">
        <f>IFERROR(__xludf.DUMMYFUNCTION("IFNA(REGEXEXTRACT(F460, ""\d{1,2}""),"""")"),"15")</f>
        <v>15</v>
      </c>
      <c r="P460" s="14" t="b">
        <f t="shared" si="6"/>
        <v>0</v>
      </c>
    </row>
    <row r="461">
      <c r="A461" s="13" t="s">
        <v>1686</v>
      </c>
      <c r="B461" s="9" t="str">
        <f t="shared" si="1"/>
        <v>Мт.</v>
      </c>
      <c r="C461" s="10" t="s">
        <v>1493</v>
      </c>
      <c r="D461" s="11" t="str">
        <f t="shared" si="2"/>
        <v>98</v>
      </c>
      <c r="E461" s="9"/>
      <c r="F461" s="13" t="s">
        <v>1687</v>
      </c>
      <c r="G461" s="14"/>
      <c r="H461" s="22"/>
      <c r="I461" s="16" t="s">
        <v>20</v>
      </c>
      <c r="J461" s="53">
        <v>7.0</v>
      </c>
      <c r="K461" s="54"/>
      <c r="L461" s="55">
        <v>1.0</v>
      </c>
      <c r="M461" s="18" t="str">
        <f>IFNA( VLOOKUP(LEFT(F461, IFERROR(FIND(" ", F461, 1),1) - 1), lists!$A$31:$B$37, 2, FALSE),"")</f>
        <v/>
      </c>
      <c r="N461" s="18" t="str">
        <f>IFERROR(__xludf.DUMMYFUNCTION("IFNA(VLOOKUP(IFNA(REGEXEXTRACT(F461, ""(Пасхи|50-ці|посту)""),""""),lists!$A$39:$B$41,2,FALSE),"""")"),"")</f>
        <v/>
      </c>
      <c r="O461" s="19" t="str">
        <f>IFERROR(__xludf.DUMMYFUNCTION("IFNA(REGEXEXTRACT(F461, ""\d{1,2}""),"""")"),"")</f>
        <v/>
      </c>
      <c r="P461" s="14" t="b">
        <f t="shared" si="6"/>
        <v>0</v>
      </c>
    </row>
    <row r="462">
      <c r="A462" s="13" t="s">
        <v>1688</v>
      </c>
      <c r="B462" s="9" t="str">
        <f t="shared" si="1"/>
        <v>Мт.</v>
      </c>
      <c r="C462" s="10" t="s">
        <v>1493</v>
      </c>
      <c r="D462" s="11" t="str">
        <f t="shared" si="2"/>
        <v>99</v>
      </c>
      <c r="E462" s="9"/>
      <c r="F462" s="13" t="s">
        <v>1689</v>
      </c>
      <c r="G462" s="14"/>
      <c r="H462" s="22"/>
      <c r="I462" s="16" t="s">
        <v>29</v>
      </c>
      <c r="J462" s="73">
        <v>11.0</v>
      </c>
      <c r="K462" s="54"/>
      <c r="L462" s="55">
        <v>4.0</v>
      </c>
      <c r="M462" s="18">
        <f>IFNA( VLOOKUP(LEFT(F462, IFERROR(FIND(" ", F462, 1),1) - 1), lists!$A$31:$B$37, 2, FALSE),"")</f>
        <v>4</v>
      </c>
      <c r="N462" s="18" t="str">
        <f>IFERROR(__xludf.DUMMYFUNCTION("IFNA(VLOOKUP(IFNA(REGEXEXTRACT(F462, ""(Пасхи|50-ці|посту)""),""""),lists!$A$39:$B$41,2,FALSE),"""")"),"")</f>
        <v/>
      </c>
      <c r="O462" s="19" t="str">
        <f>IFERROR(__xludf.DUMMYFUNCTION("IFNA(REGEXEXTRACT(F462, ""\d{1,2}""),"""")"),"11")</f>
        <v>11</v>
      </c>
      <c r="P462" s="14" t="b">
        <f t="shared" si="6"/>
        <v>0</v>
      </c>
    </row>
    <row r="463">
      <c r="A463" s="79" t="s">
        <v>1690</v>
      </c>
      <c r="B463" s="9" t="str">
        <f t="shared" si="1"/>
        <v>Мт.</v>
      </c>
      <c r="C463" s="10" t="s">
        <v>1493</v>
      </c>
      <c r="D463" s="11" t="str">
        <f t="shared" si="2"/>
        <v>100</v>
      </c>
      <c r="E463" s="9"/>
      <c r="F463" s="13" t="s">
        <v>1691</v>
      </c>
      <c r="G463" s="14"/>
      <c r="H463" s="15"/>
      <c r="I463" s="16" t="s">
        <v>29</v>
      </c>
      <c r="J463" s="73">
        <v>11.0</v>
      </c>
      <c r="K463" s="54"/>
      <c r="L463" s="55">
        <v>5.0</v>
      </c>
      <c r="M463" s="18">
        <f>IFNA( VLOOKUP(LEFT(F463, IFERROR(FIND(" ", F463, 1),1) - 1), lists!$A$31:$B$37, 2, FALSE),"")</f>
        <v>5</v>
      </c>
      <c r="N463" s="18" t="str">
        <f>IFERROR(__xludf.DUMMYFUNCTION("IFNA(VLOOKUP(IFNA(REGEXEXTRACT(F463, ""(Пасхи|50-ці|посту)""),""""),lists!$A$39:$B$41,2,FALSE),"""")"),"")</f>
        <v/>
      </c>
      <c r="O463" s="19" t="str">
        <f>IFERROR(__xludf.DUMMYFUNCTION("IFNA(REGEXEXTRACT(F463, ""\d{1,2}""),"""")"),"11")</f>
        <v>11</v>
      </c>
      <c r="P463" s="14" t="b">
        <f t="shared" si="6"/>
        <v>0</v>
      </c>
    </row>
    <row r="464">
      <c r="A464" s="79" t="s">
        <v>1692</v>
      </c>
      <c r="B464" s="9" t="str">
        <f t="shared" si="1"/>
        <v>Мт.</v>
      </c>
      <c r="C464" s="10" t="s">
        <v>1493</v>
      </c>
      <c r="D464" s="11" t="str">
        <f t="shared" si="2"/>
        <v>101</v>
      </c>
      <c r="E464" s="9"/>
      <c r="F464" s="13" t="s">
        <v>1693</v>
      </c>
      <c r="G464" s="14"/>
      <c r="H464" s="15"/>
      <c r="I464" s="16" t="s">
        <v>29</v>
      </c>
      <c r="J464" s="73">
        <v>16.0</v>
      </c>
      <c r="K464" s="54"/>
      <c r="L464" s="55">
        <v>6.0</v>
      </c>
      <c r="M464" s="18">
        <f>IFNA( VLOOKUP(LEFT(F464, IFERROR(FIND(" ", F464, 1),1) - 1), lists!$A$31:$B$37, 2, FALSE),"")</f>
        <v>6</v>
      </c>
      <c r="N464" s="18" t="str">
        <f>IFERROR(__xludf.DUMMYFUNCTION("IFNA(VLOOKUP(IFNA(REGEXEXTRACT(F464, ""(Пасхи|50-ці|посту)""),""""),lists!$A$39:$B$41,2,FALSE),"""")"),"")</f>
        <v/>
      </c>
      <c r="O464" s="19" t="str">
        <f>IFERROR(__xludf.DUMMYFUNCTION("IFNA(REGEXEXTRACT(F464, ""\d{1,2}""),"""")"),"16")</f>
        <v>16</v>
      </c>
      <c r="P464" s="14" t="b">
        <f t="shared" si="6"/>
        <v>0</v>
      </c>
    </row>
    <row r="465">
      <c r="A465" s="13" t="s">
        <v>1694</v>
      </c>
      <c r="B465" s="9" t="str">
        <f t="shared" si="1"/>
        <v>Мт.</v>
      </c>
      <c r="C465" s="10" t="s">
        <v>1493</v>
      </c>
      <c r="D465" s="11" t="str">
        <f t="shared" si="2"/>
        <v>102</v>
      </c>
      <c r="E465" s="9"/>
      <c r="F465" s="13" t="s">
        <v>1695</v>
      </c>
      <c r="G465" s="14"/>
      <c r="H465" s="22"/>
      <c r="I465" s="16" t="s">
        <v>20</v>
      </c>
      <c r="J465" s="53">
        <v>7.0</v>
      </c>
      <c r="K465" s="54"/>
      <c r="L465" s="55">
        <v>2.0</v>
      </c>
      <c r="M465" s="18" t="str">
        <f>IFNA( VLOOKUP(LEFT(F465, IFERROR(FIND(" ", F465, 1),1) - 1), lists!$A$31:$B$37, 2, FALSE),"")</f>
        <v/>
      </c>
      <c r="N465" s="18" t="str">
        <f>IFERROR(__xludf.DUMMYFUNCTION("IFNA(VLOOKUP(IFNA(REGEXEXTRACT(F465, ""(Пасхи|50-ці|посту)""),""""),lists!$A$39:$B$41,2,FALSE),"""")"),"")</f>
        <v/>
      </c>
      <c r="O465" s="19" t="str">
        <f>IFERROR(__xludf.DUMMYFUNCTION("IFNA(REGEXEXTRACT(F465, ""\d{1,2}""),"""")"),"")</f>
        <v/>
      </c>
      <c r="P465" s="14" t="b">
        <f t="shared" si="6"/>
        <v>0</v>
      </c>
    </row>
    <row r="466">
      <c r="A466" s="21" t="s">
        <v>1696</v>
      </c>
      <c r="B466" s="9" t="str">
        <f t="shared" si="1"/>
        <v>Мт.</v>
      </c>
      <c r="C466" s="10" t="s">
        <v>1493</v>
      </c>
      <c r="D466" s="11" t="str">
        <f t="shared" si="2"/>
        <v>103</v>
      </c>
      <c r="E466" s="9"/>
      <c r="F466" s="13" t="s">
        <v>1697</v>
      </c>
      <c r="G466" s="14"/>
      <c r="H466" s="15" t="s">
        <v>70</v>
      </c>
      <c r="I466" s="16" t="s">
        <v>71</v>
      </c>
      <c r="J466" s="54">
        <v>30.0</v>
      </c>
      <c r="K466" s="54"/>
      <c r="L466" s="55" t="s">
        <v>71</v>
      </c>
      <c r="M466" s="18" t="str">
        <f>IFNA( VLOOKUP(LEFT(F466, IFERROR(FIND(" ", F466, 1),1) - 1), lists!$A$31:$B$37, 2, FALSE),"")</f>
        <v/>
      </c>
      <c r="N466" s="18" t="str">
        <f>IFERROR(__xludf.DUMMYFUNCTION("IFNA(VLOOKUP(IFNA(REGEXEXTRACT(F466, ""(Пасхи|50-ці|посту)""),""""),lists!$A$39:$B$41,2,FALSE),"""")"),"")</f>
        <v/>
      </c>
      <c r="O466" s="19" t="str">
        <f>IFERROR(__xludf.DUMMYFUNCTION("IFNA(REGEXEXTRACT(F466, ""\d{1,2}""),"""")"),"30")</f>
        <v>30</v>
      </c>
      <c r="P466" s="14" t="b">
        <f t="shared" si="6"/>
        <v>0</v>
      </c>
    </row>
    <row r="467">
      <c r="A467" s="13" t="s">
        <v>1698</v>
      </c>
      <c r="B467" s="9" t="str">
        <f t="shared" si="1"/>
        <v>Мт.</v>
      </c>
      <c r="C467" s="10" t="s">
        <v>1493</v>
      </c>
      <c r="D467" s="11" t="str">
        <f t="shared" si="2"/>
        <v>104</v>
      </c>
      <c r="E467" s="9"/>
      <c r="F467" s="13" t="s">
        <v>1699</v>
      </c>
      <c r="G467" s="14"/>
      <c r="H467" s="15" t="s">
        <v>70</v>
      </c>
      <c r="I467" s="16" t="s">
        <v>29</v>
      </c>
      <c r="J467" s="54">
        <v>17.0</v>
      </c>
      <c r="K467" s="54"/>
      <c r="L467" s="55">
        <v>6.0</v>
      </c>
      <c r="M467" s="18">
        <f>IFNA( VLOOKUP(LEFT(F467, IFERROR(FIND(" ", F467, 1),1) - 1), lists!$A$31:$B$37, 2, FALSE),"")</f>
        <v>6</v>
      </c>
      <c r="N467" s="18" t="str">
        <f>IFERROR(__xludf.DUMMYFUNCTION("IFNA(VLOOKUP(IFNA(REGEXEXTRACT(F467, ""(Пасхи|50-ці|посту)""),""""),lists!$A$39:$B$41,2,FALSE),"""")"),"")</f>
        <v/>
      </c>
      <c r="O467" s="19" t="str">
        <f>IFERROR(__xludf.DUMMYFUNCTION("IFNA(REGEXEXTRACT(F467, ""\d{1,2}""),"""")"),"17")</f>
        <v>17</v>
      </c>
      <c r="P467" s="14" t="b">
        <f t="shared" si="6"/>
        <v>0</v>
      </c>
    </row>
    <row r="468">
      <c r="A468" s="13" t="s">
        <v>1700</v>
      </c>
      <c r="B468" s="9" t="str">
        <f t="shared" si="1"/>
        <v>Мт.</v>
      </c>
      <c r="C468" s="10" t="s">
        <v>1493</v>
      </c>
      <c r="D468" s="11" t="str">
        <f t="shared" si="2"/>
        <v>105</v>
      </c>
      <c r="E468" s="9"/>
      <c r="F468" s="13" t="s">
        <v>1701</v>
      </c>
      <c r="G468" s="14"/>
      <c r="H468" s="22"/>
      <c r="I468" s="16" t="s">
        <v>29</v>
      </c>
      <c r="J468" s="54">
        <v>16.0</v>
      </c>
      <c r="K468" s="54"/>
      <c r="L468" s="55">
        <v>7.0</v>
      </c>
      <c r="M468" s="18">
        <f>IFNA( VLOOKUP(LEFT(F468, IFERROR(FIND(" ", F468, 1),1) - 1), lists!$A$31:$B$37, 2, FALSE),"")</f>
        <v>7</v>
      </c>
      <c r="N468" s="18" t="str">
        <f>IFERROR(__xludf.DUMMYFUNCTION("IFNA(VLOOKUP(IFNA(REGEXEXTRACT(F468, ""(Пасхи|50-ці|посту)""),""""),lists!$A$39:$B$41,2,FALSE),"""")"),"")</f>
        <v/>
      </c>
      <c r="O468" s="19" t="str">
        <f>IFERROR(__xludf.DUMMYFUNCTION("IFNA(REGEXEXTRACT(F468, ""\d{1,2}""),"""")"),"16")</f>
        <v>16</v>
      </c>
      <c r="P468" s="14" t="b">
        <f t="shared" si="6"/>
        <v>0</v>
      </c>
    </row>
    <row r="469">
      <c r="A469" s="13" t="s">
        <v>1702</v>
      </c>
      <c r="B469" s="9" t="str">
        <f t="shared" si="1"/>
        <v>Мт.</v>
      </c>
      <c r="C469" s="10" t="s">
        <v>1493</v>
      </c>
      <c r="D469" s="11" t="str">
        <f t="shared" si="2"/>
        <v>106</v>
      </c>
      <c r="E469" s="9"/>
      <c r="F469" s="13" t="s">
        <v>1703</v>
      </c>
      <c r="G469" s="14"/>
      <c r="H469" s="22"/>
      <c r="I469" s="16" t="s">
        <v>29</v>
      </c>
      <c r="J469" s="55">
        <v>35.0</v>
      </c>
      <c r="K469" s="55">
        <v>2.0</v>
      </c>
      <c r="L469" s="55">
        <v>7.0</v>
      </c>
      <c r="M469" s="18">
        <f>IFNA( VLOOKUP(LEFT(F469, IFERROR(FIND(" ", F469, 1),1) - 1), lists!$A$31:$B$37, 2, FALSE),"")</f>
        <v>7</v>
      </c>
      <c r="N469" s="18" t="str">
        <f>IFERROR(__xludf.DUMMYFUNCTION("IFNA(VLOOKUP(IFNA(REGEXEXTRACT(F469, ""(Пасхи|50-ці|посту)""),""""),lists!$A$39:$B$41,2,FALSE),"""")"),"")</f>
        <v/>
      </c>
      <c r="O469" s="19" t="str">
        <f>IFERROR(__xludf.DUMMYFUNCTION("IFNA(REGEXEXTRACT(F469, ""\d{1,2}""),"""")"),"")</f>
        <v/>
      </c>
      <c r="P469" s="14" t="b">
        <f t="shared" si="6"/>
        <v>0</v>
      </c>
    </row>
    <row r="470">
      <c r="A470" s="79" t="s">
        <v>1704</v>
      </c>
      <c r="B470" s="24" t="str">
        <f t="shared" si="1"/>
        <v>Мт.</v>
      </c>
      <c r="C470" s="10" t="s">
        <v>1493</v>
      </c>
      <c r="D470" s="28" t="str">
        <f t="shared" si="2"/>
        <v>107</v>
      </c>
      <c r="E470" s="24"/>
      <c r="F470" s="79" t="s">
        <v>1705</v>
      </c>
      <c r="G470" s="82" t="s">
        <v>1706</v>
      </c>
      <c r="H470" s="22"/>
      <c r="I470" s="16" t="s">
        <v>20</v>
      </c>
      <c r="J470" s="53">
        <v>7.0</v>
      </c>
      <c r="K470" s="54"/>
      <c r="L470" s="55">
        <v>4.0</v>
      </c>
      <c r="M470" s="18" t="str">
        <f>IFNA( VLOOKUP(LEFT(F470, IFERROR(FIND(" ", F470, 1),1) - 1), lists!$A$31:$B$37, 2, FALSE),"")</f>
        <v/>
      </c>
      <c r="N470" s="18" t="str">
        <f>IFERROR(__xludf.DUMMYFUNCTION("IFNA(VLOOKUP(IFNA(REGEXEXTRACT(F470, ""(Пасхи|50-ці|посту)""),""""),lists!$A$39:$B$41,2,FALSE),"""")"),"")</f>
        <v/>
      </c>
      <c r="O470" s="19" t="str">
        <f>IFERROR(__xludf.DUMMYFUNCTION("IFNA(REGEXEXTRACT(F470, ""\d{1,2}""),"""")"),"")</f>
        <v/>
      </c>
      <c r="P470" s="14" t="b">
        <f t="shared" si="6"/>
        <v>0</v>
      </c>
    </row>
    <row r="471">
      <c r="A471" s="21" t="s">
        <v>1707</v>
      </c>
      <c r="B471" s="9" t="str">
        <f t="shared" si="1"/>
        <v>Мт.</v>
      </c>
      <c r="C471" s="10" t="s">
        <v>1493</v>
      </c>
      <c r="D471" s="11" t="str">
        <f t="shared" si="2"/>
        <v>107</v>
      </c>
      <c r="E471" s="9"/>
      <c r="F471" s="13" t="s">
        <v>1705</v>
      </c>
      <c r="G471" s="14"/>
      <c r="H471" s="22"/>
      <c r="I471" s="16"/>
      <c r="J471" s="53"/>
      <c r="K471" s="54"/>
      <c r="L471" s="55"/>
      <c r="M471" s="18"/>
      <c r="N471" s="18"/>
      <c r="O471" s="19"/>
      <c r="P471" s="14"/>
    </row>
    <row r="472">
      <c r="A472" s="13" t="s">
        <v>1708</v>
      </c>
      <c r="B472" s="9" t="str">
        <f t="shared" si="1"/>
        <v>Мт.</v>
      </c>
      <c r="C472" s="10" t="s">
        <v>1493</v>
      </c>
      <c r="D472" s="11" t="str">
        <f t="shared" si="2"/>
        <v>108</v>
      </c>
      <c r="E472" s="12" t="s">
        <v>18</v>
      </c>
      <c r="F472" s="13" t="s">
        <v>1709</v>
      </c>
      <c r="G472" s="14"/>
      <c r="H472" s="22"/>
      <c r="I472" s="16" t="s">
        <v>20</v>
      </c>
      <c r="J472" s="53">
        <v>7.0</v>
      </c>
      <c r="K472" s="54"/>
      <c r="L472" s="55">
        <v>3.0</v>
      </c>
      <c r="M472" s="18" t="str">
        <f>IFNA( VLOOKUP(LEFT(F472, IFERROR(FIND(" ", F472, 1),1) - 1), lists!$A$31:$B$37, 2, FALSE),"")</f>
        <v/>
      </c>
      <c r="N472" s="18" t="str">
        <f>IFERROR(__xludf.DUMMYFUNCTION("IFNA(VLOOKUP(IFNA(REGEXEXTRACT(F472, ""(Пасхи|50-ці|посту)""),""""),lists!$A$39:$B$41,2,FALSE),"""")"),"")</f>
        <v/>
      </c>
      <c r="O472" s="19" t="str">
        <f>IFERROR(__xludf.DUMMYFUNCTION("IFNA(REGEXEXTRACT(F472, ""\d{1,2}""),"""")"),"")</f>
        <v/>
      </c>
      <c r="P472" s="14" t="b">
        <f>AND(OR(I472="",J472="",L472=""),H472="")</f>
        <v>0</v>
      </c>
    </row>
    <row r="473">
      <c r="A473" s="21" t="s">
        <v>1710</v>
      </c>
      <c r="B473" s="9" t="str">
        <f t="shared" si="1"/>
        <v>Мт.</v>
      </c>
      <c r="C473" s="10" t="s">
        <v>1493</v>
      </c>
      <c r="D473" s="11" t="str">
        <f t="shared" si="2"/>
        <v>108</v>
      </c>
      <c r="E473" s="12" t="s">
        <v>22</v>
      </c>
      <c r="F473" s="21" t="s">
        <v>1711</v>
      </c>
      <c r="G473" s="8" t="s">
        <v>784</v>
      </c>
      <c r="H473" s="15"/>
      <c r="I473" s="16"/>
      <c r="J473" s="54"/>
      <c r="K473" s="54"/>
      <c r="L473" s="55"/>
      <c r="M473" s="18"/>
      <c r="N473" s="18"/>
      <c r="O473" s="19"/>
      <c r="P473" s="14"/>
    </row>
    <row r="474">
      <c r="A474" s="13" t="s">
        <v>1712</v>
      </c>
      <c r="B474" s="9" t="str">
        <f t="shared" si="1"/>
        <v>Мт.</v>
      </c>
      <c r="C474" s="10" t="s">
        <v>1493</v>
      </c>
      <c r="D474" s="11" t="str">
        <f t="shared" si="2"/>
        <v>109</v>
      </c>
      <c r="E474" s="9"/>
      <c r="F474" s="13" t="s">
        <v>1713</v>
      </c>
      <c r="G474" s="14"/>
      <c r="H474" s="15" t="s">
        <v>70</v>
      </c>
      <c r="I474" s="16" t="s">
        <v>71</v>
      </c>
      <c r="J474" s="54">
        <v>3.0</v>
      </c>
      <c r="K474" s="54"/>
      <c r="L474" s="55" t="s">
        <v>71</v>
      </c>
      <c r="M474" s="18" t="str">
        <f>IFNA( VLOOKUP(LEFT(F474, IFERROR(FIND(" ", F474, 1),1) - 1), lists!$A$31:$B$37, 2, FALSE),"")</f>
        <v/>
      </c>
      <c r="N474" s="18" t="str">
        <f>IFERROR(__xludf.DUMMYFUNCTION("IFNA(VLOOKUP(IFNA(REGEXEXTRACT(F474, ""(Пасхи|50-ці|посту)""),""""),lists!$A$39:$B$41,2,FALSE),"""")"),"")</f>
        <v/>
      </c>
      <c r="O474" s="19" t="str">
        <f>IFERROR(__xludf.DUMMYFUNCTION("IFNA(REGEXEXTRACT(F474, ""\d{1,2}""),"""")"),"3")</f>
        <v>3</v>
      </c>
      <c r="P474" s="14" t="b">
        <f t="shared" ref="P474:P483" si="7">AND(OR(I474="",J474="",L474=""),H474="")</f>
        <v>0</v>
      </c>
    </row>
    <row r="475">
      <c r="A475" s="30" t="s">
        <v>1714</v>
      </c>
      <c r="B475" s="24" t="str">
        <f t="shared" si="1"/>
        <v>Мт.</v>
      </c>
      <c r="C475" s="10" t="s">
        <v>1493</v>
      </c>
      <c r="D475" s="28" t="str">
        <f t="shared" si="2"/>
        <v>110</v>
      </c>
      <c r="E475" s="83" t="s">
        <v>22</v>
      </c>
      <c r="F475" s="79" t="s">
        <v>1715</v>
      </c>
      <c r="G475" s="82" t="s">
        <v>1706</v>
      </c>
      <c r="H475" s="15" t="s">
        <v>70</v>
      </c>
      <c r="I475" s="16"/>
      <c r="J475" s="53"/>
      <c r="K475" s="54"/>
      <c r="L475" s="55"/>
      <c r="M475" s="18" t="str">
        <f>IFNA( VLOOKUP(LEFT(F475, IFERROR(FIND(" ", F475, 1),1) - 1), lists!$A$31:$B$37, 2, FALSE),"")</f>
        <v/>
      </c>
      <c r="N475" s="18" t="str">
        <f>IFERROR(__xludf.DUMMYFUNCTION("IFNA(VLOOKUP(IFNA(REGEXEXTRACT(F475, ""(Пасхи|50-ці|посту)""),""""),lists!$A$39:$B$41,2,FALSE),"""")"),"")</f>
        <v/>
      </c>
      <c r="O475" s="19" t="str">
        <f>IFERROR(__xludf.DUMMYFUNCTION("IFNA(REGEXEXTRACT(F475, ""\d{1,2}""),"""")"),"")</f>
        <v/>
      </c>
      <c r="P475" s="14" t="b">
        <f t="shared" si="7"/>
        <v>0</v>
      </c>
    </row>
    <row r="476">
      <c r="A476" s="21" t="s">
        <v>1716</v>
      </c>
      <c r="B476" s="9" t="str">
        <f t="shared" si="1"/>
        <v>Мт.</v>
      </c>
      <c r="C476" s="10" t="s">
        <v>1493</v>
      </c>
      <c r="D476" s="11" t="str">
        <f t="shared" si="2"/>
        <v>110</v>
      </c>
      <c r="E476" s="80" t="s">
        <v>22</v>
      </c>
      <c r="F476" s="13" t="s">
        <v>1715</v>
      </c>
      <c r="G476" s="14"/>
      <c r="H476" s="15" t="s">
        <v>70</v>
      </c>
      <c r="I476" s="16"/>
      <c r="J476" s="53"/>
      <c r="K476" s="54"/>
      <c r="L476" s="55"/>
      <c r="M476" s="18" t="str">
        <f>IFNA( VLOOKUP(LEFT(F476, IFERROR(FIND(" ", F476, 1),1) - 1), lists!$A$31:$B$37, 2, FALSE),"")</f>
        <v/>
      </c>
      <c r="N476" s="18" t="str">
        <f>IFERROR(__xludf.DUMMYFUNCTION("IFNA(VLOOKUP(IFNA(REGEXEXTRACT(F476, ""(Пасхи|50-ці|посту)""),""""),lists!$A$39:$B$41,2,FALSE),"""")"),"")</f>
        <v/>
      </c>
      <c r="O476" s="19" t="str">
        <f>IFERROR(__xludf.DUMMYFUNCTION("IFNA(REGEXEXTRACT(F476, ""\d{1,2}""),"""")"),"")</f>
        <v/>
      </c>
      <c r="P476" s="14" t="b">
        <f t="shared" si="7"/>
        <v>0</v>
      </c>
    </row>
    <row r="477">
      <c r="A477" s="13" t="s">
        <v>1717</v>
      </c>
      <c r="B477" s="9" t="str">
        <f t="shared" si="1"/>
        <v>Мт.</v>
      </c>
      <c r="C477" s="10" t="s">
        <v>1493</v>
      </c>
      <c r="D477" s="11" t="str">
        <f t="shared" si="2"/>
        <v>110</v>
      </c>
      <c r="E477" s="80" t="s">
        <v>18</v>
      </c>
      <c r="F477" s="13" t="s">
        <v>1718</v>
      </c>
      <c r="G477" s="14"/>
      <c r="H477" s="15" t="s">
        <v>70</v>
      </c>
      <c r="I477" s="16" t="s">
        <v>71</v>
      </c>
      <c r="J477" s="54">
        <v>1.0</v>
      </c>
      <c r="K477" s="54"/>
      <c r="L477" s="55" t="s">
        <v>71</v>
      </c>
      <c r="M477" s="18" t="str">
        <f>IFNA( VLOOKUP(LEFT(F477, IFERROR(FIND(" ", F477, 1),1) - 1), lists!$A$31:$B$37, 2, FALSE),"")</f>
        <v/>
      </c>
      <c r="N477" s="18" t="str">
        <f>IFERROR(__xludf.DUMMYFUNCTION("IFNA(VLOOKUP(IFNA(REGEXEXTRACT(F477, ""(Пасхи|50-ці|посту)""),""""),lists!$A$39:$B$41,2,FALSE),"""")"),"")</f>
        <v/>
      </c>
      <c r="O477" s="19" t="str">
        <f>IFERROR(__xludf.DUMMYFUNCTION("IFNA(REGEXEXTRACT(F477, ""\d{1,2}""),"""")"),"1")</f>
        <v>1</v>
      </c>
      <c r="P477" s="14" t="b">
        <f t="shared" si="7"/>
        <v>0</v>
      </c>
    </row>
    <row r="478">
      <c r="A478" s="21" t="s">
        <v>1719</v>
      </c>
      <c r="B478" s="9" t="str">
        <f t="shared" si="1"/>
        <v>Мт.</v>
      </c>
      <c r="C478" s="10" t="s">
        <v>1493</v>
      </c>
      <c r="D478" s="11" t="str">
        <f t="shared" si="2"/>
        <v>111</v>
      </c>
      <c r="E478" s="9"/>
      <c r="F478" s="13" t="s">
        <v>1720</v>
      </c>
      <c r="G478" s="14"/>
      <c r="H478" s="15" t="s">
        <v>70</v>
      </c>
      <c r="I478" s="16" t="s">
        <v>71</v>
      </c>
      <c r="J478" s="54">
        <v>5.0</v>
      </c>
      <c r="K478" s="54"/>
      <c r="L478" s="55" t="s">
        <v>71</v>
      </c>
      <c r="M478" s="18" t="str">
        <f>IFNA( VLOOKUP(LEFT(F478, IFERROR(FIND(" ", F478, 1),1) - 1), lists!$A$31:$B$37, 2, FALSE),"")</f>
        <v/>
      </c>
      <c r="N478" s="18" t="str">
        <f>IFERROR(__xludf.DUMMYFUNCTION("IFNA(VLOOKUP(IFNA(REGEXEXTRACT(F478, ""(Пасхи|50-ці|посту)""),""""),lists!$A$39:$B$41,2,FALSE),"""")"),"")</f>
        <v/>
      </c>
      <c r="O478" s="19" t="str">
        <f>IFERROR(__xludf.DUMMYFUNCTION("IFNA(REGEXEXTRACT(F478, ""\d{1,2}""),"""")"),"5")</f>
        <v>5</v>
      </c>
      <c r="P478" s="14" t="b">
        <f t="shared" si="7"/>
        <v>0</v>
      </c>
    </row>
    <row r="479">
      <c r="A479" s="21" t="s">
        <v>1721</v>
      </c>
      <c r="B479" s="9" t="str">
        <f t="shared" si="1"/>
        <v>Мт.</v>
      </c>
      <c r="C479" s="10" t="s">
        <v>1493</v>
      </c>
      <c r="D479" s="11" t="str">
        <f t="shared" si="2"/>
        <v>112</v>
      </c>
      <c r="E479" s="9"/>
      <c r="F479" s="13" t="s">
        <v>1722</v>
      </c>
      <c r="G479" s="14"/>
      <c r="H479" s="15" t="s">
        <v>70</v>
      </c>
      <c r="I479" s="16" t="s">
        <v>71</v>
      </c>
      <c r="J479" s="54" t="s">
        <v>71</v>
      </c>
      <c r="K479" s="54"/>
      <c r="L479" s="55" t="s">
        <v>71</v>
      </c>
      <c r="M479" s="18" t="str">
        <f>IFNA( VLOOKUP(LEFT(F479, IFERROR(FIND(" ", F479, 1),1) - 1), lists!$A$31:$B$37, 2, FALSE),"")</f>
        <v/>
      </c>
      <c r="N479" s="18" t="str">
        <f>IFERROR(__xludf.DUMMYFUNCTION("IFNA(VLOOKUP(IFNA(REGEXEXTRACT(F479, ""(Пасхи|50-ці|посту)""),""""),lists!$A$39:$B$41,2,FALSE),"""")"),"")</f>
        <v/>
      </c>
      <c r="O479" s="19" t="str">
        <f>IFERROR(__xludf.DUMMYFUNCTION("IFNA(REGEXEXTRACT(F479, ""\d{1,2}""),"""")"),"")</f>
        <v/>
      </c>
      <c r="P479" s="14" t="b">
        <f t="shared" si="7"/>
        <v>0</v>
      </c>
    </row>
    <row r="480">
      <c r="A480" s="21" t="s">
        <v>1723</v>
      </c>
      <c r="B480" s="9" t="str">
        <f t="shared" si="1"/>
        <v>Мт.</v>
      </c>
      <c r="C480" s="10" t="s">
        <v>1493</v>
      </c>
      <c r="D480" s="11" t="str">
        <f t="shared" si="2"/>
        <v>113</v>
      </c>
      <c r="E480" s="9"/>
      <c r="F480" s="13" t="s">
        <v>1724</v>
      </c>
      <c r="G480" s="14"/>
      <c r="H480" s="15" t="s">
        <v>70</v>
      </c>
      <c r="I480" s="16" t="s">
        <v>71</v>
      </c>
      <c r="J480" s="54">
        <v>7.0</v>
      </c>
      <c r="K480" s="54"/>
      <c r="L480" s="55" t="s">
        <v>71</v>
      </c>
      <c r="M480" s="18" t="str">
        <f>IFNA( VLOOKUP(LEFT(F480, IFERROR(FIND(" ", F480, 1),1) - 1), lists!$A$31:$B$37, 2, FALSE),"")</f>
        <v/>
      </c>
      <c r="N480" s="18" t="str">
        <f>IFERROR(__xludf.DUMMYFUNCTION("IFNA(VLOOKUP(IFNA(REGEXEXTRACT(F480, ""(Пасхи|50-ці|посту)""),""""),lists!$A$39:$B$41,2,FALSE),"""")"),"")</f>
        <v/>
      </c>
      <c r="O480" s="19" t="str">
        <f>IFERROR(__xludf.DUMMYFUNCTION("IFNA(REGEXEXTRACT(F480, ""\d{1,2}""),"""")"),"7")</f>
        <v>7</v>
      </c>
      <c r="P480" s="14" t="b">
        <f t="shared" si="7"/>
        <v>0</v>
      </c>
    </row>
    <row r="481">
      <c r="A481" s="13" t="s">
        <v>1725</v>
      </c>
      <c r="B481" s="9" t="str">
        <f t="shared" si="1"/>
        <v>Мт.</v>
      </c>
      <c r="C481" s="10" t="s">
        <v>1493</v>
      </c>
      <c r="D481" s="11" t="str">
        <f t="shared" si="2"/>
        <v>114</v>
      </c>
      <c r="E481" s="9"/>
      <c r="F481" s="21" t="s">
        <v>1726</v>
      </c>
      <c r="G481" s="14"/>
      <c r="H481" s="15" t="s">
        <v>70</v>
      </c>
      <c r="I481" s="16" t="s">
        <v>20</v>
      </c>
      <c r="J481" s="55">
        <v>7.0</v>
      </c>
      <c r="K481" s="54"/>
      <c r="L481" s="55">
        <v>6.0</v>
      </c>
      <c r="M481" s="18" t="str">
        <f>IFNA( VLOOKUP(LEFT(F481, IFERROR(FIND(" ", F481, 1),1) - 1), lists!$A$31:$B$37, 2, FALSE),"")</f>
        <v/>
      </c>
      <c r="N481" s="18" t="str">
        <f>IFERROR(__xludf.DUMMYFUNCTION("IFNA(VLOOKUP(IFNA(REGEXEXTRACT(F481, ""(Пасхи|50-ці|посту)""),""""),lists!$A$39:$B$41,2,FALSE),"""")"),"")</f>
        <v/>
      </c>
      <c r="O481" s="19" t="str">
        <f>IFERROR(__xludf.DUMMYFUNCTION("IFNA(REGEXEXTRACT(F481, ""\d{1,2}""),"""")"),"12")</f>
        <v>12</v>
      </c>
      <c r="P481" s="14" t="b">
        <f t="shared" si="7"/>
        <v>0</v>
      </c>
    </row>
    <row r="482">
      <c r="A482" s="13" t="s">
        <v>1727</v>
      </c>
      <c r="B482" s="9" t="str">
        <f t="shared" si="1"/>
        <v>Мт.</v>
      </c>
      <c r="C482" s="10" t="s">
        <v>1493</v>
      </c>
      <c r="D482" s="11" t="str">
        <f t="shared" si="2"/>
        <v>115</v>
      </c>
      <c r="E482" s="9"/>
      <c r="F482" s="13" t="s">
        <v>1728</v>
      </c>
      <c r="G482" s="14"/>
      <c r="H482" s="22"/>
      <c r="I482" s="16" t="s">
        <v>20</v>
      </c>
      <c r="J482" s="55">
        <v>7.0</v>
      </c>
      <c r="K482" s="54"/>
      <c r="L482" s="55">
        <v>6.0</v>
      </c>
      <c r="M482" s="18" t="str">
        <f>IFNA( VLOOKUP(LEFT(F482, IFERROR(FIND(" ", F482, 1),1) - 1), lists!$A$31:$B$37, 2, FALSE),"")</f>
        <v/>
      </c>
      <c r="N482" s="18" t="str">
        <f>IFERROR(__xludf.DUMMYFUNCTION("IFNA(VLOOKUP(IFNA(REGEXEXTRACT(F482, ""(Пасхи|50-ці|посту)""),""""),lists!$A$39:$B$41,2,FALSE),"""")"),"")</f>
        <v/>
      </c>
      <c r="O482" s="19" t="str">
        <f>IFERROR(__xludf.DUMMYFUNCTION("IFNA(REGEXEXTRACT(F482, ""\d{1,2}""),"""")"),"")</f>
        <v/>
      </c>
      <c r="P482" s="14" t="b">
        <f t="shared" si="7"/>
        <v>0</v>
      </c>
    </row>
    <row r="483">
      <c r="A483" s="13" t="s">
        <v>1729</v>
      </c>
      <c r="B483" s="9" t="str">
        <f t="shared" si="1"/>
        <v>Мт.</v>
      </c>
      <c r="C483" s="10" t="s">
        <v>1493</v>
      </c>
      <c r="D483" s="11" t="str">
        <f t="shared" si="2"/>
        <v>116</v>
      </c>
      <c r="E483" s="9"/>
      <c r="F483" s="21" t="s">
        <v>1730</v>
      </c>
      <c r="G483" s="14"/>
      <c r="H483" s="15" t="s">
        <v>70</v>
      </c>
      <c r="I483" s="16" t="s">
        <v>24</v>
      </c>
      <c r="J483" s="54">
        <v>1.0</v>
      </c>
      <c r="K483" s="54"/>
      <c r="L483" s="55">
        <v>7.0</v>
      </c>
      <c r="M483" s="18" t="str">
        <f>IFNA( VLOOKUP(LEFT(F483, IFERROR(FIND(" ", F483, 1),1) - 1), lists!$A$31:$B$37, 2, FALSE),"")</f>
        <v/>
      </c>
      <c r="N483" s="18" t="str">
        <f>IFERROR(__xludf.DUMMYFUNCTION("IFNA(VLOOKUP(IFNA(REGEXEXTRACT(F483, ""(Пасхи|50-ці|посту)""),""""),lists!$A$39:$B$41,2,FALSE),"""")"),"")</f>
        <v/>
      </c>
      <c r="O483" s="19" t="str">
        <f>IFERROR(__xludf.DUMMYFUNCTION("IFNA(REGEXEXTRACT(F483, ""\d{1,2}""),"""")"),"1")</f>
        <v>1</v>
      </c>
      <c r="P483" s="14" t="b">
        <f t="shared" si="7"/>
        <v>0</v>
      </c>
    </row>
    <row r="484" ht="15.75" customHeight="1">
      <c r="A484" s="49"/>
      <c r="C484" s="84"/>
      <c r="D484" s="84"/>
      <c r="F484" s="49"/>
      <c r="H484" s="50"/>
      <c r="I484" s="51"/>
      <c r="J484" s="85"/>
      <c r="K484" s="85"/>
      <c r="L484" s="85"/>
      <c r="M484" s="52"/>
      <c r="N484" s="52"/>
      <c r="O484" s="52"/>
    </row>
    <row r="485" ht="15.75" customHeight="1">
      <c r="A485" s="49"/>
      <c r="C485" s="84"/>
      <c r="D485" s="84"/>
      <c r="F485" s="49"/>
      <c r="H485" s="50"/>
      <c r="I485" s="51"/>
      <c r="J485" s="85"/>
      <c r="K485" s="85"/>
      <c r="L485" s="85"/>
      <c r="M485" s="52"/>
      <c r="N485" s="52"/>
      <c r="O485" s="52"/>
    </row>
    <row r="486" ht="15.75" customHeight="1">
      <c r="A486" s="49"/>
      <c r="C486" s="84"/>
      <c r="D486" s="84"/>
      <c r="F486" s="49"/>
      <c r="H486" s="50"/>
      <c r="I486" s="51"/>
      <c r="J486" s="85"/>
      <c r="K486" s="85"/>
      <c r="L486" s="85"/>
      <c r="M486" s="52"/>
      <c r="N486" s="52"/>
      <c r="O486" s="52"/>
    </row>
    <row r="487" ht="15.75" customHeight="1">
      <c r="A487" s="49"/>
      <c r="C487" s="84"/>
      <c r="D487" s="84"/>
      <c r="F487" s="49"/>
      <c r="H487" s="50"/>
      <c r="I487" s="51"/>
      <c r="J487" s="85"/>
      <c r="K487" s="85"/>
      <c r="L487" s="85"/>
      <c r="M487" s="52"/>
      <c r="N487" s="52"/>
      <c r="O487" s="52"/>
    </row>
    <row r="488" ht="15.75" customHeight="1">
      <c r="A488" s="49"/>
      <c r="C488" s="84"/>
      <c r="D488" s="84"/>
      <c r="F488" s="49"/>
      <c r="H488" s="50"/>
      <c r="I488" s="51"/>
      <c r="J488" s="85"/>
      <c r="K488" s="85"/>
      <c r="L488" s="85"/>
      <c r="M488" s="52"/>
      <c r="N488" s="52"/>
      <c r="O488" s="52"/>
    </row>
    <row r="489" ht="15.75" customHeight="1">
      <c r="A489" s="49"/>
      <c r="C489" s="84"/>
      <c r="D489" s="84"/>
      <c r="F489" s="49"/>
      <c r="H489" s="50"/>
      <c r="I489" s="51"/>
      <c r="J489" s="85"/>
      <c r="K489" s="85"/>
      <c r="L489" s="85"/>
      <c r="M489" s="52"/>
      <c r="N489" s="52"/>
      <c r="O489" s="52"/>
    </row>
    <row r="490" ht="15.75" customHeight="1">
      <c r="A490" s="49"/>
      <c r="C490" s="84"/>
      <c r="D490" s="84"/>
      <c r="F490" s="49"/>
      <c r="H490" s="50"/>
      <c r="I490" s="51"/>
      <c r="J490" s="85"/>
      <c r="K490" s="85"/>
      <c r="L490" s="85"/>
      <c r="M490" s="52"/>
      <c r="N490" s="52"/>
      <c r="O490" s="52"/>
    </row>
    <row r="491" ht="15.75" customHeight="1">
      <c r="A491" s="49"/>
      <c r="C491" s="84"/>
      <c r="D491" s="84"/>
      <c r="F491" s="49"/>
      <c r="H491" s="50"/>
      <c r="I491" s="51"/>
      <c r="J491" s="85"/>
      <c r="K491" s="85"/>
      <c r="L491" s="85"/>
      <c r="M491" s="52"/>
      <c r="N491" s="52"/>
      <c r="O491" s="52"/>
    </row>
    <row r="492" ht="15.75" customHeight="1">
      <c r="A492" s="49"/>
      <c r="C492" s="84"/>
      <c r="D492" s="84"/>
      <c r="F492" s="49"/>
      <c r="H492" s="50"/>
      <c r="I492" s="51"/>
      <c r="J492" s="85"/>
      <c r="K492" s="85"/>
      <c r="L492" s="85"/>
      <c r="M492" s="52"/>
      <c r="N492" s="52"/>
      <c r="O492" s="52"/>
    </row>
    <row r="493" ht="15.75" customHeight="1">
      <c r="A493" s="49"/>
      <c r="C493" s="84"/>
      <c r="D493" s="84"/>
      <c r="F493" s="49"/>
      <c r="H493" s="50"/>
      <c r="I493" s="51"/>
      <c r="J493" s="85"/>
      <c r="K493" s="85"/>
      <c r="L493" s="85"/>
      <c r="M493" s="52"/>
      <c r="N493" s="52"/>
      <c r="O493" s="52"/>
    </row>
    <row r="494" ht="15.75" customHeight="1">
      <c r="A494" s="49"/>
      <c r="C494" s="84"/>
      <c r="D494" s="84"/>
      <c r="F494" s="49"/>
      <c r="H494" s="50"/>
      <c r="I494" s="51"/>
      <c r="J494" s="85"/>
      <c r="K494" s="85"/>
      <c r="L494" s="85"/>
      <c r="M494" s="52"/>
      <c r="N494" s="52"/>
      <c r="O494" s="52"/>
    </row>
    <row r="495" ht="15.75" customHeight="1">
      <c r="A495" s="49"/>
      <c r="C495" s="84"/>
      <c r="D495" s="84"/>
      <c r="F495" s="49"/>
      <c r="H495" s="50"/>
      <c r="I495" s="51"/>
      <c r="J495" s="85"/>
      <c r="K495" s="85"/>
      <c r="L495" s="85"/>
      <c r="M495" s="52"/>
      <c r="N495" s="52"/>
      <c r="O495" s="52"/>
    </row>
    <row r="496" ht="15.75" customHeight="1">
      <c r="A496" s="49"/>
      <c r="C496" s="84"/>
      <c r="D496" s="84"/>
      <c r="F496" s="49"/>
      <c r="H496" s="50"/>
      <c r="I496" s="51"/>
      <c r="J496" s="85"/>
      <c r="K496" s="85"/>
      <c r="L496" s="85"/>
      <c r="M496" s="52"/>
      <c r="N496" s="52"/>
      <c r="O496" s="52"/>
    </row>
    <row r="497" ht="15.75" customHeight="1">
      <c r="A497" s="49"/>
      <c r="C497" s="84"/>
      <c r="D497" s="84"/>
      <c r="F497" s="49"/>
      <c r="H497" s="50"/>
      <c r="I497" s="51"/>
      <c r="J497" s="85"/>
      <c r="K497" s="85"/>
      <c r="L497" s="85"/>
      <c r="M497" s="52"/>
      <c r="N497" s="52"/>
      <c r="O497" s="52"/>
    </row>
    <row r="498" ht="15.75" customHeight="1">
      <c r="A498" s="49"/>
      <c r="C498" s="84"/>
      <c r="D498" s="84"/>
      <c r="F498" s="49"/>
      <c r="H498" s="50"/>
      <c r="I498" s="51"/>
      <c r="J498" s="85"/>
      <c r="K498" s="85"/>
      <c r="L498" s="85"/>
      <c r="M498" s="52"/>
      <c r="N498" s="52"/>
      <c r="O498" s="52"/>
    </row>
    <row r="499" ht="15.75" customHeight="1">
      <c r="A499" s="49"/>
      <c r="C499" s="84"/>
      <c r="D499" s="84"/>
      <c r="F499" s="49"/>
      <c r="H499" s="50"/>
      <c r="I499" s="51"/>
      <c r="J499" s="85"/>
      <c r="K499" s="85"/>
      <c r="L499" s="85"/>
      <c r="M499" s="52"/>
      <c r="N499" s="52"/>
      <c r="O499" s="52"/>
    </row>
    <row r="500" ht="15.75" customHeight="1">
      <c r="A500" s="49"/>
      <c r="C500" s="84"/>
      <c r="D500" s="84"/>
      <c r="F500" s="49"/>
      <c r="H500" s="50"/>
      <c r="I500" s="51"/>
      <c r="J500" s="85"/>
      <c r="K500" s="85"/>
      <c r="L500" s="85"/>
      <c r="M500" s="52"/>
      <c r="N500" s="52"/>
      <c r="O500" s="52"/>
    </row>
    <row r="501" ht="15.75" customHeight="1">
      <c r="A501" s="49"/>
      <c r="C501" s="84"/>
      <c r="D501" s="84"/>
      <c r="F501" s="49"/>
      <c r="H501" s="50"/>
      <c r="I501" s="51"/>
      <c r="J501" s="85"/>
      <c r="K501" s="85"/>
      <c r="L501" s="85"/>
      <c r="M501" s="52"/>
      <c r="N501" s="52"/>
      <c r="O501" s="52"/>
    </row>
    <row r="502" ht="15.75" customHeight="1">
      <c r="A502" s="49"/>
      <c r="C502" s="84"/>
      <c r="D502" s="84"/>
      <c r="F502" s="49"/>
      <c r="H502" s="50"/>
      <c r="I502" s="51"/>
      <c r="J502" s="85"/>
      <c r="K502" s="85"/>
      <c r="L502" s="85"/>
      <c r="M502" s="52"/>
      <c r="N502" s="52"/>
      <c r="O502" s="52"/>
    </row>
    <row r="503" ht="15.75" customHeight="1">
      <c r="A503" s="49"/>
      <c r="C503" s="84"/>
      <c r="D503" s="84"/>
      <c r="F503" s="49"/>
      <c r="H503" s="50"/>
      <c r="I503" s="51"/>
      <c r="J503" s="85"/>
      <c r="K503" s="85"/>
      <c r="L503" s="85"/>
      <c r="M503" s="52"/>
      <c r="N503" s="52"/>
      <c r="O503" s="52"/>
    </row>
    <row r="504" ht="15.75" customHeight="1">
      <c r="A504" s="49"/>
      <c r="C504" s="84"/>
      <c r="D504" s="84"/>
      <c r="F504" s="49"/>
      <c r="H504" s="50"/>
      <c r="I504" s="51"/>
      <c r="J504" s="85"/>
      <c r="K504" s="85"/>
      <c r="L504" s="85"/>
      <c r="M504" s="52"/>
      <c r="N504" s="52"/>
      <c r="O504" s="52"/>
    </row>
    <row r="505" ht="15.75" customHeight="1">
      <c r="A505" s="49"/>
      <c r="C505" s="84"/>
      <c r="D505" s="84"/>
      <c r="F505" s="49"/>
      <c r="H505" s="50"/>
      <c r="I505" s="51"/>
      <c r="J505" s="85"/>
      <c r="K505" s="85"/>
      <c r="L505" s="85"/>
      <c r="M505" s="52"/>
      <c r="N505" s="52"/>
      <c r="O505" s="52"/>
    </row>
    <row r="506" ht="15.75" customHeight="1">
      <c r="A506" s="49"/>
      <c r="C506" s="84"/>
      <c r="D506" s="84"/>
      <c r="F506" s="49"/>
      <c r="H506" s="50"/>
      <c r="I506" s="51"/>
      <c r="J506" s="85"/>
      <c r="K506" s="85"/>
      <c r="L506" s="85"/>
      <c r="M506" s="52"/>
      <c r="N506" s="52"/>
      <c r="O506" s="52"/>
    </row>
    <row r="507" ht="15.75" customHeight="1">
      <c r="A507" s="49"/>
      <c r="C507" s="84"/>
      <c r="D507" s="84"/>
      <c r="F507" s="49"/>
      <c r="H507" s="50"/>
      <c r="I507" s="51"/>
      <c r="J507" s="85"/>
      <c r="K507" s="85"/>
      <c r="L507" s="85"/>
      <c r="M507" s="52"/>
      <c r="N507" s="52"/>
      <c r="O507" s="52"/>
    </row>
    <row r="508" ht="15.75" customHeight="1">
      <c r="A508" s="49"/>
      <c r="C508" s="84"/>
      <c r="D508" s="84"/>
      <c r="F508" s="49"/>
      <c r="H508" s="50"/>
      <c r="I508" s="51"/>
      <c r="J508" s="85"/>
      <c r="K508" s="85"/>
      <c r="L508" s="85"/>
      <c r="M508" s="52"/>
      <c r="N508" s="52"/>
      <c r="O508" s="52"/>
    </row>
    <row r="509" ht="15.75" customHeight="1">
      <c r="A509" s="49"/>
      <c r="C509" s="84"/>
      <c r="D509" s="84"/>
      <c r="F509" s="49"/>
      <c r="H509" s="50"/>
      <c r="I509" s="51"/>
      <c r="J509" s="85"/>
      <c r="K509" s="85"/>
      <c r="L509" s="85"/>
      <c r="M509" s="52"/>
      <c r="N509" s="52"/>
      <c r="O509" s="52"/>
    </row>
    <row r="510" ht="15.75" customHeight="1">
      <c r="A510" s="49"/>
      <c r="C510" s="84"/>
      <c r="D510" s="84"/>
      <c r="F510" s="49"/>
      <c r="H510" s="50"/>
      <c r="I510" s="51"/>
      <c r="J510" s="85"/>
      <c r="K510" s="85"/>
      <c r="L510" s="85"/>
      <c r="M510" s="52"/>
      <c r="N510" s="52"/>
      <c r="O510" s="52"/>
    </row>
    <row r="511" ht="15.75" customHeight="1">
      <c r="A511" s="49"/>
      <c r="C511" s="84"/>
      <c r="D511" s="84"/>
      <c r="F511" s="49"/>
      <c r="H511" s="50"/>
      <c r="I511" s="51"/>
      <c r="J511" s="85"/>
      <c r="K511" s="85"/>
      <c r="L511" s="85"/>
      <c r="M511" s="52"/>
      <c r="N511" s="52"/>
      <c r="O511" s="52"/>
    </row>
    <row r="512" ht="15.75" customHeight="1">
      <c r="A512" s="49"/>
      <c r="C512" s="84"/>
      <c r="D512" s="84"/>
      <c r="F512" s="49"/>
      <c r="H512" s="50"/>
      <c r="I512" s="51"/>
      <c r="J512" s="85"/>
      <c r="K512" s="85"/>
      <c r="L512" s="85"/>
      <c r="M512" s="52"/>
      <c r="N512" s="52"/>
      <c r="O512" s="52"/>
    </row>
    <row r="513" ht="15.75" customHeight="1">
      <c r="A513" s="49"/>
      <c r="C513" s="84"/>
      <c r="D513" s="84"/>
      <c r="F513" s="49"/>
      <c r="H513" s="50"/>
      <c r="I513" s="51"/>
      <c r="J513" s="85"/>
      <c r="K513" s="85"/>
      <c r="L513" s="85"/>
      <c r="M513" s="52"/>
      <c r="N513" s="52"/>
      <c r="O513" s="52"/>
    </row>
    <row r="514" ht="15.75" customHeight="1">
      <c r="A514" s="49"/>
      <c r="C514" s="84"/>
      <c r="D514" s="84"/>
      <c r="F514" s="49"/>
      <c r="H514" s="50"/>
      <c r="I514" s="51"/>
      <c r="J514" s="85"/>
      <c r="K514" s="85"/>
      <c r="L514" s="85"/>
      <c r="M514" s="52"/>
      <c r="N514" s="52"/>
      <c r="O514" s="52"/>
    </row>
    <row r="515" ht="15.75" customHeight="1">
      <c r="A515" s="49"/>
      <c r="C515" s="84"/>
      <c r="D515" s="84"/>
      <c r="F515" s="49"/>
      <c r="H515" s="50"/>
      <c r="I515" s="51"/>
      <c r="J515" s="85"/>
      <c r="K515" s="85"/>
      <c r="L515" s="85"/>
      <c r="M515" s="52"/>
      <c r="N515" s="52"/>
      <c r="O515" s="52"/>
    </row>
    <row r="516" ht="15.75" customHeight="1">
      <c r="A516" s="49"/>
      <c r="C516" s="84"/>
      <c r="D516" s="84"/>
      <c r="F516" s="49"/>
      <c r="H516" s="50"/>
      <c r="I516" s="51"/>
      <c r="J516" s="85"/>
      <c r="K516" s="85"/>
      <c r="L516" s="85"/>
      <c r="M516" s="52"/>
      <c r="N516" s="52"/>
      <c r="O516" s="52"/>
    </row>
    <row r="517" ht="15.75" customHeight="1">
      <c r="A517" s="49"/>
      <c r="C517" s="84"/>
      <c r="D517" s="84"/>
      <c r="F517" s="49"/>
      <c r="H517" s="50"/>
      <c r="I517" s="51"/>
      <c r="J517" s="85"/>
      <c r="K517" s="85"/>
      <c r="L517" s="85"/>
      <c r="M517" s="52"/>
      <c r="N517" s="52"/>
      <c r="O517" s="52"/>
    </row>
    <row r="518" ht="15.75" customHeight="1">
      <c r="A518" s="49"/>
      <c r="C518" s="84"/>
      <c r="D518" s="84"/>
      <c r="F518" s="49"/>
      <c r="H518" s="50"/>
      <c r="I518" s="51"/>
      <c r="J518" s="85"/>
      <c r="K518" s="85"/>
      <c r="L518" s="85"/>
      <c r="M518" s="52"/>
      <c r="N518" s="52"/>
      <c r="O518" s="52"/>
    </row>
    <row r="519" ht="15.75" customHeight="1">
      <c r="A519" s="49"/>
      <c r="C519" s="84"/>
      <c r="D519" s="84"/>
      <c r="F519" s="49"/>
      <c r="H519" s="50"/>
      <c r="I519" s="51"/>
      <c r="J519" s="85"/>
      <c r="K519" s="85"/>
      <c r="L519" s="85"/>
      <c r="M519" s="52"/>
      <c r="N519" s="52"/>
      <c r="O519" s="52"/>
    </row>
    <row r="520" ht="15.75" customHeight="1">
      <c r="A520" s="49"/>
      <c r="C520" s="84"/>
      <c r="D520" s="84"/>
      <c r="F520" s="49"/>
      <c r="H520" s="50"/>
      <c r="I520" s="51"/>
      <c r="J520" s="85"/>
      <c r="K520" s="85"/>
      <c r="L520" s="85"/>
      <c r="M520" s="52"/>
      <c r="N520" s="52"/>
      <c r="O520" s="52"/>
    </row>
    <row r="521" ht="15.75" customHeight="1">
      <c r="A521" s="49"/>
      <c r="C521" s="84"/>
      <c r="D521" s="84"/>
      <c r="F521" s="49"/>
      <c r="H521" s="50"/>
      <c r="I521" s="51"/>
      <c r="J521" s="85"/>
      <c r="K521" s="85"/>
      <c r="L521" s="85"/>
      <c r="M521" s="52"/>
      <c r="N521" s="52"/>
      <c r="O521" s="52"/>
    </row>
    <row r="522" ht="15.75" customHeight="1">
      <c r="A522" s="49"/>
      <c r="C522" s="84"/>
      <c r="D522" s="84"/>
      <c r="F522" s="49"/>
      <c r="H522" s="50"/>
      <c r="I522" s="51"/>
      <c r="J522" s="85"/>
      <c r="K522" s="85"/>
      <c r="L522" s="85"/>
      <c r="M522" s="52"/>
      <c r="N522" s="52"/>
      <c r="O522" s="52"/>
    </row>
    <row r="523" ht="15.75" customHeight="1">
      <c r="A523" s="49"/>
      <c r="C523" s="84"/>
      <c r="D523" s="84"/>
      <c r="F523" s="49"/>
      <c r="H523" s="50"/>
      <c r="I523" s="51"/>
      <c r="J523" s="85"/>
      <c r="K523" s="85"/>
      <c r="L523" s="85"/>
      <c r="M523" s="52"/>
      <c r="N523" s="52"/>
      <c r="O523" s="52"/>
    </row>
    <row r="524" ht="15.75" customHeight="1">
      <c r="A524" s="49"/>
      <c r="C524" s="84"/>
      <c r="D524" s="84"/>
      <c r="F524" s="49"/>
      <c r="H524" s="50"/>
      <c r="I524" s="51"/>
      <c r="J524" s="85"/>
      <c r="K524" s="85"/>
      <c r="L524" s="85"/>
      <c r="M524" s="52"/>
      <c r="N524" s="52"/>
      <c r="O524" s="52"/>
    </row>
    <row r="525" ht="15.75" customHeight="1">
      <c r="A525" s="49"/>
      <c r="C525" s="84"/>
      <c r="D525" s="84"/>
      <c r="F525" s="49"/>
      <c r="H525" s="50"/>
      <c r="I525" s="51"/>
      <c r="J525" s="85"/>
      <c r="K525" s="85"/>
      <c r="L525" s="85"/>
      <c r="M525" s="52"/>
      <c r="N525" s="52"/>
      <c r="O525" s="52"/>
    </row>
    <row r="526" ht="15.75" customHeight="1">
      <c r="A526" s="49"/>
      <c r="C526" s="84"/>
      <c r="D526" s="84"/>
      <c r="F526" s="49"/>
      <c r="H526" s="50"/>
      <c r="I526" s="51"/>
      <c r="J526" s="85"/>
      <c r="K526" s="85"/>
      <c r="L526" s="85"/>
      <c r="M526" s="52"/>
      <c r="N526" s="52"/>
      <c r="O526" s="52"/>
    </row>
    <row r="527" ht="15.75" customHeight="1">
      <c r="A527" s="49"/>
      <c r="C527" s="84"/>
      <c r="D527" s="84"/>
      <c r="F527" s="49"/>
      <c r="H527" s="50"/>
      <c r="I527" s="51"/>
      <c r="J527" s="85"/>
      <c r="K527" s="85"/>
      <c r="L527" s="85"/>
      <c r="M527" s="52"/>
      <c r="N527" s="52"/>
      <c r="O527" s="52"/>
    </row>
    <row r="528" ht="15.75" customHeight="1">
      <c r="A528" s="49"/>
      <c r="C528" s="84"/>
      <c r="D528" s="84"/>
      <c r="F528" s="49"/>
      <c r="H528" s="50"/>
      <c r="I528" s="51"/>
      <c r="J528" s="85"/>
      <c r="K528" s="85"/>
      <c r="L528" s="85"/>
      <c r="M528" s="52"/>
      <c r="N528" s="52"/>
      <c r="O528" s="52"/>
    </row>
    <row r="529" ht="15.75" customHeight="1">
      <c r="A529" s="49"/>
      <c r="C529" s="84"/>
      <c r="D529" s="84"/>
      <c r="F529" s="49"/>
      <c r="H529" s="50"/>
      <c r="I529" s="51"/>
      <c r="J529" s="85"/>
      <c r="K529" s="85"/>
      <c r="L529" s="85"/>
      <c r="M529" s="52"/>
      <c r="N529" s="52"/>
      <c r="O529" s="52"/>
    </row>
    <row r="530" ht="15.75" customHeight="1">
      <c r="A530" s="49"/>
      <c r="C530" s="84"/>
      <c r="D530" s="84"/>
      <c r="F530" s="49"/>
      <c r="H530" s="50"/>
      <c r="I530" s="51"/>
      <c r="J530" s="85"/>
      <c r="K530" s="85"/>
      <c r="L530" s="85"/>
      <c r="M530" s="52"/>
      <c r="N530" s="52"/>
      <c r="O530" s="52"/>
    </row>
    <row r="531" ht="15.75" customHeight="1">
      <c r="A531" s="49"/>
      <c r="C531" s="84"/>
      <c r="D531" s="84"/>
      <c r="F531" s="49"/>
      <c r="H531" s="50"/>
      <c r="I531" s="51"/>
      <c r="J531" s="85"/>
      <c r="K531" s="85"/>
      <c r="L531" s="85"/>
      <c r="M531" s="52"/>
      <c r="N531" s="52"/>
      <c r="O531" s="52"/>
    </row>
    <row r="532" ht="15.75" customHeight="1">
      <c r="A532" s="49"/>
      <c r="C532" s="84"/>
      <c r="D532" s="84"/>
      <c r="F532" s="49"/>
      <c r="H532" s="50"/>
      <c r="I532" s="51"/>
      <c r="J532" s="85"/>
      <c r="K532" s="85"/>
      <c r="L532" s="85"/>
      <c r="M532" s="52"/>
      <c r="N532" s="52"/>
      <c r="O532" s="52"/>
    </row>
    <row r="533" ht="15.75" customHeight="1">
      <c r="A533" s="49"/>
      <c r="C533" s="84"/>
      <c r="D533" s="84"/>
      <c r="F533" s="49"/>
      <c r="H533" s="50"/>
      <c r="I533" s="51"/>
      <c r="J533" s="85"/>
      <c r="K533" s="85"/>
      <c r="L533" s="85"/>
      <c r="M533" s="52"/>
      <c r="N533" s="52"/>
      <c r="O533" s="52"/>
    </row>
    <row r="534" ht="15.75" customHeight="1">
      <c r="A534" s="49"/>
      <c r="C534" s="84"/>
      <c r="D534" s="84"/>
      <c r="F534" s="49"/>
      <c r="H534" s="50"/>
      <c r="I534" s="51"/>
      <c r="J534" s="85"/>
      <c r="K534" s="85"/>
      <c r="L534" s="85"/>
      <c r="M534" s="52"/>
      <c r="N534" s="52"/>
      <c r="O534" s="52"/>
    </row>
    <row r="535" ht="15.75" customHeight="1">
      <c r="A535" s="49"/>
      <c r="C535" s="84"/>
      <c r="D535" s="84"/>
      <c r="F535" s="49"/>
      <c r="H535" s="50"/>
      <c r="I535" s="51"/>
      <c r="J535" s="85"/>
      <c r="K535" s="85"/>
      <c r="L535" s="85"/>
      <c r="M535" s="52"/>
      <c r="N535" s="52"/>
      <c r="O535" s="52"/>
    </row>
    <row r="536" ht="15.75" customHeight="1">
      <c r="A536" s="49"/>
      <c r="C536" s="84"/>
      <c r="D536" s="84"/>
      <c r="F536" s="49"/>
      <c r="H536" s="50"/>
      <c r="I536" s="51"/>
      <c r="J536" s="85"/>
      <c r="K536" s="85"/>
      <c r="L536" s="85"/>
      <c r="M536" s="52"/>
      <c r="N536" s="52"/>
      <c r="O536" s="52"/>
    </row>
    <row r="537" ht="15.75" customHeight="1">
      <c r="A537" s="49"/>
      <c r="C537" s="84"/>
      <c r="D537" s="84"/>
      <c r="F537" s="49"/>
      <c r="H537" s="50"/>
      <c r="I537" s="51"/>
      <c r="J537" s="85"/>
      <c r="K537" s="85"/>
      <c r="L537" s="85"/>
      <c r="M537" s="52"/>
      <c r="N537" s="52"/>
      <c r="O537" s="52"/>
    </row>
    <row r="538" ht="15.75" customHeight="1">
      <c r="A538" s="49"/>
      <c r="C538" s="84"/>
      <c r="D538" s="84"/>
      <c r="F538" s="49"/>
      <c r="H538" s="50"/>
      <c r="I538" s="51"/>
      <c r="J538" s="85"/>
      <c r="K538" s="85"/>
      <c r="L538" s="85"/>
      <c r="M538" s="52"/>
      <c r="N538" s="52"/>
      <c r="O538" s="52"/>
    </row>
    <row r="539" ht="15.75" customHeight="1">
      <c r="A539" s="49"/>
      <c r="C539" s="84"/>
      <c r="D539" s="84"/>
      <c r="F539" s="49"/>
      <c r="H539" s="50"/>
      <c r="I539" s="51"/>
      <c r="J539" s="85"/>
      <c r="K539" s="85"/>
      <c r="L539" s="85"/>
      <c r="M539" s="52"/>
      <c r="N539" s="52"/>
      <c r="O539" s="52"/>
    </row>
    <row r="540" ht="15.75" customHeight="1">
      <c r="A540" s="49"/>
      <c r="C540" s="84"/>
      <c r="D540" s="84"/>
      <c r="F540" s="49"/>
      <c r="H540" s="50"/>
      <c r="I540" s="51"/>
      <c r="J540" s="85"/>
      <c r="K540" s="85"/>
      <c r="L540" s="85"/>
      <c r="M540" s="52"/>
      <c r="N540" s="52"/>
      <c r="O540" s="52"/>
    </row>
    <row r="541" ht="15.75" customHeight="1">
      <c r="A541" s="49"/>
      <c r="C541" s="84"/>
      <c r="D541" s="84"/>
      <c r="F541" s="49"/>
      <c r="H541" s="50"/>
      <c r="I541" s="51"/>
      <c r="J541" s="85"/>
      <c r="K541" s="85"/>
      <c r="L541" s="85"/>
      <c r="M541" s="52"/>
      <c r="N541" s="52"/>
      <c r="O541" s="52"/>
    </row>
    <row r="542" ht="15.75" customHeight="1">
      <c r="A542" s="49"/>
      <c r="C542" s="84"/>
      <c r="D542" s="84"/>
      <c r="F542" s="49"/>
      <c r="H542" s="50"/>
      <c r="I542" s="51"/>
      <c r="J542" s="85"/>
      <c r="K542" s="85"/>
      <c r="L542" s="85"/>
      <c r="M542" s="52"/>
      <c r="N542" s="52"/>
      <c r="O542" s="52"/>
    </row>
    <row r="543" ht="15.75" customHeight="1">
      <c r="A543" s="49"/>
      <c r="C543" s="84"/>
      <c r="D543" s="84"/>
      <c r="F543" s="49"/>
      <c r="H543" s="50"/>
      <c r="I543" s="51"/>
      <c r="J543" s="85"/>
      <c r="K543" s="85"/>
      <c r="L543" s="85"/>
      <c r="M543" s="52"/>
      <c r="N543" s="52"/>
      <c r="O543" s="52"/>
    </row>
    <row r="544" ht="15.75" customHeight="1">
      <c r="A544" s="49"/>
      <c r="C544" s="84"/>
      <c r="D544" s="84"/>
      <c r="F544" s="49"/>
      <c r="H544" s="50"/>
      <c r="I544" s="51"/>
      <c r="J544" s="85"/>
      <c r="K544" s="85"/>
      <c r="L544" s="85"/>
      <c r="M544" s="52"/>
      <c r="N544" s="52"/>
      <c r="O544" s="52"/>
    </row>
    <row r="545" ht="15.75" customHeight="1">
      <c r="A545" s="49"/>
      <c r="C545" s="84"/>
      <c r="D545" s="84"/>
      <c r="F545" s="49"/>
      <c r="H545" s="50"/>
      <c r="I545" s="51"/>
      <c r="J545" s="85"/>
      <c r="K545" s="85"/>
      <c r="L545" s="85"/>
      <c r="M545" s="52"/>
      <c r="N545" s="52"/>
      <c r="O545" s="52"/>
    </row>
    <row r="546" ht="15.75" customHeight="1">
      <c r="A546" s="49"/>
      <c r="C546" s="84"/>
      <c r="D546" s="84"/>
      <c r="F546" s="49"/>
      <c r="H546" s="50"/>
      <c r="I546" s="51"/>
      <c r="J546" s="85"/>
      <c r="K546" s="85"/>
      <c r="L546" s="85"/>
      <c r="M546" s="52"/>
      <c r="N546" s="52"/>
      <c r="O546" s="52"/>
    </row>
    <row r="547" ht="15.75" customHeight="1">
      <c r="A547" s="49"/>
      <c r="C547" s="84"/>
      <c r="D547" s="84"/>
      <c r="F547" s="49"/>
      <c r="H547" s="50"/>
      <c r="I547" s="51"/>
      <c r="J547" s="85"/>
      <c r="K547" s="85"/>
      <c r="L547" s="85"/>
      <c r="M547" s="52"/>
      <c r="N547" s="52"/>
      <c r="O547" s="52"/>
    </row>
    <row r="548" ht="15.75" customHeight="1">
      <c r="A548" s="49"/>
      <c r="C548" s="84"/>
      <c r="D548" s="84"/>
      <c r="F548" s="49"/>
      <c r="H548" s="50"/>
      <c r="I548" s="51"/>
      <c r="J548" s="85"/>
      <c r="K548" s="85"/>
      <c r="L548" s="85"/>
      <c r="M548" s="52"/>
      <c r="N548" s="52"/>
      <c r="O548" s="52"/>
    </row>
    <row r="549" ht="15.75" customHeight="1">
      <c r="A549" s="49"/>
      <c r="C549" s="84"/>
      <c r="D549" s="84"/>
      <c r="F549" s="49"/>
      <c r="H549" s="50"/>
      <c r="I549" s="51"/>
      <c r="J549" s="85"/>
      <c r="K549" s="85"/>
      <c r="L549" s="85"/>
      <c r="M549" s="52"/>
      <c r="N549" s="52"/>
      <c r="O549" s="52"/>
    </row>
    <row r="550" ht="15.75" customHeight="1">
      <c r="A550" s="49"/>
      <c r="C550" s="84"/>
      <c r="D550" s="84"/>
      <c r="F550" s="49"/>
      <c r="H550" s="50"/>
      <c r="I550" s="51"/>
      <c r="J550" s="85"/>
      <c r="K550" s="85"/>
      <c r="L550" s="85"/>
      <c r="M550" s="52"/>
      <c r="N550" s="52"/>
      <c r="O550" s="52"/>
    </row>
    <row r="551" ht="15.75" customHeight="1">
      <c r="A551" s="49"/>
      <c r="C551" s="84"/>
      <c r="D551" s="84"/>
      <c r="F551" s="49"/>
      <c r="H551" s="50"/>
      <c r="I551" s="51"/>
      <c r="J551" s="85"/>
      <c r="K551" s="85"/>
      <c r="L551" s="85"/>
      <c r="M551" s="52"/>
      <c r="N551" s="52"/>
      <c r="O551" s="52"/>
    </row>
    <row r="552" ht="15.75" customHeight="1">
      <c r="A552" s="49"/>
      <c r="C552" s="84"/>
      <c r="D552" s="84"/>
      <c r="F552" s="49"/>
      <c r="H552" s="50"/>
      <c r="I552" s="51"/>
      <c r="J552" s="85"/>
      <c r="K552" s="85"/>
      <c r="L552" s="85"/>
      <c r="M552" s="52"/>
      <c r="N552" s="52"/>
      <c r="O552" s="52"/>
    </row>
    <row r="553" ht="15.75" customHeight="1">
      <c r="A553" s="49"/>
      <c r="C553" s="84"/>
      <c r="D553" s="84"/>
      <c r="F553" s="49"/>
      <c r="H553" s="50"/>
      <c r="I553" s="51"/>
      <c r="J553" s="85"/>
      <c r="K553" s="85"/>
      <c r="L553" s="85"/>
      <c r="M553" s="52"/>
      <c r="N553" s="52"/>
      <c r="O553" s="52"/>
    </row>
    <row r="554" ht="15.75" customHeight="1">
      <c r="A554" s="49"/>
      <c r="C554" s="84"/>
      <c r="D554" s="84"/>
      <c r="F554" s="49"/>
      <c r="H554" s="50"/>
      <c r="I554" s="51"/>
      <c r="J554" s="85"/>
      <c r="K554" s="85"/>
      <c r="L554" s="85"/>
      <c r="M554" s="52"/>
      <c r="N554" s="52"/>
      <c r="O554" s="52"/>
    </row>
    <row r="555" ht="15.75" customHeight="1">
      <c r="A555" s="49"/>
      <c r="C555" s="84"/>
      <c r="D555" s="84"/>
      <c r="F555" s="49"/>
      <c r="H555" s="50"/>
      <c r="I555" s="51"/>
      <c r="J555" s="85"/>
      <c r="K555" s="85"/>
      <c r="L555" s="85"/>
      <c r="M555" s="52"/>
      <c r="N555" s="52"/>
      <c r="O555" s="52"/>
    </row>
    <row r="556" ht="15.75" customHeight="1">
      <c r="A556" s="49"/>
      <c r="C556" s="84"/>
      <c r="D556" s="84"/>
      <c r="F556" s="49"/>
      <c r="H556" s="50"/>
      <c r="I556" s="51"/>
      <c r="J556" s="85"/>
      <c r="K556" s="85"/>
      <c r="L556" s="85"/>
      <c r="M556" s="52"/>
      <c r="N556" s="52"/>
      <c r="O556" s="52"/>
    </row>
    <row r="557" ht="15.75" customHeight="1">
      <c r="A557" s="49"/>
      <c r="C557" s="84"/>
      <c r="D557" s="84"/>
      <c r="F557" s="49"/>
      <c r="H557" s="50"/>
      <c r="I557" s="51"/>
      <c r="J557" s="85"/>
      <c r="K557" s="85"/>
      <c r="L557" s="85"/>
      <c r="M557" s="52"/>
      <c r="N557" s="52"/>
      <c r="O557" s="52"/>
    </row>
    <row r="558" ht="15.75" customHeight="1">
      <c r="A558" s="49"/>
      <c r="C558" s="84"/>
      <c r="D558" s="84"/>
      <c r="F558" s="49"/>
      <c r="H558" s="50"/>
      <c r="I558" s="51"/>
      <c r="J558" s="85"/>
      <c r="K558" s="85"/>
      <c r="L558" s="85"/>
      <c r="M558" s="52"/>
      <c r="N558" s="52"/>
      <c r="O558" s="52"/>
    </row>
    <row r="559" ht="15.75" customHeight="1">
      <c r="A559" s="49"/>
      <c r="C559" s="84"/>
      <c r="D559" s="84"/>
      <c r="F559" s="49"/>
      <c r="H559" s="50"/>
      <c r="I559" s="51"/>
      <c r="J559" s="85"/>
      <c r="K559" s="85"/>
      <c r="L559" s="85"/>
      <c r="M559" s="52"/>
      <c r="N559" s="52"/>
      <c r="O559" s="52"/>
    </row>
    <row r="560" ht="15.75" customHeight="1">
      <c r="A560" s="49"/>
      <c r="C560" s="84"/>
      <c r="D560" s="84"/>
      <c r="F560" s="49"/>
      <c r="H560" s="50"/>
      <c r="I560" s="51"/>
      <c r="J560" s="85"/>
      <c r="K560" s="85"/>
      <c r="L560" s="85"/>
      <c r="M560" s="52"/>
      <c r="N560" s="52"/>
      <c r="O560" s="52"/>
    </row>
    <row r="561" ht="15.75" customHeight="1">
      <c r="A561" s="49"/>
      <c r="C561" s="84"/>
      <c r="D561" s="84"/>
      <c r="F561" s="49"/>
      <c r="H561" s="50"/>
      <c r="I561" s="51"/>
      <c r="J561" s="85"/>
      <c r="K561" s="85"/>
      <c r="L561" s="85"/>
      <c r="M561" s="52"/>
      <c r="N561" s="52"/>
      <c r="O561" s="52"/>
    </row>
    <row r="562" ht="15.75" customHeight="1">
      <c r="A562" s="49"/>
      <c r="C562" s="84"/>
      <c r="D562" s="84"/>
      <c r="F562" s="49"/>
      <c r="H562" s="50"/>
      <c r="I562" s="51"/>
      <c r="J562" s="85"/>
      <c r="K562" s="85"/>
      <c r="L562" s="85"/>
      <c r="M562" s="52"/>
      <c r="N562" s="52"/>
      <c r="O562" s="52"/>
    </row>
    <row r="563" ht="15.75" customHeight="1">
      <c r="A563" s="49"/>
      <c r="C563" s="84"/>
      <c r="D563" s="84"/>
      <c r="F563" s="49"/>
      <c r="H563" s="50"/>
      <c r="I563" s="51"/>
      <c r="J563" s="85"/>
      <c r="K563" s="85"/>
      <c r="L563" s="85"/>
      <c r="M563" s="52"/>
      <c r="N563" s="52"/>
      <c r="O563" s="52"/>
    </row>
    <row r="564" ht="15.75" customHeight="1">
      <c r="A564" s="49"/>
      <c r="C564" s="84"/>
      <c r="D564" s="84"/>
      <c r="F564" s="49"/>
      <c r="H564" s="50"/>
      <c r="I564" s="51"/>
      <c r="J564" s="85"/>
      <c r="K564" s="85"/>
      <c r="L564" s="85"/>
      <c r="M564" s="52"/>
      <c r="N564" s="52"/>
      <c r="O564" s="52"/>
    </row>
    <row r="565" ht="15.75" customHeight="1">
      <c r="A565" s="49"/>
      <c r="C565" s="84"/>
      <c r="D565" s="84"/>
      <c r="F565" s="49"/>
      <c r="H565" s="50"/>
      <c r="I565" s="51"/>
      <c r="J565" s="85"/>
      <c r="K565" s="85"/>
      <c r="L565" s="85"/>
      <c r="M565" s="52"/>
      <c r="N565" s="52"/>
      <c r="O565" s="52"/>
    </row>
    <row r="566" ht="15.75" customHeight="1">
      <c r="A566" s="49"/>
      <c r="C566" s="84"/>
      <c r="D566" s="84"/>
      <c r="F566" s="49"/>
      <c r="H566" s="50"/>
      <c r="I566" s="51"/>
      <c r="J566" s="85"/>
      <c r="K566" s="85"/>
      <c r="L566" s="85"/>
      <c r="M566" s="52"/>
      <c r="N566" s="52"/>
      <c r="O566" s="52"/>
    </row>
    <row r="567" ht="15.75" customHeight="1">
      <c r="A567" s="49"/>
      <c r="C567" s="84"/>
      <c r="D567" s="84"/>
      <c r="F567" s="49"/>
      <c r="H567" s="50"/>
      <c r="I567" s="51"/>
      <c r="J567" s="85"/>
      <c r="K567" s="85"/>
      <c r="L567" s="85"/>
      <c r="M567" s="52"/>
      <c r="N567" s="52"/>
      <c r="O567" s="52"/>
    </row>
    <row r="568" ht="15.75" customHeight="1">
      <c r="A568" s="49"/>
      <c r="C568" s="84"/>
      <c r="D568" s="84"/>
      <c r="F568" s="49"/>
      <c r="H568" s="50"/>
      <c r="I568" s="51"/>
      <c r="J568" s="85"/>
      <c r="K568" s="85"/>
      <c r="L568" s="85"/>
      <c r="M568" s="52"/>
      <c r="N568" s="52"/>
      <c r="O568" s="52"/>
    </row>
    <row r="569" ht="15.75" customHeight="1">
      <c r="A569" s="49"/>
      <c r="C569" s="84"/>
      <c r="D569" s="84"/>
      <c r="F569" s="49"/>
      <c r="H569" s="50"/>
      <c r="I569" s="51"/>
      <c r="J569" s="85"/>
      <c r="K569" s="85"/>
      <c r="L569" s="85"/>
      <c r="M569" s="52"/>
      <c r="N569" s="52"/>
      <c r="O569" s="52"/>
    </row>
    <row r="570" ht="15.75" customHeight="1">
      <c r="A570" s="49"/>
      <c r="C570" s="84"/>
      <c r="D570" s="84"/>
      <c r="F570" s="49"/>
      <c r="H570" s="50"/>
      <c r="I570" s="51"/>
      <c r="J570" s="85"/>
      <c r="K570" s="85"/>
      <c r="L570" s="85"/>
      <c r="M570" s="52"/>
      <c r="N570" s="52"/>
      <c r="O570" s="52"/>
    </row>
    <row r="571" ht="15.75" customHeight="1">
      <c r="A571" s="49"/>
      <c r="C571" s="84"/>
      <c r="D571" s="84"/>
      <c r="F571" s="49"/>
      <c r="H571" s="50"/>
      <c r="I571" s="51"/>
      <c r="J571" s="85"/>
      <c r="K571" s="85"/>
      <c r="L571" s="85"/>
      <c r="M571" s="52"/>
      <c r="N571" s="52"/>
      <c r="O571" s="52"/>
    </row>
    <row r="572" ht="15.75" customHeight="1">
      <c r="A572" s="49"/>
      <c r="C572" s="84"/>
      <c r="D572" s="84"/>
      <c r="F572" s="49"/>
      <c r="H572" s="50"/>
      <c r="I572" s="51"/>
      <c r="J572" s="85"/>
      <c r="K572" s="85"/>
      <c r="L572" s="85"/>
      <c r="M572" s="52"/>
      <c r="N572" s="52"/>
      <c r="O572" s="52"/>
    </row>
    <row r="573" ht="15.75" customHeight="1">
      <c r="A573" s="49"/>
      <c r="C573" s="84"/>
      <c r="D573" s="84"/>
      <c r="F573" s="49"/>
      <c r="H573" s="50"/>
      <c r="I573" s="51"/>
      <c r="J573" s="85"/>
      <c r="K573" s="85"/>
      <c r="L573" s="85"/>
      <c r="M573" s="52"/>
      <c r="N573" s="52"/>
      <c r="O573" s="52"/>
    </row>
    <row r="574" ht="15.75" customHeight="1">
      <c r="A574" s="49"/>
      <c r="C574" s="84"/>
      <c r="D574" s="84"/>
      <c r="F574" s="49"/>
      <c r="H574" s="50"/>
      <c r="I574" s="51"/>
      <c r="J574" s="85"/>
      <c r="K574" s="85"/>
      <c r="L574" s="85"/>
      <c r="M574" s="52"/>
      <c r="N574" s="52"/>
      <c r="O574" s="52"/>
    </row>
    <row r="575" ht="15.75" customHeight="1">
      <c r="A575" s="49"/>
      <c r="C575" s="84"/>
      <c r="D575" s="84"/>
      <c r="F575" s="49"/>
      <c r="H575" s="50"/>
      <c r="I575" s="51"/>
      <c r="J575" s="85"/>
      <c r="K575" s="85"/>
      <c r="L575" s="85"/>
      <c r="M575" s="52"/>
      <c r="N575" s="52"/>
      <c r="O575" s="52"/>
    </row>
    <row r="576" ht="15.75" customHeight="1">
      <c r="A576" s="49"/>
      <c r="C576" s="84"/>
      <c r="D576" s="84"/>
      <c r="F576" s="49"/>
      <c r="H576" s="50"/>
      <c r="I576" s="51"/>
      <c r="J576" s="85"/>
      <c r="K576" s="85"/>
      <c r="L576" s="85"/>
      <c r="M576" s="52"/>
      <c r="N576" s="52"/>
      <c r="O576" s="52"/>
    </row>
    <row r="577" ht="15.75" customHeight="1">
      <c r="A577" s="49"/>
      <c r="C577" s="84"/>
      <c r="D577" s="84"/>
      <c r="F577" s="49"/>
      <c r="H577" s="50"/>
      <c r="I577" s="51"/>
      <c r="J577" s="85"/>
      <c r="K577" s="85"/>
      <c r="L577" s="85"/>
      <c r="M577" s="52"/>
      <c r="N577" s="52"/>
      <c r="O577" s="52"/>
    </row>
    <row r="578" ht="15.75" customHeight="1">
      <c r="A578" s="49"/>
      <c r="C578" s="84"/>
      <c r="D578" s="84"/>
      <c r="F578" s="49"/>
      <c r="H578" s="50"/>
      <c r="I578" s="51"/>
      <c r="J578" s="85"/>
      <c r="K578" s="85"/>
      <c r="L578" s="85"/>
      <c r="M578" s="52"/>
      <c r="N578" s="52"/>
      <c r="O578" s="52"/>
    </row>
    <row r="579" ht="15.75" customHeight="1">
      <c r="A579" s="49"/>
      <c r="C579" s="84"/>
      <c r="D579" s="84"/>
      <c r="F579" s="49"/>
      <c r="H579" s="50"/>
      <c r="I579" s="51"/>
      <c r="J579" s="85"/>
      <c r="K579" s="85"/>
      <c r="L579" s="85"/>
      <c r="M579" s="52"/>
      <c r="N579" s="52"/>
      <c r="O579" s="52"/>
    </row>
    <row r="580" ht="15.75" customHeight="1">
      <c r="A580" s="49"/>
      <c r="C580" s="84"/>
      <c r="D580" s="84"/>
      <c r="F580" s="49"/>
      <c r="H580" s="50"/>
      <c r="I580" s="51"/>
      <c r="J580" s="85"/>
      <c r="K580" s="85"/>
      <c r="L580" s="85"/>
      <c r="M580" s="52"/>
      <c r="N580" s="52"/>
      <c r="O580" s="52"/>
    </row>
    <row r="581" ht="15.75" customHeight="1">
      <c r="A581" s="49"/>
      <c r="C581" s="84"/>
      <c r="D581" s="84"/>
      <c r="F581" s="49"/>
      <c r="H581" s="50"/>
      <c r="I581" s="51"/>
      <c r="J581" s="85"/>
      <c r="K581" s="85"/>
      <c r="L581" s="85"/>
      <c r="M581" s="52"/>
      <c r="N581" s="52"/>
      <c r="O581" s="52"/>
    </row>
    <row r="582" ht="15.75" customHeight="1">
      <c r="A582" s="49"/>
      <c r="C582" s="84"/>
      <c r="D582" s="84"/>
      <c r="F582" s="49"/>
      <c r="H582" s="50"/>
      <c r="I582" s="51"/>
      <c r="J582" s="85"/>
      <c r="K582" s="85"/>
      <c r="L582" s="85"/>
      <c r="M582" s="52"/>
      <c r="N582" s="52"/>
      <c r="O582" s="52"/>
    </row>
    <row r="583" ht="15.75" customHeight="1">
      <c r="A583" s="49"/>
      <c r="C583" s="84"/>
      <c r="D583" s="84"/>
      <c r="F583" s="49"/>
      <c r="H583" s="50"/>
      <c r="I583" s="51"/>
      <c r="J583" s="85"/>
      <c r="K583" s="85"/>
      <c r="L583" s="85"/>
      <c r="M583" s="52"/>
      <c r="N583" s="52"/>
      <c r="O583" s="52"/>
    </row>
    <row r="584" ht="15.75" customHeight="1">
      <c r="A584" s="49"/>
      <c r="C584" s="84"/>
      <c r="D584" s="84"/>
      <c r="F584" s="49"/>
      <c r="H584" s="50"/>
      <c r="I584" s="51"/>
      <c r="J584" s="85"/>
      <c r="K584" s="85"/>
      <c r="L584" s="85"/>
      <c r="M584" s="52"/>
      <c r="N584" s="52"/>
      <c r="O584" s="52"/>
    </row>
    <row r="585" ht="15.75" customHeight="1">
      <c r="A585" s="49"/>
      <c r="C585" s="84"/>
      <c r="D585" s="84"/>
      <c r="F585" s="49"/>
      <c r="H585" s="50"/>
      <c r="I585" s="51"/>
      <c r="J585" s="85"/>
      <c r="K585" s="85"/>
      <c r="L585" s="85"/>
      <c r="M585" s="52"/>
      <c r="N585" s="52"/>
      <c r="O585" s="52"/>
    </row>
    <row r="586" ht="15.75" customHeight="1">
      <c r="A586" s="49"/>
      <c r="C586" s="84"/>
      <c r="D586" s="84"/>
      <c r="F586" s="49"/>
      <c r="H586" s="50"/>
      <c r="I586" s="51"/>
      <c r="J586" s="85"/>
      <c r="K586" s="85"/>
      <c r="L586" s="85"/>
      <c r="M586" s="52"/>
      <c r="N586" s="52"/>
      <c r="O586" s="52"/>
    </row>
    <row r="587" ht="15.75" customHeight="1">
      <c r="A587" s="49"/>
      <c r="C587" s="84"/>
      <c r="D587" s="84"/>
      <c r="F587" s="49"/>
      <c r="H587" s="50"/>
      <c r="I587" s="51"/>
      <c r="J587" s="85"/>
      <c r="K587" s="85"/>
      <c r="L587" s="85"/>
      <c r="M587" s="52"/>
      <c r="N587" s="52"/>
      <c r="O587" s="52"/>
    </row>
    <row r="588" ht="15.75" customHeight="1">
      <c r="A588" s="49"/>
      <c r="C588" s="84"/>
      <c r="D588" s="84"/>
      <c r="F588" s="49"/>
      <c r="H588" s="50"/>
      <c r="I588" s="51"/>
      <c r="J588" s="85"/>
      <c r="K588" s="85"/>
      <c r="L588" s="85"/>
      <c r="M588" s="52"/>
      <c r="N588" s="52"/>
      <c r="O588" s="52"/>
    </row>
    <row r="589" ht="15.75" customHeight="1">
      <c r="A589" s="49"/>
      <c r="C589" s="84"/>
      <c r="D589" s="84"/>
      <c r="F589" s="49"/>
      <c r="H589" s="50"/>
      <c r="I589" s="51"/>
      <c r="J589" s="85"/>
      <c r="K589" s="85"/>
      <c r="L589" s="85"/>
      <c r="M589" s="52"/>
      <c r="N589" s="52"/>
      <c r="O589" s="52"/>
    </row>
    <row r="590" ht="15.75" customHeight="1">
      <c r="A590" s="49"/>
      <c r="C590" s="84"/>
      <c r="D590" s="84"/>
      <c r="F590" s="49"/>
      <c r="H590" s="50"/>
      <c r="I590" s="51"/>
      <c r="J590" s="85"/>
      <c r="K590" s="85"/>
      <c r="L590" s="85"/>
      <c r="M590" s="52"/>
      <c r="N590" s="52"/>
      <c r="O590" s="52"/>
    </row>
    <row r="591" ht="15.75" customHeight="1">
      <c r="A591" s="49"/>
      <c r="C591" s="84"/>
      <c r="D591" s="84"/>
      <c r="F591" s="49"/>
      <c r="H591" s="50"/>
      <c r="I591" s="51"/>
      <c r="J591" s="85"/>
      <c r="K591" s="85"/>
      <c r="L591" s="85"/>
      <c r="M591" s="52"/>
      <c r="N591" s="52"/>
      <c r="O591" s="52"/>
    </row>
    <row r="592" ht="15.75" customHeight="1">
      <c r="A592" s="49"/>
      <c r="C592" s="84"/>
      <c r="D592" s="84"/>
      <c r="F592" s="49"/>
      <c r="H592" s="50"/>
      <c r="I592" s="51"/>
      <c r="J592" s="85"/>
      <c r="K592" s="85"/>
      <c r="L592" s="85"/>
      <c r="M592" s="52"/>
      <c r="N592" s="52"/>
      <c r="O592" s="52"/>
    </row>
    <row r="593" ht="15.75" customHeight="1">
      <c r="A593" s="49"/>
      <c r="C593" s="84"/>
      <c r="D593" s="84"/>
      <c r="F593" s="49"/>
      <c r="H593" s="50"/>
      <c r="I593" s="51"/>
      <c r="J593" s="85"/>
      <c r="K593" s="85"/>
      <c r="L593" s="85"/>
      <c r="M593" s="52"/>
      <c r="N593" s="52"/>
      <c r="O593" s="52"/>
    </row>
    <row r="594" ht="15.75" customHeight="1">
      <c r="A594" s="49"/>
      <c r="C594" s="84"/>
      <c r="D594" s="84"/>
      <c r="F594" s="49"/>
      <c r="H594" s="50"/>
      <c r="I594" s="51"/>
      <c r="J594" s="85"/>
      <c r="K594" s="85"/>
      <c r="L594" s="85"/>
      <c r="M594" s="52"/>
      <c r="N594" s="52"/>
      <c r="O594" s="52"/>
    </row>
    <row r="595" ht="15.75" customHeight="1">
      <c r="A595" s="49"/>
      <c r="C595" s="84"/>
      <c r="D595" s="84"/>
      <c r="F595" s="49"/>
      <c r="H595" s="50"/>
      <c r="I595" s="51"/>
      <c r="J595" s="85"/>
      <c r="K595" s="85"/>
      <c r="L595" s="85"/>
      <c r="M595" s="52"/>
      <c r="N595" s="52"/>
      <c r="O595" s="52"/>
    </row>
    <row r="596" ht="15.75" customHeight="1">
      <c r="A596" s="49"/>
      <c r="C596" s="84"/>
      <c r="D596" s="84"/>
      <c r="F596" s="49"/>
      <c r="H596" s="50"/>
      <c r="I596" s="51"/>
      <c r="J596" s="85"/>
      <c r="K596" s="85"/>
      <c r="L596" s="85"/>
      <c r="M596" s="52"/>
      <c r="N596" s="52"/>
      <c r="O596" s="52"/>
    </row>
    <row r="597" ht="15.75" customHeight="1">
      <c r="A597" s="49"/>
      <c r="C597" s="84"/>
      <c r="D597" s="84"/>
      <c r="F597" s="49"/>
      <c r="H597" s="50"/>
      <c r="I597" s="51"/>
      <c r="J597" s="85"/>
      <c r="K597" s="85"/>
      <c r="L597" s="85"/>
      <c r="M597" s="52"/>
      <c r="N597" s="52"/>
      <c r="O597" s="52"/>
    </row>
    <row r="598" ht="15.75" customHeight="1">
      <c r="A598" s="49"/>
      <c r="C598" s="84"/>
      <c r="D598" s="84"/>
      <c r="F598" s="49"/>
      <c r="H598" s="50"/>
      <c r="I598" s="51"/>
      <c r="J598" s="85"/>
      <c r="K598" s="85"/>
      <c r="L598" s="85"/>
      <c r="M598" s="52"/>
      <c r="N598" s="52"/>
      <c r="O598" s="52"/>
    </row>
    <row r="599" ht="15.75" customHeight="1">
      <c r="A599" s="49"/>
      <c r="C599" s="84"/>
      <c r="D599" s="84"/>
      <c r="F599" s="49"/>
      <c r="H599" s="50"/>
      <c r="I599" s="51"/>
      <c r="J599" s="85"/>
      <c r="K599" s="85"/>
      <c r="L599" s="85"/>
      <c r="M599" s="52"/>
      <c r="N599" s="52"/>
      <c r="O599" s="52"/>
    </row>
    <row r="600" ht="15.75" customHeight="1">
      <c r="A600" s="49"/>
      <c r="C600" s="84"/>
      <c r="D600" s="84"/>
      <c r="F600" s="49"/>
      <c r="H600" s="50"/>
      <c r="I600" s="51"/>
      <c r="J600" s="85"/>
      <c r="K600" s="85"/>
      <c r="L600" s="85"/>
      <c r="M600" s="52"/>
      <c r="N600" s="52"/>
      <c r="O600" s="52"/>
    </row>
    <row r="601" ht="15.75" customHeight="1">
      <c r="A601" s="49"/>
      <c r="C601" s="84"/>
      <c r="D601" s="84"/>
      <c r="F601" s="49"/>
      <c r="H601" s="50"/>
      <c r="I601" s="51"/>
      <c r="J601" s="85"/>
      <c r="K601" s="85"/>
      <c r="L601" s="85"/>
      <c r="M601" s="52"/>
      <c r="N601" s="52"/>
      <c r="O601" s="52"/>
    </row>
    <row r="602" ht="15.75" customHeight="1">
      <c r="A602" s="49"/>
      <c r="C602" s="84"/>
      <c r="D602" s="84"/>
      <c r="F602" s="49"/>
      <c r="H602" s="50"/>
      <c r="I602" s="51"/>
      <c r="J602" s="85"/>
      <c r="K602" s="85"/>
      <c r="L602" s="85"/>
      <c r="M602" s="52"/>
      <c r="N602" s="52"/>
      <c r="O602" s="52"/>
    </row>
    <row r="603" ht="15.75" customHeight="1">
      <c r="A603" s="49"/>
      <c r="C603" s="84"/>
      <c r="D603" s="84"/>
      <c r="F603" s="49"/>
      <c r="H603" s="50"/>
      <c r="I603" s="51"/>
      <c r="J603" s="85"/>
      <c r="K603" s="85"/>
      <c r="L603" s="85"/>
      <c r="M603" s="52"/>
      <c r="N603" s="52"/>
      <c r="O603" s="52"/>
    </row>
    <row r="604" ht="15.75" customHeight="1">
      <c r="A604" s="49"/>
      <c r="C604" s="84"/>
      <c r="D604" s="84"/>
      <c r="F604" s="49"/>
      <c r="H604" s="50"/>
      <c r="I604" s="51"/>
      <c r="J604" s="85"/>
      <c r="K604" s="85"/>
      <c r="L604" s="85"/>
      <c r="M604" s="52"/>
      <c r="N604" s="52"/>
      <c r="O604" s="52"/>
    </row>
    <row r="605" ht="15.75" customHeight="1">
      <c r="A605" s="49"/>
      <c r="C605" s="84"/>
      <c r="D605" s="84"/>
      <c r="F605" s="49"/>
      <c r="H605" s="50"/>
      <c r="I605" s="51"/>
      <c r="J605" s="85"/>
      <c r="K605" s="85"/>
      <c r="L605" s="85"/>
      <c r="M605" s="52"/>
      <c r="N605" s="52"/>
      <c r="O605" s="52"/>
    </row>
    <row r="606" ht="15.75" customHeight="1">
      <c r="A606" s="49"/>
      <c r="C606" s="84"/>
      <c r="D606" s="84"/>
      <c r="F606" s="49"/>
      <c r="H606" s="50"/>
      <c r="I606" s="51"/>
      <c r="J606" s="85"/>
      <c r="K606" s="85"/>
      <c r="L606" s="85"/>
      <c r="M606" s="52"/>
      <c r="N606" s="52"/>
      <c r="O606" s="52"/>
    </row>
    <row r="607" ht="15.75" customHeight="1">
      <c r="A607" s="49"/>
      <c r="C607" s="84"/>
      <c r="D607" s="84"/>
      <c r="F607" s="49"/>
      <c r="H607" s="50"/>
      <c r="I607" s="51"/>
      <c r="J607" s="85"/>
      <c r="K607" s="85"/>
      <c r="L607" s="85"/>
      <c r="M607" s="52"/>
      <c r="N607" s="52"/>
      <c r="O607" s="52"/>
    </row>
    <row r="608" ht="15.75" customHeight="1">
      <c r="A608" s="49"/>
      <c r="C608" s="84"/>
      <c r="D608" s="84"/>
      <c r="F608" s="49"/>
      <c r="H608" s="50"/>
      <c r="I608" s="51"/>
      <c r="J608" s="85"/>
      <c r="K608" s="85"/>
      <c r="L608" s="85"/>
      <c r="M608" s="52"/>
      <c r="N608" s="52"/>
      <c r="O608" s="52"/>
    </row>
    <row r="609" ht="15.75" customHeight="1">
      <c r="A609" s="49"/>
      <c r="C609" s="84"/>
      <c r="D609" s="84"/>
      <c r="F609" s="49"/>
      <c r="H609" s="50"/>
      <c r="I609" s="51"/>
      <c r="J609" s="85"/>
      <c r="K609" s="85"/>
      <c r="L609" s="85"/>
      <c r="M609" s="52"/>
      <c r="N609" s="52"/>
      <c r="O609" s="52"/>
    </row>
    <row r="610" ht="15.75" customHeight="1">
      <c r="A610" s="49"/>
      <c r="C610" s="84"/>
      <c r="D610" s="84"/>
      <c r="F610" s="49"/>
      <c r="H610" s="50"/>
      <c r="I610" s="51"/>
      <c r="J610" s="85"/>
      <c r="K610" s="85"/>
      <c r="L610" s="85"/>
      <c r="M610" s="52"/>
      <c r="N610" s="52"/>
      <c r="O610" s="52"/>
    </row>
    <row r="611" ht="15.75" customHeight="1">
      <c r="A611" s="49"/>
      <c r="C611" s="84"/>
      <c r="D611" s="84"/>
      <c r="F611" s="49"/>
      <c r="H611" s="50"/>
      <c r="I611" s="51"/>
      <c r="J611" s="85"/>
      <c r="K611" s="85"/>
      <c r="L611" s="85"/>
      <c r="M611" s="52"/>
      <c r="N611" s="52"/>
      <c r="O611" s="52"/>
    </row>
    <row r="612" ht="15.75" customHeight="1">
      <c r="A612" s="49"/>
      <c r="C612" s="84"/>
      <c r="D612" s="84"/>
      <c r="F612" s="49"/>
      <c r="H612" s="50"/>
      <c r="I612" s="51"/>
      <c r="J612" s="85"/>
      <c r="K612" s="85"/>
      <c r="L612" s="85"/>
      <c r="M612" s="52"/>
      <c r="N612" s="52"/>
      <c r="O612" s="52"/>
    </row>
    <row r="613" ht="15.75" customHeight="1">
      <c r="A613" s="49"/>
      <c r="C613" s="84"/>
      <c r="D613" s="84"/>
      <c r="F613" s="49"/>
      <c r="H613" s="50"/>
      <c r="I613" s="51"/>
      <c r="J613" s="85"/>
      <c r="K613" s="85"/>
      <c r="L613" s="85"/>
      <c r="M613" s="52"/>
      <c r="N613" s="52"/>
      <c r="O613" s="52"/>
    </row>
    <row r="614" ht="15.75" customHeight="1">
      <c r="A614" s="49"/>
      <c r="C614" s="84"/>
      <c r="D614" s="84"/>
      <c r="F614" s="49"/>
      <c r="H614" s="50"/>
      <c r="I614" s="51"/>
      <c r="J614" s="85"/>
      <c r="K614" s="85"/>
      <c r="L614" s="85"/>
      <c r="M614" s="52"/>
      <c r="N614" s="52"/>
      <c r="O614" s="52"/>
    </row>
    <row r="615" ht="15.75" customHeight="1">
      <c r="A615" s="49"/>
      <c r="C615" s="84"/>
      <c r="D615" s="84"/>
      <c r="F615" s="49"/>
      <c r="H615" s="50"/>
      <c r="I615" s="51"/>
      <c r="J615" s="85"/>
      <c r="K615" s="85"/>
      <c r="L615" s="85"/>
      <c r="M615" s="52"/>
      <c r="N615" s="52"/>
      <c r="O615" s="52"/>
    </row>
    <row r="616" ht="15.75" customHeight="1">
      <c r="A616" s="49"/>
      <c r="C616" s="84"/>
      <c r="D616" s="84"/>
      <c r="F616" s="49"/>
      <c r="H616" s="50"/>
      <c r="I616" s="51"/>
      <c r="J616" s="85"/>
      <c r="K616" s="85"/>
      <c r="L616" s="85"/>
      <c r="M616" s="52"/>
      <c r="N616" s="52"/>
      <c r="O616" s="52"/>
    </row>
    <row r="617" ht="15.75" customHeight="1">
      <c r="A617" s="49"/>
      <c r="C617" s="84"/>
      <c r="D617" s="84"/>
      <c r="F617" s="49"/>
      <c r="H617" s="50"/>
      <c r="I617" s="51"/>
      <c r="J617" s="85"/>
      <c r="K617" s="85"/>
      <c r="L617" s="85"/>
      <c r="M617" s="52"/>
      <c r="N617" s="52"/>
      <c r="O617" s="52"/>
    </row>
    <row r="618" ht="15.75" customHeight="1">
      <c r="A618" s="49"/>
      <c r="C618" s="84"/>
      <c r="D618" s="84"/>
      <c r="F618" s="49"/>
      <c r="H618" s="50"/>
      <c r="I618" s="51"/>
      <c r="J618" s="85"/>
      <c r="K618" s="85"/>
      <c r="L618" s="85"/>
      <c r="M618" s="52"/>
      <c r="N618" s="52"/>
      <c r="O618" s="52"/>
    </row>
    <row r="619" ht="15.75" customHeight="1">
      <c r="A619" s="49"/>
      <c r="C619" s="84"/>
      <c r="D619" s="84"/>
      <c r="F619" s="49"/>
      <c r="H619" s="50"/>
      <c r="I619" s="51"/>
      <c r="J619" s="85"/>
      <c r="K619" s="85"/>
      <c r="L619" s="85"/>
      <c r="M619" s="52"/>
      <c r="N619" s="52"/>
      <c r="O619" s="52"/>
    </row>
    <row r="620" ht="15.75" customHeight="1">
      <c r="A620" s="49"/>
      <c r="C620" s="84"/>
      <c r="D620" s="84"/>
      <c r="F620" s="49"/>
      <c r="H620" s="50"/>
      <c r="I620" s="51"/>
      <c r="J620" s="85"/>
      <c r="K620" s="85"/>
      <c r="L620" s="85"/>
      <c r="M620" s="52"/>
      <c r="N620" s="52"/>
      <c r="O620" s="52"/>
    </row>
    <row r="621" ht="15.75" customHeight="1">
      <c r="A621" s="49"/>
      <c r="C621" s="84"/>
      <c r="D621" s="84"/>
      <c r="F621" s="49"/>
      <c r="H621" s="50"/>
      <c r="I621" s="51"/>
      <c r="J621" s="85"/>
      <c r="K621" s="85"/>
      <c r="L621" s="85"/>
      <c r="M621" s="52"/>
      <c r="N621" s="52"/>
      <c r="O621" s="52"/>
    </row>
    <row r="622" ht="15.75" customHeight="1">
      <c r="A622" s="49"/>
      <c r="C622" s="84"/>
      <c r="D622" s="84"/>
      <c r="F622" s="49"/>
      <c r="H622" s="50"/>
      <c r="I622" s="51"/>
      <c r="J622" s="85"/>
      <c r="K622" s="85"/>
      <c r="L622" s="85"/>
      <c r="M622" s="52"/>
      <c r="N622" s="52"/>
      <c r="O622" s="52"/>
    </row>
    <row r="623" ht="15.75" customHeight="1">
      <c r="A623" s="49"/>
      <c r="C623" s="84"/>
      <c r="D623" s="84"/>
      <c r="F623" s="49"/>
      <c r="H623" s="50"/>
      <c r="I623" s="51"/>
      <c r="J623" s="85"/>
      <c r="K623" s="85"/>
      <c r="L623" s="85"/>
      <c r="M623" s="52"/>
      <c r="N623" s="52"/>
      <c r="O623" s="52"/>
    </row>
    <row r="624" ht="15.75" customHeight="1">
      <c r="A624" s="49"/>
      <c r="C624" s="84"/>
      <c r="D624" s="84"/>
      <c r="F624" s="49"/>
      <c r="H624" s="50"/>
      <c r="I624" s="51"/>
      <c r="J624" s="85"/>
      <c r="K624" s="85"/>
      <c r="L624" s="85"/>
      <c r="M624" s="52"/>
      <c r="N624" s="52"/>
      <c r="O624" s="52"/>
    </row>
    <row r="625" ht="15.75" customHeight="1">
      <c r="A625" s="49"/>
      <c r="C625" s="84"/>
      <c r="D625" s="84"/>
      <c r="F625" s="49"/>
      <c r="H625" s="50"/>
      <c r="I625" s="51"/>
      <c r="J625" s="85"/>
      <c r="K625" s="85"/>
      <c r="L625" s="85"/>
      <c r="M625" s="52"/>
      <c r="N625" s="52"/>
      <c r="O625" s="52"/>
    </row>
    <row r="626" ht="15.75" customHeight="1">
      <c r="A626" s="49"/>
      <c r="C626" s="84"/>
      <c r="D626" s="84"/>
      <c r="F626" s="49"/>
      <c r="H626" s="50"/>
      <c r="I626" s="51"/>
      <c r="J626" s="85"/>
      <c r="K626" s="85"/>
      <c r="L626" s="85"/>
      <c r="M626" s="52"/>
      <c r="N626" s="52"/>
      <c r="O626" s="52"/>
    </row>
    <row r="627" ht="15.75" customHeight="1">
      <c r="A627" s="49"/>
      <c r="C627" s="84"/>
      <c r="D627" s="84"/>
      <c r="F627" s="49"/>
      <c r="H627" s="50"/>
      <c r="I627" s="51"/>
      <c r="J627" s="85"/>
      <c r="K627" s="85"/>
      <c r="L627" s="85"/>
      <c r="M627" s="52"/>
      <c r="N627" s="52"/>
      <c r="O627" s="52"/>
    </row>
    <row r="628" ht="15.75" customHeight="1">
      <c r="A628" s="49"/>
      <c r="C628" s="84"/>
      <c r="D628" s="84"/>
      <c r="F628" s="49"/>
      <c r="H628" s="50"/>
      <c r="I628" s="51"/>
      <c r="J628" s="85"/>
      <c r="K628" s="85"/>
      <c r="L628" s="85"/>
      <c r="M628" s="52"/>
      <c r="N628" s="52"/>
      <c r="O628" s="52"/>
    </row>
    <row r="629" ht="15.75" customHeight="1">
      <c r="A629" s="49"/>
      <c r="C629" s="84"/>
      <c r="D629" s="84"/>
      <c r="F629" s="49"/>
      <c r="H629" s="50"/>
      <c r="I629" s="51"/>
      <c r="J629" s="85"/>
      <c r="K629" s="85"/>
      <c r="L629" s="85"/>
      <c r="M629" s="52"/>
      <c r="N629" s="52"/>
      <c r="O629" s="52"/>
    </row>
    <row r="630" ht="15.75" customHeight="1">
      <c r="A630" s="49"/>
      <c r="C630" s="84"/>
      <c r="D630" s="84"/>
      <c r="F630" s="49"/>
      <c r="H630" s="50"/>
      <c r="I630" s="51"/>
      <c r="J630" s="85"/>
      <c r="K630" s="85"/>
      <c r="L630" s="85"/>
      <c r="M630" s="52"/>
      <c r="N630" s="52"/>
      <c r="O630" s="52"/>
    </row>
    <row r="631" ht="15.75" customHeight="1">
      <c r="A631" s="49"/>
      <c r="C631" s="84"/>
      <c r="D631" s="84"/>
      <c r="F631" s="49"/>
      <c r="H631" s="50"/>
      <c r="I631" s="51"/>
      <c r="J631" s="85"/>
      <c r="K631" s="85"/>
      <c r="L631" s="85"/>
      <c r="M631" s="52"/>
      <c r="N631" s="52"/>
      <c r="O631" s="52"/>
    </row>
    <row r="632" ht="15.75" customHeight="1">
      <c r="A632" s="49"/>
      <c r="C632" s="84"/>
      <c r="D632" s="84"/>
      <c r="F632" s="49"/>
      <c r="H632" s="50"/>
      <c r="I632" s="51"/>
      <c r="J632" s="85"/>
      <c r="K632" s="85"/>
      <c r="L632" s="85"/>
      <c r="M632" s="52"/>
      <c r="N632" s="52"/>
      <c r="O632" s="52"/>
    </row>
    <row r="633" ht="15.75" customHeight="1">
      <c r="A633" s="49"/>
      <c r="C633" s="84"/>
      <c r="D633" s="84"/>
      <c r="F633" s="49"/>
      <c r="H633" s="50"/>
      <c r="I633" s="51"/>
      <c r="J633" s="85"/>
      <c r="K633" s="85"/>
      <c r="L633" s="85"/>
      <c r="M633" s="52"/>
      <c r="N633" s="52"/>
      <c r="O633" s="52"/>
    </row>
    <row r="634" ht="15.75" customHeight="1">
      <c r="A634" s="49"/>
      <c r="C634" s="84"/>
      <c r="D634" s="84"/>
      <c r="F634" s="49"/>
      <c r="H634" s="50"/>
      <c r="I634" s="51"/>
      <c r="J634" s="85"/>
      <c r="K634" s="85"/>
      <c r="L634" s="85"/>
      <c r="M634" s="52"/>
      <c r="N634" s="52"/>
      <c r="O634" s="52"/>
    </row>
    <row r="635" ht="15.75" customHeight="1">
      <c r="A635" s="49"/>
      <c r="C635" s="84"/>
      <c r="D635" s="84"/>
      <c r="F635" s="49"/>
      <c r="H635" s="50"/>
      <c r="I635" s="51"/>
      <c r="J635" s="85"/>
      <c r="K635" s="85"/>
      <c r="L635" s="85"/>
      <c r="M635" s="52"/>
      <c r="N635" s="52"/>
      <c r="O635" s="52"/>
    </row>
    <row r="636" ht="15.75" customHeight="1">
      <c r="A636" s="49"/>
      <c r="C636" s="84"/>
      <c r="D636" s="84"/>
      <c r="F636" s="49"/>
      <c r="H636" s="50"/>
      <c r="I636" s="51"/>
      <c r="J636" s="85"/>
      <c r="K636" s="85"/>
      <c r="L636" s="85"/>
      <c r="M636" s="52"/>
      <c r="N636" s="52"/>
      <c r="O636" s="52"/>
    </row>
    <row r="637" ht="15.75" customHeight="1">
      <c r="A637" s="49"/>
      <c r="C637" s="84"/>
      <c r="D637" s="84"/>
      <c r="F637" s="49"/>
      <c r="H637" s="50"/>
      <c r="I637" s="51"/>
      <c r="J637" s="85"/>
      <c r="K637" s="85"/>
      <c r="L637" s="85"/>
      <c r="M637" s="52"/>
      <c r="N637" s="52"/>
      <c r="O637" s="52"/>
    </row>
    <row r="638" ht="15.75" customHeight="1">
      <c r="A638" s="49"/>
      <c r="C638" s="84"/>
      <c r="D638" s="84"/>
      <c r="F638" s="49"/>
      <c r="H638" s="50"/>
      <c r="I638" s="51"/>
      <c r="J638" s="85"/>
      <c r="K638" s="85"/>
      <c r="L638" s="85"/>
      <c r="M638" s="52"/>
      <c r="N638" s="52"/>
      <c r="O638" s="52"/>
    </row>
    <row r="639" ht="15.75" customHeight="1">
      <c r="A639" s="49"/>
      <c r="C639" s="84"/>
      <c r="D639" s="84"/>
      <c r="F639" s="49"/>
      <c r="H639" s="50"/>
      <c r="I639" s="51"/>
      <c r="J639" s="85"/>
      <c r="K639" s="85"/>
      <c r="L639" s="85"/>
      <c r="M639" s="52"/>
      <c r="N639" s="52"/>
      <c r="O639" s="52"/>
    </row>
    <row r="640" ht="15.75" customHeight="1">
      <c r="A640" s="49"/>
      <c r="C640" s="84"/>
      <c r="D640" s="84"/>
      <c r="F640" s="49"/>
      <c r="H640" s="50"/>
      <c r="I640" s="51"/>
      <c r="J640" s="85"/>
      <c r="K640" s="85"/>
      <c r="L640" s="85"/>
      <c r="M640" s="52"/>
      <c r="N640" s="52"/>
      <c r="O640" s="52"/>
    </row>
    <row r="641" ht="15.75" customHeight="1">
      <c r="A641" s="49"/>
      <c r="C641" s="84"/>
      <c r="D641" s="84"/>
      <c r="F641" s="49"/>
      <c r="H641" s="50"/>
      <c r="I641" s="51"/>
      <c r="J641" s="85"/>
      <c r="K641" s="85"/>
      <c r="L641" s="85"/>
      <c r="M641" s="52"/>
      <c r="N641" s="52"/>
      <c r="O641" s="52"/>
    </row>
    <row r="642" ht="15.75" customHeight="1">
      <c r="A642" s="49"/>
      <c r="C642" s="84"/>
      <c r="D642" s="84"/>
      <c r="F642" s="49"/>
      <c r="H642" s="50"/>
      <c r="I642" s="51"/>
      <c r="J642" s="85"/>
      <c r="K642" s="85"/>
      <c r="L642" s="85"/>
      <c r="M642" s="52"/>
      <c r="N642" s="52"/>
      <c r="O642" s="52"/>
    </row>
    <row r="643" ht="15.75" customHeight="1">
      <c r="A643" s="49"/>
      <c r="C643" s="84"/>
      <c r="D643" s="84"/>
      <c r="F643" s="49"/>
      <c r="H643" s="50"/>
      <c r="I643" s="51"/>
      <c r="J643" s="85"/>
      <c r="K643" s="85"/>
      <c r="L643" s="85"/>
      <c r="M643" s="52"/>
      <c r="N643" s="52"/>
      <c r="O643" s="52"/>
    </row>
    <row r="644" ht="15.75" customHeight="1">
      <c r="A644" s="49"/>
      <c r="C644" s="84"/>
      <c r="D644" s="84"/>
      <c r="F644" s="49"/>
      <c r="H644" s="50"/>
      <c r="I644" s="51"/>
      <c r="J644" s="85"/>
      <c r="K644" s="85"/>
      <c r="L644" s="85"/>
      <c r="M644" s="52"/>
      <c r="N644" s="52"/>
      <c r="O644" s="52"/>
    </row>
    <row r="645" ht="15.75" customHeight="1">
      <c r="A645" s="49"/>
      <c r="C645" s="84"/>
      <c r="D645" s="84"/>
      <c r="F645" s="49"/>
      <c r="H645" s="50"/>
      <c r="I645" s="51"/>
      <c r="J645" s="85"/>
      <c r="K645" s="85"/>
      <c r="L645" s="85"/>
      <c r="M645" s="52"/>
      <c r="N645" s="52"/>
      <c r="O645" s="52"/>
    </row>
    <row r="646" ht="15.75" customHeight="1">
      <c r="A646" s="49"/>
      <c r="C646" s="84"/>
      <c r="D646" s="84"/>
      <c r="F646" s="49"/>
      <c r="H646" s="50"/>
      <c r="I646" s="51"/>
      <c r="J646" s="85"/>
      <c r="K646" s="85"/>
      <c r="L646" s="85"/>
      <c r="M646" s="52"/>
      <c r="N646" s="52"/>
      <c r="O646" s="52"/>
    </row>
    <row r="647" ht="15.75" customHeight="1">
      <c r="A647" s="49"/>
      <c r="C647" s="84"/>
      <c r="D647" s="84"/>
      <c r="F647" s="49"/>
      <c r="H647" s="50"/>
      <c r="I647" s="51"/>
      <c r="J647" s="85"/>
      <c r="K647" s="85"/>
      <c r="L647" s="85"/>
      <c r="M647" s="52"/>
      <c r="N647" s="52"/>
      <c r="O647" s="52"/>
    </row>
    <row r="648" ht="15.75" customHeight="1">
      <c r="A648" s="49"/>
      <c r="C648" s="84"/>
      <c r="D648" s="84"/>
      <c r="F648" s="49"/>
      <c r="H648" s="50"/>
      <c r="I648" s="51"/>
      <c r="J648" s="85"/>
      <c r="K648" s="85"/>
      <c r="L648" s="85"/>
      <c r="M648" s="52"/>
      <c r="N648" s="52"/>
      <c r="O648" s="52"/>
    </row>
    <row r="649" ht="15.75" customHeight="1">
      <c r="A649" s="49"/>
      <c r="C649" s="84"/>
      <c r="D649" s="84"/>
      <c r="F649" s="49"/>
      <c r="H649" s="50"/>
      <c r="I649" s="51"/>
      <c r="J649" s="85"/>
      <c r="K649" s="85"/>
      <c r="L649" s="85"/>
      <c r="M649" s="52"/>
      <c r="N649" s="52"/>
      <c r="O649" s="52"/>
    </row>
    <row r="650" ht="15.75" customHeight="1">
      <c r="A650" s="49"/>
      <c r="C650" s="84"/>
      <c r="D650" s="84"/>
      <c r="F650" s="49"/>
      <c r="H650" s="50"/>
      <c r="I650" s="51"/>
      <c r="J650" s="85"/>
      <c r="K650" s="85"/>
      <c r="L650" s="85"/>
      <c r="M650" s="52"/>
      <c r="N650" s="52"/>
      <c r="O650" s="52"/>
    </row>
    <row r="651" ht="15.75" customHeight="1">
      <c r="A651" s="49"/>
      <c r="C651" s="84"/>
      <c r="D651" s="84"/>
      <c r="F651" s="49"/>
      <c r="H651" s="50"/>
      <c r="I651" s="51"/>
      <c r="J651" s="85"/>
      <c r="K651" s="85"/>
      <c r="L651" s="85"/>
      <c r="M651" s="52"/>
      <c r="N651" s="52"/>
      <c r="O651" s="52"/>
    </row>
    <row r="652" ht="15.75" customHeight="1">
      <c r="A652" s="49"/>
      <c r="C652" s="84"/>
      <c r="D652" s="84"/>
      <c r="F652" s="49"/>
      <c r="H652" s="50"/>
      <c r="I652" s="51"/>
      <c r="J652" s="85"/>
      <c r="K652" s="85"/>
      <c r="L652" s="85"/>
      <c r="M652" s="52"/>
      <c r="N652" s="52"/>
      <c r="O652" s="52"/>
    </row>
    <row r="653" ht="15.75" customHeight="1">
      <c r="A653" s="49"/>
      <c r="C653" s="84"/>
      <c r="D653" s="84"/>
      <c r="F653" s="49"/>
      <c r="H653" s="50"/>
      <c r="I653" s="51"/>
      <c r="J653" s="85"/>
      <c r="K653" s="85"/>
      <c r="L653" s="85"/>
      <c r="M653" s="52"/>
      <c r="N653" s="52"/>
      <c r="O653" s="52"/>
    </row>
    <row r="654" ht="15.75" customHeight="1">
      <c r="A654" s="49"/>
      <c r="C654" s="84"/>
      <c r="D654" s="84"/>
      <c r="F654" s="49"/>
      <c r="H654" s="50"/>
      <c r="I654" s="51"/>
      <c r="J654" s="85"/>
      <c r="K654" s="85"/>
      <c r="L654" s="85"/>
      <c r="M654" s="52"/>
      <c r="N654" s="52"/>
      <c r="O654" s="52"/>
    </row>
    <row r="655" ht="15.75" customHeight="1">
      <c r="A655" s="49"/>
      <c r="C655" s="84"/>
      <c r="D655" s="84"/>
      <c r="F655" s="49"/>
      <c r="H655" s="50"/>
      <c r="I655" s="51"/>
      <c r="J655" s="85"/>
      <c r="K655" s="85"/>
      <c r="L655" s="85"/>
      <c r="M655" s="52"/>
      <c r="N655" s="52"/>
      <c r="O655" s="52"/>
    </row>
    <row r="656" ht="15.75" customHeight="1">
      <c r="A656" s="49"/>
      <c r="C656" s="84"/>
      <c r="D656" s="84"/>
      <c r="F656" s="49"/>
      <c r="H656" s="50"/>
      <c r="I656" s="51"/>
      <c r="J656" s="85"/>
      <c r="K656" s="85"/>
      <c r="L656" s="85"/>
      <c r="M656" s="52"/>
      <c r="N656" s="52"/>
      <c r="O656" s="52"/>
    </row>
    <row r="657" ht="15.75" customHeight="1">
      <c r="A657" s="49"/>
      <c r="C657" s="84"/>
      <c r="D657" s="84"/>
      <c r="F657" s="49"/>
      <c r="H657" s="50"/>
      <c r="I657" s="51"/>
      <c r="J657" s="85"/>
      <c r="K657" s="85"/>
      <c r="L657" s="85"/>
      <c r="M657" s="52"/>
      <c r="N657" s="52"/>
      <c r="O657" s="52"/>
    </row>
    <row r="658" ht="15.75" customHeight="1">
      <c r="A658" s="49"/>
      <c r="C658" s="84"/>
      <c r="D658" s="84"/>
      <c r="F658" s="49"/>
      <c r="H658" s="50"/>
      <c r="I658" s="51"/>
      <c r="J658" s="85"/>
      <c r="K658" s="85"/>
      <c r="L658" s="85"/>
      <c r="M658" s="52"/>
      <c r="N658" s="52"/>
      <c r="O658" s="52"/>
    </row>
    <row r="659" ht="15.75" customHeight="1">
      <c r="A659" s="49"/>
      <c r="C659" s="84"/>
      <c r="D659" s="84"/>
      <c r="F659" s="49"/>
      <c r="H659" s="50"/>
      <c r="I659" s="51"/>
      <c r="J659" s="85"/>
      <c r="K659" s="85"/>
      <c r="L659" s="85"/>
      <c r="M659" s="52"/>
      <c r="N659" s="52"/>
      <c r="O659" s="52"/>
    </row>
    <row r="660" ht="15.75" customHeight="1">
      <c r="A660" s="49"/>
      <c r="C660" s="84"/>
      <c r="D660" s="84"/>
      <c r="F660" s="49"/>
      <c r="H660" s="50"/>
      <c r="I660" s="51"/>
      <c r="J660" s="85"/>
      <c r="K660" s="85"/>
      <c r="L660" s="85"/>
      <c r="M660" s="52"/>
      <c r="N660" s="52"/>
      <c r="O660" s="52"/>
    </row>
    <row r="661" ht="15.75" customHeight="1">
      <c r="A661" s="49"/>
      <c r="C661" s="84"/>
      <c r="D661" s="84"/>
      <c r="F661" s="49"/>
      <c r="H661" s="50"/>
      <c r="I661" s="51"/>
      <c r="J661" s="85"/>
      <c r="K661" s="85"/>
      <c r="L661" s="85"/>
      <c r="M661" s="52"/>
      <c r="N661" s="52"/>
      <c r="O661" s="52"/>
    </row>
    <row r="662" ht="15.75" customHeight="1">
      <c r="A662" s="49"/>
      <c r="C662" s="84"/>
      <c r="D662" s="84"/>
      <c r="F662" s="49"/>
      <c r="H662" s="50"/>
      <c r="I662" s="51"/>
      <c r="J662" s="85"/>
      <c r="K662" s="85"/>
      <c r="L662" s="85"/>
      <c r="M662" s="52"/>
      <c r="N662" s="52"/>
      <c r="O662" s="52"/>
    </row>
    <row r="663" ht="15.75" customHeight="1">
      <c r="A663" s="49"/>
      <c r="C663" s="84"/>
      <c r="D663" s="84"/>
      <c r="F663" s="49"/>
      <c r="H663" s="50"/>
      <c r="I663" s="51"/>
      <c r="J663" s="85"/>
      <c r="K663" s="85"/>
      <c r="L663" s="85"/>
      <c r="M663" s="52"/>
      <c r="N663" s="52"/>
      <c r="O663" s="52"/>
    </row>
    <row r="664" ht="15.75" customHeight="1">
      <c r="A664" s="49"/>
      <c r="C664" s="84"/>
      <c r="D664" s="84"/>
      <c r="F664" s="49"/>
      <c r="H664" s="50"/>
      <c r="I664" s="51"/>
      <c r="J664" s="85"/>
      <c r="K664" s="85"/>
      <c r="L664" s="85"/>
      <c r="M664" s="52"/>
      <c r="N664" s="52"/>
      <c r="O664" s="52"/>
    </row>
    <row r="665" ht="15.75" customHeight="1">
      <c r="A665" s="49"/>
      <c r="C665" s="84"/>
      <c r="D665" s="84"/>
      <c r="F665" s="49"/>
      <c r="H665" s="50"/>
      <c r="I665" s="51"/>
      <c r="J665" s="85"/>
      <c r="K665" s="85"/>
      <c r="L665" s="85"/>
      <c r="M665" s="52"/>
      <c r="N665" s="52"/>
      <c r="O665" s="52"/>
    </row>
    <row r="666" ht="15.75" customHeight="1">
      <c r="A666" s="49"/>
      <c r="C666" s="84"/>
      <c r="D666" s="84"/>
      <c r="F666" s="49"/>
      <c r="H666" s="50"/>
      <c r="I666" s="51"/>
      <c r="J666" s="85"/>
      <c r="K666" s="85"/>
      <c r="L666" s="85"/>
      <c r="M666" s="52"/>
      <c r="N666" s="52"/>
      <c r="O666" s="52"/>
    </row>
    <row r="667" ht="15.75" customHeight="1">
      <c r="A667" s="49"/>
      <c r="C667" s="84"/>
      <c r="D667" s="84"/>
      <c r="F667" s="49"/>
      <c r="H667" s="50"/>
      <c r="I667" s="51"/>
      <c r="J667" s="85"/>
      <c r="K667" s="85"/>
      <c r="L667" s="85"/>
      <c r="M667" s="52"/>
      <c r="N667" s="52"/>
      <c r="O667" s="52"/>
    </row>
    <row r="668" ht="15.75" customHeight="1">
      <c r="A668" s="49"/>
      <c r="C668" s="84"/>
      <c r="D668" s="84"/>
      <c r="F668" s="49"/>
      <c r="H668" s="50"/>
      <c r="I668" s="51"/>
      <c r="J668" s="85"/>
      <c r="K668" s="85"/>
      <c r="L668" s="85"/>
      <c r="M668" s="52"/>
      <c r="N668" s="52"/>
      <c r="O668" s="52"/>
    </row>
    <row r="669" ht="15.75" customHeight="1">
      <c r="A669" s="49"/>
      <c r="C669" s="84"/>
      <c r="D669" s="84"/>
      <c r="F669" s="49"/>
      <c r="H669" s="50"/>
      <c r="I669" s="51"/>
      <c r="J669" s="85"/>
      <c r="K669" s="85"/>
      <c r="L669" s="85"/>
      <c r="M669" s="52"/>
      <c r="N669" s="52"/>
      <c r="O669" s="52"/>
    </row>
    <row r="670" ht="15.75" customHeight="1">
      <c r="A670" s="49"/>
      <c r="C670" s="84"/>
      <c r="D670" s="84"/>
      <c r="F670" s="49"/>
      <c r="H670" s="50"/>
      <c r="I670" s="51"/>
      <c r="J670" s="85"/>
      <c r="K670" s="85"/>
      <c r="L670" s="85"/>
      <c r="M670" s="52"/>
      <c r="N670" s="52"/>
      <c r="O670" s="52"/>
    </row>
    <row r="671" ht="15.75" customHeight="1">
      <c r="A671" s="49"/>
      <c r="C671" s="84"/>
      <c r="D671" s="84"/>
      <c r="F671" s="49"/>
      <c r="H671" s="50"/>
      <c r="I671" s="51"/>
      <c r="J671" s="85"/>
      <c r="K671" s="85"/>
      <c r="L671" s="85"/>
      <c r="M671" s="52"/>
      <c r="N671" s="52"/>
      <c r="O671" s="52"/>
    </row>
    <row r="672" ht="15.75" customHeight="1">
      <c r="A672" s="49"/>
      <c r="C672" s="84"/>
      <c r="D672" s="84"/>
      <c r="F672" s="49"/>
      <c r="H672" s="50"/>
      <c r="I672" s="51"/>
      <c r="J672" s="85"/>
      <c r="K672" s="85"/>
      <c r="L672" s="85"/>
      <c r="M672" s="52"/>
      <c r="N672" s="52"/>
      <c r="O672" s="52"/>
    </row>
    <row r="673" ht="15.75" customHeight="1">
      <c r="A673" s="49"/>
      <c r="C673" s="84"/>
      <c r="D673" s="84"/>
      <c r="F673" s="49"/>
      <c r="H673" s="50"/>
      <c r="I673" s="51"/>
      <c r="J673" s="85"/>
      <c r="K673" s="85"/>
      <c r="L673" s="85"/>
      <c r="M673" s="52"/>
      <c r="N673" s="52"/>
      <c r="O673" s="52"/>
    </row>
    <row r="674" ht="15.75" customHeight="1">
      <c r="A674" s="49"/>
      <c r="C674" s="84"/>
      <c r="D674" s="84"/>
      <c r="F674" s="49"/>
      <c r="H674" s="50"/>
      <c r="I674" s="51"/>
      <c r="J674" s="85"/>
      <c r="K674" s="85"/>
      <c r="L674" s="85"/>
      <c r="M674" s="52"/>
      <c r="N674" s="52"/>
      <c r="O674" s="52"/>
    </row>
    <row r="675" ht="15.75" customHeight="1">
      <c r="A675" s="49"/>
      <c r="C675" s="84"/>
      <c r="D675" s="84"/>
      <c r="F675" s="49"/>
      <c r="H675" s="50"/>
      <c r="I675" s="51"/>
      <c r="J675" s="85"/>
      <c r="K675" s="85"/>
      <c r="L675" s="85"/>
      <c r="M675" s="52"/>
      <c r="N675" s="52"/>
      <c r="O675" s="52"/>
    </row>
    <row r="676" ht="15.75" customHeight="1">
      <c r="A676" s="49"/>
      <c r="C676" s="84"/>
      <c r="D676" s="84"/>
      <c r="F676" s="49"/>
      <c r="H676" s="50"/>
      <c r="I676" s="51"/>
      <c r="J676" s="85"/>
      <c r="K676" s="85"/>
      <c r="L676" s="85"/>
      <c r="M676" s="52"/>
      <c r="N676" s="52"/>
      <c r="O676" s="52"/>
    </row>
    <row r="677" ht="15.75" customHeight="1">
      <c r="A677" s="49"/>
      <c r="C677" s="84"/>
      <c r="D677" s="84"/>
      <c r="F677" s="49"/>
      <c r="H677" s="50"/>
      <c r="I677" s="51"/>
      <c r="J677" s="85"/>
      <c r="K677" s="85"/>
      <c r="L677" s="85"/>
      <c r="M677" s="52"/>
      <c r="N677" s="52"/>
      <c r="O677" s="52"/>
    </row>
    <row r="678" ht="15.75" customHeight="1">
      <c r="A678" s="49"/>
      <c r="C678" s="84"/>
      <c r="D678" s="84"/>
      <c r="F678" s="49"/>
      <c r="H678" s="50"/>
      <c r="I678" s="51"/>
      <c r="J678" s="85"/>
      <c r="K678" s="85"/>
      <c r="L678" s="85"/>
      <c r="M678" s="52"/>
      <c r="N678" s="52"/>
      <c r="O678" s="52"/>
    </row>
    <row r="679" ht="15.75" customHeight="1">
      <c r="A679" s="49"/>
      <c r="C679" s="84"/>
      <c r="D679" s="84"/>
      <c r="F679" s="49"/>
      <c r="H679" s="50"/>
      <c r="I679" s="51"/>
      <c r="J679" s="85"/>
      <c r="K679" s="85"/>
      <c r="L679" s="85"/>
      <c r="M679" s="52"/>
      <c r="N679" s="52"/>
      <c r="O679" s="52"/>
    </row>
    <row r="680" ht="15.75" customHeight="1">
      <c r="A680" s="49"/>
      <c r="C680" s="84"/>
      <c r="D680" s="84"/>
      <c r="F680" s="49"/>
      <c r="H680" s="50"/>
      <c r="I680" s="51"/>
      <c r="J680" s="85"/>
      <c r="K680" s="85"/>
      <c r="L680" s="85"/>
      <c r="M680" s="52"/>
      <c r="N680" s="52"/>
      <c r="O680" s="52"/>
    </row>
    <row r="681" ht="15.75" customHeight="1">
      <c r="A681" s="49"/>
      <c r="C681" s="84"/>
      <c r="D681" s="84"/>
      <c r="F681" s="49"/>
      <c r="H681" s="50"/>
      <c r="I681" s="51"/>
      <c r="J681" s="85"/>
      <c r="K681" s="85"/>
      <c r="L681" s="85"/>
      <c r="M681" s="52"/>
      <c r="N681" s="52"/>
      <c r="O681" s="52"/>
    </row>
    <row r="682" ht="15.75" customHeight="1">
      <c r="A682" s="49"/>
      <c r="C682" s="84"/>
      <c r="D682" s="84"/>
      <c r="F682" s="49"/>
      <c r="H682" s="50"/>
      <c r="I682" s="51"/>
      <c r="J682" s="85"/>
      <c r="K682" s="85"/>
      <c r="L682" s="85"/>
      <c r="M682" s="52"/>
      <c r="N682" s="52"/>
      <c r="O682" s="52"/>
    </row>
    <row r="683" ht="15.75" customHeight="1">
      <c r="A683" s="49"/>
      <c r="C683" s="84"/>
      <c r="D683" s="84"/>
      <c r="F683" s="49"/>
      <c r="H683" s="50"/>
      <c r="I683" s="51"/>
      <c r="J683" s="85"/>
      <c r="K683" s="85"/>
      <c r="L683" s="85"/>
      <c r="M683" s="52"/>
      <c r="N683" s="52"/>
      <c r="O683" s="52"/>
    </row>
    <row r="684" ht="15.75" customHeight="1">
      <c r="A684" s="49"/>
      <c r="C684" s="84"/>
      <c r="D684" s="84"/>
      <c r="F684" s="49"/>
      <c r="H684" s="50"/>
      <c r="I684" s="51"/>
      <c r="J684" s="85"/>
      <c r="K684" s="85"/>
      <c r="L684" s="85"/>
      <c r="M684" s="52"/>
      <c r="N684" s="52"/>
      <c r="O684" s="52"/>
    </row>
    <row r="685" ht="15.75" customHeight="1">
      <c r="A685" s="49"/>
      <c r="C685" s="84"/>
      <c r="D685" s="84"/>
      <c r="F685" s="49"/>
      <c r="H685" s="50"/>
      <c r="I685" s="51"/>
      <c r="J685" s="85"/>
      <c r="K685" s="85"/>
      <c r="L685" s="85"/>
      <c r="M685" s="52"/>
      <c r="N685" s="52"/>
      <c r="O685" s="52"/>
    </row>
    <row r="686" ht="15.75" customHeight="1">
      <c r="A686" s="49"/>
      <c r="C686" s="84"/>
      <c r="D686" s="84"/>
      <c r="F686" s="49"/>
      <c r="H686" s="50"/>
      <c r="I686" s="51"/>
      <c r="J686" s="85"/>
      <c r="K686" s="85"/>
      <c r="L686" s="85"/>
      <c r="M686" s="52"/>
      <c r="N686" s="52"/>
      <c r="O686" s="52"/>
    </row>
    <row r="687" ht="15.75" customHeight="1">
      <c r="A687" s="49"/>
      <c r="C687" s="84"/>
      <c r="D687" s="84"/>
      <c r="F687" s="49"/>
      <c r="H687" s="50"/>
      <c r="I687" s="51"/>
      <c r="J687" s="85"/>
      <c r="K687" s="85"/>
      <c r="L687" s="85"/>
      <c r="M687" s="52"/>
      <c r="N687" s="52"/>
      <c r="O687" s="52"/>
    </row>
    <row r="688" ht="15.75" customHeight="1">
      <c r="A688" s="49"/>
      <c r="C688" s="84"/>
      <c r="D688" s="84"/>
      <c r="F688" s="49"/>
      <c r="H688" s="50"/>
      <c r="I688" s="51"/>
      <c r="J688" s="85"/>
      <c r="K688" s="85"/>
      <c r="L688" s="85"/>
      <c r="M688" s="52"/>
      <c r="N688" s="52"/>
      <c r="O688" s="52"/>
    </row>
    <row r="689" ht="15.75" customHeight="1">
      <c r="A689" s="49"/>
      <c r="C689" s="84"/>
      <c r="D689" s="84"/>
      <c r="F689" s="49"/>
      <c r="H689" s="50"/>
      <c r="I689" s="51"/>
      <c r="J689" s="85"/>
      <c r="K689" s="85"/>
      <c r="L689" s="85"/>
      <c r="M689" s="52"/>
      <c r="N689" s="52"/>
      <c r="O689" s="52"/>
    </row>
    <row r="690" ht="15.75" customHeight="1">
      <c r="A690" s="49"/>
      <c r="C690" s="84"/>
      <c r="D690" s="84"/>
      <c r="F690" s="49"/>
      <c r="H690" s="50"/>
      <c r="I690" s="51"/>
      <c r="J690" s="85"/>
      <c r="K690" s="85"/>
      <c r="L690" s="85"/>
      <c r="M690" s="52"/>
      <c r="N690" s="52"/>
      <c r="O690" s="52"/>
    </row>
    <row r="691" ht="15.75" customHeight="1">
      <c r="A691" s="49"/>
      <c r="C691" s="84"/>
      <c r="D691" s="84"/>
      <c r="F691" s="49"/>
      <c r="H691" s="50"/>
      <c r="I691" s="51"/>
      <c r="J691" s="85"/>
      <c r="K691" s="85"/>
      <c r="L691" s="85"/>
      <c r="M691" s="52"/>
      <c r="N691" s="52"/>
      <c r="O691" s="52"/>
    </row>
    <row r="692" ht="15.75" customHeight="1">
      <c r="A692" s="49"/>
      <c r="C692" s="84"/>
      <c r="D692" s="84"/>
      <c r="F692" s="49"/>
      <c r="H692" s="50"/>
      <c r="I692" s="51"/>
      <c r="J692" s="85"/>
      <c r="K692" s="85"/>
      <c r="L692" s="85"/>
      <c r="M692" s="52"/>
      <c r="N692" s="52"/>
      <c r="O692" s="52"/>
    </row>
    <row r="693" ht="15.75" customHeight="1">
      <c r="A693" s="49"/>
      <c r="C693" s="84"/>
      <c r="D693" s="84"/>
      <c r="F693" s="49"/>
      <c r="H693" s="50"/>
      <c r="I693" s="51"/>
      <c r="J693" s="85"/>
      <c r="K693" s="85"/>
      <c r="L693" s="85"/>
      <c r="M693" s="52"/>
      <c r="N693" s="52"/>
      <c r="O693" s="52"/>
    </row>
    <row r="694" ht="15.75" customHeight="1">
      <c r="A694" s="49"/>
      <c r="C694" s="84"/>
      <c r="D694" s="84"/>
      <c r="F694" s="49"/>
      <c r="H694" s="50"/>
      <c r="I694" s="51"/>
      <c r="J694" s="85"/>
      <c r="K694" s="85"/>
      <c r="L694" s="85"/>
      <c r="M694" s="52"/>
      <c r="N694" s="52"/>
      <c r="O694" s="52"/>
    </row>
    <row r="695" ht="15.75" customHeight="1">
      <c r="A695" s="49"/>
      <c r="C695" s="84"/>
      <c r="D695" s="84"/>
      <c r="F695" s="49"/>
      <c r="H695" s="50"/>
      <c r="I695" s="51"/>
      <c r="J695" s="85"/>
      <c r="K695" s="85"/>
      <c r="L695" s="85"/>
      <c r="M695" s="52"/>
      <c r="N695" s="52"/>
      <c r="O695" s="52"/>
    </row>
    <row r="696" ht="15.75" customHeight="1">
      <c r="A696" s="49"/>
      <c r="C696" s="84"/>
      <c r="D696" s="84"/>
      <c r="F696" s="49"/>
      <c r="H696" s="50"/>
      <c r="I696" s="51"/>
      <c r="J696" s="85"/>
      <c r="K696" s="85"/>
      <c r="L696" s="85"/>
      <c r="M696" s="52"/>
      <c r="N696" s="52"/>
      <c r="O696" s="52"/>
    </row>
    <row r="697" ht="15.75" customHeight="1">
      <c r="A697" s="49"/>
      <c r="C697" s="84"/>
      <c r="D697" s="84"/>
      <c r="F697" s="49"/>
      <c r="H697" s="50"/>
      <c r="I697" s="51"/>
      <c r="J697" s="85"/>
      <c r="K697" s="85"/>
      <c r="L697" s="85"/>
      <c r="M697" s="52"/>
      <c r="N697" s="52"/>
      <c r="O697" s="52"/>
    </row>
    <row r="698" ht="15.75" customHeight="1">
      <c r="A698" s="49"/>
      <c r="C698" s="84"/>
      <c r="D698" s="84"/>
      <c r="F698" s="49"/>
      <c r="H698" s="50"/>
      <c r="I698" s="51"/>
      <c r="J698" s="85"/>
      <c r="K698" s="85"/>
      <c r="L698" s="85"/>
      <c r="M698" s="52"/>
      <c r="N698" s="52"/>
      <c r="O698" s="52"/>
    </row>
    <row r="699" ht="15.75" customHeight="1">
      <c r="A699" s="49"/>
      <c r="C699" s="84"/>
      <c r="D699" s="84"/>
      <c r="F699" s="49"/>
      <c r="H699" s="50"/>
      <c r="I699" s="51"/>
      <c r="J699" s="85"/>
      <c r="K699" s="85"/>
      <c r="L699" s="85"/>
      <c r="M699" s="52"/>
      <c r="N699" s="52"/>
      <c r="O699" s="52"/>
    </row>
    <row r="700" ht="15.75" customHeight="1">
      <c r="A700" s="49"/>
      <c r="C700" s="84"/>
      <c r="D700" s="84"/>
      <c r="F700" s="49"/>
      <c r="H700" s="50"/>
      <c r="I700" s="51"/>
      <c r="J700" s="85"/>
      <c r="K700" s="85"/>
      <c r="L700" s="85"/>
      <c r="M700" s="52"/>
      <c r="N700" s="52"/>
      <c r="O700" s="52"/>
    </row>
    <row r="701" ht="15.75" customHeight="1">
      <c r="A701" s="49"/>
      <c r="C701" s="84"/>
      <c r="D701" s="84"/>
      <c r="F701" s="49"/>
      <c r="H701" s="50"/>
      <c r="I701" s="51"/>
      <c r="J701" s="85"/>
      <c r="K701" s="85"/>
      <c r="L701" s="85"/>
      <c r="M701" s="52"/>
      <c r="N701" s="52"/>
      <c r="O701" s="52"/>
    </row>
    <row r="702" ht="15.75" customHeight="1">
      <c r="A702" s="49"/>
      <c r="C702" s="84"/>
      <c r="D702" s="84"/>
      <c r="F702" s="49"/>
      <c r="H702" s="50"/>
      <c r="I702" s="51"/>
      <c r="J702" s="85"/>
      <c r="K702" s="85"/>
      <c r="L702" s="85"/>
      <c r="M702" s="52"/>
      <c r="N702" s="52"/>
      <c r="O702" s="52"/>
    </row>
    <row r="703" ht="15.75" customHeight="1">
      <c r="A703" s="49"/>
      <c r="C703" s="84"/>
      <c r="D703" s="84"/>
      <c r="F703" s="49"/>
      <c r="H703" s="50"/>
      <c r="I703" s="51"/>
      <c r="J703" s="85"/>
      <c r="K703" s="85"/>
      <c r="L703" s="85"/>
      <c r="M703" s="52"/>
      <c r="N703" s="52"/>
      <c r="O703" s="52"/>
    </row>
    <row r="704" ht="15.75" customHeight="1">
      <c r="A704" s="49"/>
      <c r="C704" s="84"/>
      <c r="D704" s="84"/>
      <c r="F704" s="49"/>
      <c r="H704" s="50"/>
      <c r="I704" s="51"/>
      <c r="J704" s="85"/>
      <c r="K704" s="85"/>
      <c r="L704" s="85"/>
      <c r="M704" s="52"/>
      <c r="N704" s="52"/>
      <c r="O704" s="52"/>
    </row>
    <row r="705" ht="15.75" customHeight="1">
      <c r="A705" s="49"/>
      <c r="C705" s="84"/>
      <c r="D705" s="84"/>
      <c r="F705" s="49"/>
      <c r="H705" s="50"/>
      <c r="I705" s="51"/>
      <c r="J705" s="85"/>
      <c r="K705" s="85"/>
      <c r="L705" s="85"/>
      <c r="M705" s="52"/>
      <c r="N705" s="52"/>
      <c r="O705" s="52"/>
    </row>
    <row r="706" ht="15.75" customHeight="1">
      <c r="A706" s="49"/>
      <c r="C706" s="84"/>
      <c r="D706" s="84"/>
      <c r="F706" s="49"/>
      <c r="H706" s="50"/>
      <c r="I706" s="51"/>
      <c r="J706" s="85"/>
      <c r="K706" s="85"/>
      <c r="L706" s="85"/>
      <c r="M706" s="52"/>
      <c r="N706" s="52"/>
      <c r="O706" s="52"/>
    </row>
    <row r="707" ht="15.75" customHeight="1">
      <c r="A707" s="49"/>
      <c r="C707" s="84"/>
      <c r="D707" s="84"/>
      <c r="F707" s="49"/>
      <c r="H707" s="50"/>
      <c r="I707" s="51"/>
      <c r="J707" s="85"/>
      <c r="K707" s="85"/>
      <c r="L707" s="85"/>
      <c r="M707" s="52"/>
      <c r="N707" s="52"/>
      <c r="O707" s="52"/>
    </row>
    <row r="708" ht="15.75" customHeight="1">
      <c r="A708" s="49"/>
      <c r="C708" s="84"/>
      <c r="D708" s="84"/>
      <c r="F708" s="49"/>
      <c r="H708" s="50"/>
      <c r="I708" s="51"/>
      <c r="J708" s="85"/>
      <c r="K708" s="85"/>
      <c r="L708" s="85"/>
      <c r="M708" s="52"/>
      <c r="N708" s="52"/>
      <c r="O708" s="52"/>
    </row>
    <row r="709" ht="15.75" customHeight="1">
      <c r="A709" s="49"/>
      <c r="C709" s="84"/>
      <c r="D709" s="84"/>
      <c r="F709" s="49"/>
      <c r="H709" s="50"/>
      <c r="I709" s="51"/>
      <c r="J709" s="85"/>
      <c r="K709" s="85"/>
      <c r="L709" s="85"/>
      <c r="M709" s="52"/>
      <c r="N709" s="52"/>
      <c r="O709" s="52"/>
    </row>
    <row r="710" ht="15.75" customHeight="1">
      <c r="A710" s="49"/>
      <c r="C710" s="84"/>
      <c r="D710" s="84"/>
      <c r="F710" s="49"/>
      <c r="H710" s="50"/>
      <c r="I710" s="51"/>
      <c r="J710" s="85"/>
      <c r="K710" s="85"/>
      <c r="L710" s="85"/>
      <c r="M710" s="52"/>
      <c r="N710" s="52"/>
      <c r="O710" s="52"/>
    </row>
    <row r="711" ht="15.75" customHeight="1">
      <c r="A711" s="49"/>
      <c r="C711" s="84"/>
      <c r="D711" s="84"/>
      <c r="F711" s="49"/>
      <c r="H711" s="50"/>
      <c r="I711" s="51"/>
      <c r="J711" s="85"/>
      <c r="K711" s="85"/>
      <c r="L711" s="85"/>
      <c r="M711" s="52"/>
      <c r="N711" s="52"/>
      <c r="O711" s="52"/>
    </row>
    <row r="712" ht="15.75" customHeight="1">
      <c r="A712" s="49"/>
      <c r="C712" s="84"/>
      <c r="D712" s="84"/>
      <c r="F712" s="49"/>
      <c r="H712" s="50"/>
      <c r="I712" s="51"/>
      <c r="J712" s="85"/>
      <c r="K712" s="85"/>
      <c r="L712" s="85"/>
      <c r="M712" s="52"/>
      <c r="N712" s="52"/>
      <c r="O712" s="52"/>
    </row>
    <row r="713" ht="15.75" customHeight="1">
      <c r="A713" s="49"/>
      <c r="C713" s="84"/>
      <c r="D713" s="84"/>
      <c r="F713" s="49"/>
      <c r="H713" s="50"/>
      <c r="I713" s="51"/>
      <c r="J713" s="85"/>
      <c r="K713" s="85"/>
      <c r="L713" s="85"/>
      <c r="M713" s="52"/>
      <c r="N713" s="52"/>
      <c r="O713" s="52"/>
    </row>
    <row r="714" ht="15.75" customHeight="1">
      <c r="A714" s="49"/>
      <c r="C714" s="84"/>
      <c r="D714" s="84"/>
      <c r="F714" s="49"/>
      <c r="H714" s="50"/>
      <c r="I714" s="51"/>
      <c r="J714" s="85"/>
      <c r="K714" s="85"/>
      <c r="L714" s="85"/>
      <c r="M714" s="52"/>
      <c r="N714" s="52"/>
      <c r="O714" s="52"/>
    </row>
    <row r="715" ht="15.75" customHeight="1">
      <c r="A715" s="49"/>
      <c r="C715" s="84"/>
      <c r="D715" s="84"/>
      <c r="F715" s="49"/>
      <c r="H715" s="50"/>
      <c r="I715" s="51"/>
      <c r="J715" s="85"/>
      <c r="K715" s="85"/>
      <c r="L715" s="85"/>
      <c r="M715" s="52"/>
      <c r="N715" s="52"/>
      <c r="O715" s="52"/>
    </row>
    <row r="716" ht="15.75" customHeight="1">
      <c r="A716" s="49"/>
      <c r="C716" s="84"/>
      <c r="D716" s="84"/>
      <c r="F716" s="49"/>
      <c r="H716" s="50"/>
      <c r="I716" s="51"/>
      <c r="J716" s="85"/>
      <c r="K716" s="85"/>
      <c r="L716" s="85"/>
      <c r="M716" s="52"/>
      <c r="N716" s="52"/>
      <c r="O716" s="52"/>
    </row>
    <row r="717" ht="15.75" customHeight="1">
      <c r="A717" s="49"/>
      <c r="C717" s="84"/>
      <c r="D717" s="84"/>
      <c r="F717" s="49"/>
      <c r="H717" s="50"/>
      <c r="I717" s="51"/>
      <c r="J717" s="85"/>
      <c r="K717" s="85"/>
      <c r="L717" s="85"/>
      <c r="M717" s="52"/>
      <c r="N717" s="52"/>
      <c r="O717" s="52"/>
    </row>
    <row r="718" ht="15.75" customHeight="1">
      <c r="A718" s="49"/>
      <c r="C718" s="84"/>
      <c r="D718" s="84"/>
      <c r="F718" s="49"/>
      <c r="H718" s="50"/>
      <c r="I718" s="51"/>
      <c r="J718" s="85"/>
      <c r="K718" s="85"/>
      <c r="L718" s="85"/>
      <c r="M718" s="52"/>
      <c r="N718" s="52"/>
      <c r="O718" s="52"/>
    </row>
    <row r="719" ht="15.75" customHeight="1">
      <c r="A719" s="49"/>
      <c r="C719" s="84"/>
      <c r="D719" s="84"/>
      <c r="F719" s="49"/>
      <c r="H719" s="50"/>
      <c r="I719" s="51"/>
      <c r="J719" s="85"/>
      <c r="K719" s="85"/>
      <c r="L719" s="85"/>
      <c r="M719" s="52"/>
      <c r="N719" s="52"/>
      <c r="O719" s="52"/>
    </row>
    <row r="720" ht="15.75" customHeight="1">
      <c r="A720" s="49"/>
      <c r="C720" s="84"/>
      <c r="D720" s="84"/>
      <c r="F720" s="49"/>
      <c r="H720" s="50"/>
      <c r="I720" s="51"/>
      <c r="J720" s="85"/>
      <c r="K720" s="85"/>
      <c r="L720" s="85"/>
      <c r="M720" s="52"/>
      <c r="N720" s="52"/>
      <c r="O720" s="52"/>
    </row>
    <row r="721" ht="15.75" customHeight="1">
      <c r="A721" s="49"/>
      <c r="C721" s="84"/>
      <c r="D721" s="84"/>
      <c r="F721" s="49"/>
      <c r="H721" s="50"/>
      <c r="I721" s="51"/>
      <c r="J721" s="85"/>
      <c r="K721" s="85"/>
      <c r="L721" s="85"/>
      <c r="M721" s="52"/>
      <c r="N721" s="52"/>
      <c r="O721" s="52"/>
    </row>
    <row r="722" ht="15.75" customHeight="1">
      <c r="A722" s="49"/>
      <c r="C722" s="84"/>
      <c r="D722" s="84"/>
      <c r="F722" s="49"/>
      <c r="H722" s="50"/>
      <c r="I722" s="51"/>
      <c r="J722" s="85"/>
      <c r="K722" s="85"/>
      <c r="L722" s="85"/>
      <c r="M722" s="52"/>
      <c r="N722" s="52"/>
      <c r="O722" s="52"/>
    </row>
    <row r="723" ht="15.75" customHeight="1">
      <c r="A723" s="49"/>
      <c r="C723" s="84"/>
      <c r="D723" s="84"/>
      <c r="F723" s="49"/>
      <c r="H723" s="50"/>
      <c r="I723" s="51"/>
      <c r="J723" s="85"/>
      <c r="K723" s="85"/>
      <c r="L723" s="85"/>
      <c r="M723" s="52"/>
      <c r="N723" s="52"/>
      <c r="O723" s="52"/>
    </row>
    <row r="724" ht="15.75" customHeight="1">
      <c r="A724" s="49"/>
      <c r="C724" s="84"/>
      <c r="D724" s="84"/>
      <c r="F724" s="49"/>
      <c r="H724" s="50"/>
      <c r="I724" s="51"/>
      <c r="J724" s="85"/>
      <c r="K724" s="85"/>
      <c r="L724" s="85"/>
      <c r="M724" s="52"/>
      <c r="N724" s="52"/>
      <c r="O724" s="52"/>
    </row>
    <row r="725" ht="15.75" customHeight="1">
      <c r="A725" s="49"/>
      <c r="C725" s="84"/>
      <c r="D725" s="84"/>
      <c r="F725" s="49"/>
      <c r="H725" s="50"/>
      <c r="I725" s="51"/>
      <c r="J725" s="85"/>
      <c r="K725" s="85"/>
      <c r="L725" s="85"/>
      <c r="M725" s="52"/>
      <c r="N725" s="52"/>
      <c r="O725" s="52"/>
    </row>
    <row r="726" ht="15.75" customHeight="1">
      <c r="A726" s="49"/>
      <c r="C726" s="84"/>
      <c r="D726" s="84"/>
      <c r="F726" s="49"/>
      <c r="H726" s="50"/>
      <c r="I726" s="51"/>
      <c r="J726" s="85"/>
      <c r="K726" s="85"/>
      <c r="L726" s="85"/>
      <c r="M726" s="52"/>
      <c r="N726" s="52"/>
      <c r="O726" s="52"/>
    </row>
    <row r="727" ht="15.75" customHeight="1">
      <c r="A727" s="49"/>
      <c r="C727" s="84"/>
      <c r="D727" s="84"/>
      <c r="F727" s="49"/>
      <c r="H727" s="50"/>
      <c r="I727" s="51"/>
      <c r="J727" s="85"/>
      <c r="K727" s="85"/>
      <c r="L727" s="85"/>
      <c r="M727" s="52"/>
      <c r="N727" s="52"/>
      <c r="O727" s="52"/>
    </row>
    <row r="728" ht="15.75" customHeight="1">
      <c r="A728" s="49"/>
      <c r="C728" s="84"/>
      <c r="D728" s="84"/>
      <c r="F728" s="49"/>
      <c r="H728" s="50"/>
      <c r="I728" s="51"/>
      <c r="J728" s="85"/>
      <c r="K728" s="85"/>
      <c r="L728" s="85"/>
      <c r="M728" s="52"/>
      <c r="N728" s="52"/>
      <c r="O728" s="52"/>
    </row>
    <row r="729" ht="15.75" customHeight="1">
      <c r="A729" s="49"/>
      <c r="C729" s="84"/>
      <c r="D729" s="84"/>
      <c r="F729" s="49"/>
      <c r="H729" s="50"/>
      <c r="I729" s="51"/>
      <c r="J729" s="85"/>
      <c r="K729" s="85"/>
      <c r="L729" s="85"/>
      <c r="M729" s="52"/>
      <c r="N729" s="52"/>
      <c r="O729" s="52"/>
    </row>
    <row r="730" ht="15.75" customHeight="1">
      <c r="A730" s="49"/>
      <c r="C730" s="84"/>
      <c r="D730" s="84"/>
      <c r="F730" s="49"/>
      <c r="H730" s="50"/>
      <c r="I730" s="51"/>
      <c r="J730" s="85"/>
      <c r="K730" s="85"/>
      <c r="L730" s="85"/>
      <c r="M730" s="52"/>
      <c r="N730" s="52"/>
      <c r="O730" s="52"/>
    </row>
    <row r="731" ht="15.75" customHeight="1">
      <c r="A731" s="49"/>
      <c r="C731" s="84"/>
      <c r="D731" s="84"/>
      <c r="F731" s="49"/>
      <c r="H731" s="50"/>
      <c r="I731" s="51"/>
      <c r="J731" s="85"/>
      <c r="K731" s="85"/>
      <c r="L731" s="85"/>
      <c r="M731" s="52"/>
      <c r="N731" s="52"/>
      <c r="O731" s="52"/>
    </row>
    <row r="732" ht="15.75" customHeight="1">
      <c r="A732" s="49"/>
      <c r="C732" s="84"/>
      <c r="D732" s="84"/>
      <c r="F732" s="49"/>
      <c r="H732" s="50"/>
      <c r="I732" s="51"/>
      <c r="J732" s="85"/>
      <c r="K732" s="85"/>
      <c r="L732" s="85"/>
      <c r="M732" s="52"/>
      <c r="N732" s="52"/>
      <c r="O732" s="52"/>
    </row>
    <row r="733" ht="15.75" customHeight="1">
      <c r="A733" s="49"/>
      <c r="C733" s="84"/>
      <c r="D733" s="84"/>
      <c r="F733" s="49"/>
      <c r="H733" s="50"/>
      <c r="I733" s="51"/>
      <c r="J733" s="85"/>
      <c r="K733" s="85"/>
      <c r="L733" s="85"/>
      <c r="M733" s="52"/>
      <c r="N733" s="52"/>
      <c r="O733" s="52"/>
    </row>
    <row r="734" ht="15.75" customHeight="1">
      <c r="A734" s="49"/>
      <c r="C734" s="84"/>
      <c r="D734" s="84"/>
      <c r="F734" s="49"/>
      <c r="H734" s="50"/>
      <c r="I734" s="51"/>
      <c r="J734" s="85"/>
      <c r="K734" s="85"/>
      <c r="L734" s="85"/>
      <c r="M734" s="52"/>
      <c r="N734" s="52"/>
      <c r="O734" s="52"/>
    </row>
    <row r="735" ht="15.75" customHeight="1">
      <c r="A735" s="49"/>
      <c r="C735" s="84"/>
      <c r="D735" s="84"/>
      <c r="F735" s="49"/>
      <c r="H735" s="50"/>
      <c r="I735" s="51"/>
      <c r="J735" s="85"/>
      <c r="K735" s="85"/>
      <c r="L735" s="85"/>
      <c r="M735" s="52"/>
      <c r="N735" s="52"/>
      <c r="O735" s="52"/>
    </row>
    <row r="736" ht="15.75" customHeight="1">
      <c r="A736" s="49"/>
      <c r="C736" s="84"/>
      <c r="D736" s="84"/>
      <c r="F736" s="49"/>
      <c r="H736" s="50"/>
      <c r="I736" s="51"/>
      <c r="J736" s="85"/>
      <c r="K736" s="85"/>
      <c r="L736" s="85"/>
      <c r="M736" s="52"/>
      <c r="N736" s="52"/>
      <c r="O736" s="52"/>
    </row>
    <row r="737" ht="15.75" customHeight="1">
      <c r="A737" s="49"/>
      <c r="C737" s="84"/>
      <c r="D737" s="84"/>
      <c r="F737" s="49"/>
      <c r="H737" s="50"/>
      <c r="I737" s="51"/>
      <c r="J737" s="85"/>
      <c r="K737" s="85"/>
      <c r="L737" s="85"/>
      <c r="M737" s="52"/>
      <c r="N737" s="52"/>
      <c r="O737" s="52"/>
    </row>
    <row r="738" ht="15.75" customHeight="1">
      <c r="A738" s="49"/>
      <c r="C738" s="84"/>
      <c r="D738" s="84"/>
      <c r="F738" s="49"/>
      <c r="H738" s="50"/>
      <c r="I738" s="51"/>
      <c r="J738" s="85"/>
      <c r="K738" s="85"/>
      <c r="L738" s="85"/>
      <c r="M738" s="52"/>
      <c r="N738" s="52"/>
      <c r="O738" s="52"/>
    </row>
    <row r="739" ht="15.75" customHeight="1">
      <c r="A739" s="49"/>
      <c r="C739" s="84"/>
      <c r="D739" s="84"/>
      <c r="F739" s="49"/>
      <c r="H739" s="50"/>
      <c r="I739" s="51"/>
      <c r="J739" s="85"/>
      <c r="K739" s="85"/>
      <c r="L739" s="85"/>
      <c r="M739" s="52"/>
      <c r="N739" s="52"/>
      <c r="O739" s="52"/>
    </row>
    <row r="740" ht="15.75" customHeight="1">
      <c r="A740" s="49"/>
      <c r="C740" s="84"/>
      <c r="D740" s="84"/>
      <c r="F740" s="49"/>
      <c r="H740" s="50"/>
      <c r="I740" s="51"/>
      <c r="J740" s="85"/>
      <c r="K740" s="85"/>
      <c r="L740" s="85"/>
      <c r="M740" s="52"/>
      <c r="N740" s="52"/>
      <c r="O740" s="52"/>
    </row>
    <row r="741" ht="15.75" customHeight="1">
      <c r="A741" s="49"/>
      <c r="C741" s="84"/>
      <c r="D741" s="84"/>
      <c r="F741" s="49"/>
      <c r="H741" s="50"/>
      <c r="I741" s="51"/>
      <c r="J741" s="85"/>
      <c r="K741" s="85"/>
      <c r="L741" s="85"/>
      <c r="M741" s="52"/>
      <c r="N741" s="52"/>
      <c r="O741" s="52"/>
    </row>
    <row r="742" ht="15.75" customHeight="1">
      <c r="A742" s="49"/>
      <c r="C742" s="84"/>
      <c r="D742" s="84"/>
      <c r="F742" s="49"/>
      <c r="H742" s="50"/>
      <c r="I742" s="51"/>
      <c r="J742" s="85"/>
      <c r="K742" s="85"/>
      <c r="L742" s="85"/>
      <c r="M742" s="52"/>
      <c r="N742" s="52"/>
      <c r="O742" s="52"/>
    </row>
    <row r="743" ht="15.75" customHeight="1">
      <c r="A743" s="49"/>
      <c r="C743" s="84"/>
      <c r="D743" s="84"/>
      <c r="F743" s="49"/>
      <c r="H743" s="50"/>
      <c r="I743" s="51"/>
      <c r="J743" s="85"/>
      <c r="K743" s="85"/>
      <c r="L743" s="85"/>
      <c r="M743" s="52"/>
      <c r="N743" s="52"/>
      <c r="O743" s="52"/>
    </row>
    <row r="744" ht="15.75" customHeight="1">
      <c r="A744" s="49"/>
      <c r="C744" s="84"/>
      <c r="D744" s="84"/>
      <c r="F744" s="49"/>
      <c r="H744" s="50"/>
      <c r="I744" s="51"/>
      <c r="J744" s="85"/>
      <c r="K744" s="85"/>
      <c r="L744" s="85"/>
      <c r="M744" s="52"/>
      <c r="N744" s="52"/>
      <c r="O744" s="52"/>
    </row>
    <row r="745" ht="15.75" customHeight="1">
      <c r="A745" s="49"/>
      <c r="C745" s="84"/>
      <c r="D745" s="84"/>
      <c r="F745" s="49"/>
      <c r="H745" s="50"/>
      <c r="I745" s="51"/>
      <c r="J745" s="85"/>
      <c r="K745" s="85"/>
      <c r="L745" s="85"/>
      <c r="M745" s="52"/>
      <c r="N745" s="52"/>
      <c r="O745" s="52"/>
    </row>
    <row r="746" ht="15.75" customHeight="1">
      <c r="A746" s="49"/>
      <c r="C746" s="84"/>
      <c r="D746" s="84"/>
      <c r="F746" s="49"/>
      <c r="H746" s="50"/>
      <c r="I746" s="51"/>
      <c r="J746" s="85"/>
      <c r="K746" s="85"/>
      <c r="L746" s="85"/>
      <c r="M746" s="52"/>
      <c r="N746" s="52"/>
      <c r="O746" s="52"/>
    </row>
    <row r="747" ht="15.75" customHeight="1">
      <c r="A747" s="49"/>
      <c r="C747" s="84"/>
      <c r="D747" s="84"/>
      <c r="F747" s="49"/>
      <c r="H747" s="50"/>
      <c r="I747" s="51"/>
      <c r="J747" s="85"/>
      <c r="K747" s="85"/>
      <c r="L747" s="85"/>
      <c r="M747" s="52"/>
      <c r="N747" s="52"/>
      <c r="O747" s="52"/>
    </row>
    <row r="748" ht="15.75" customHeight="1">
      <c r="A748" s="49"/>
      <c r="C748" s="84"/>
      <c r="D748" s="84"/>
      <c r="F748" s="49"/>
      <c r="H748" s="50"/>
      <c r="I748" s="51"/>
      <c r="J748" s="85"/>
      <c r="K748" s="85"/>
      <c r="L748" s="85"/>
      <c r="M748" s="52"/>
      <c r="N748" s="52"/>
      <c r="O748" s="52"/>
    </row>
    <row r="749" ht="15.75" customHeight="1">
      <c r="A749" s="49"/>
      <c r="C749" s="84"/>
      <c r="D749" s="84"/>
      <c r="F749" s="49"/>
      <c r="H749" s="50"/>
      <c r="I749" s="51"/>
      <c r="J749" s="85"/>
      <c r="K749" s="85"/>
      <c r="L749" s="85"/>
      <c r="M749" s="52"/>
      <c r="N749" s="52"/>
      <c r="O749" s="52"/>
    </row>
    <row r="750" ht="15.75" customHeight="1">
      <c r="A750" s="49"/>
      <c r="C750" s="84"/>
      <c r="D750" s="84"/>
      <c r="F750" s="49"/>
      <c r="H750" s="50"/>
      <c r="I750" s="51"/>
      <c r="J750" s="85"/>
      <c r="K750" s="85"/>
      <c r="L750" s="85"/>
      <c r="M750" s="52"/>
      <c r="N750" s="52"/>
      <c r="O750" s="52"/>
    </row>
    <row r="751" ht="15.75" customHeight="1">
      <c r="A751" s="49"/>
      <c r="C751" s="84"/>
      <c r="D751" s="84"/>
      <c r="F751" s="49"/>
      <c r="H751" s="50"/>
      <c r="I751" s="51"/>
      <c r="J751" s="85"/>
      <c r="K751" s="85"/>
      <c r="L751" s="85"/>
      <c r="M751" s="52"/>
      <c r="N751" s="52"/>
      <c r="O751" s="52"/>
    </row>
    <row r="752" ht="15.75" customHeight="1">
      <c r="A752" s="49"/>
      <c r="C752" s="84"/>
      <c r="D752" s="84"/>
      <c r="F752" s="49"/>
      <c r="H752" s="50"/>
      <c r="I752" s="51"/>
      <c r="J752" s="85"/>
      <c r="K752" s="85"/>
      <c r="L752" s="85"/>
      <c r="M752" s="52"/>
      <c r="N752" s="52"/>
      <c r="O752" s="52"/>
    </row>
    <row r="753" ht="15.75" customHeight="1">
      <c r="A753" s="49"/>
      <c r="C753" s="84"/>
      <c r="D753" s="84"/>
      <c r="F753" s="49"/>
      <c r="H753" s="50"/>
      <c r="I753" s="51"/>
      <c r="J753" s="85"/>
      <c r="K753" s="85"/>
      <c r="L753" s="85"/>
      <c r="M753" s="52"/>
      <c r="N753" s="52"/>
      <c r="O753" s="52"/>
    </row>
    <row r="754" ht="15.75" customHeight="1">
      <c r="A754" s="49"/>
      <c r="C754" s="84"/>
      <c r="D754" s="84"/>
      <c r="F754" s="49"/>
      <c r="H754" s="50"/>
      <c r="I754" s="51"/>
      <c r="J754" s="85"/>
      <c r="K754" s="85"/>
      <c r="L754" s="85"/>
      <c r="M754" s="52"/>
      <c r="N754" s="52"/>
      <c r="O754" s="52"/>
    </row>
    <row r="755" ht="15.75" customHeight="1">
      <c r="A755" s="49"/>
      <c r="C755" s="84"/>
      <c r="D755" s="84"/>
      <c r="F755" s="49"/>
      <c r="H755" s="50"/>
      <c r="I755" s="51"/>
      <c r="J755" s="85"/>
      <c r="K755" s="85"/>
      <c r="L755" s="85"/>
      <c r="M755" s="52"/>
      <c r="N755" s="52"/>
      <c r="O755" s="52"/>
    </row>
    <row r="756" ht="15.75" customHeight="1">
      <c r="A756" s="49"/>
      <c r="C756" s="84"/>
      <c r="D756" s="84"/>
      <c r="F756" s="49"/>
      <c r="H756" s="50"/>
      <c r="I756" s="51"/>
      <c r="J756" s="85"/>
      <c r="K756" s="85"/>
      <c r="L756" s="85"/>
      <c r="M756" s="52"/>
      <c r="N756" s="52"/>
      <c r="O756" s="52"/>
    </row>
    <row r="757" ht="15.75" customHeight="1">
      <c r="A757" s="49"/>
      <c r="C757" s="84"/>
      <c r="D757" s="84"/>
      <c r="F757" s="49"/>
      <c r="H757" s="50"/>
      <c r="I757" s="51"/>
      <c r="J757" s="85"/>
      <c r="K757" s="85"/>
      <c r="L757" s="85"/>
      <c r="M757" s="52"/>
      <c r="N757" s="52"/>
      <c r="O757" s="52"/>
    </row>
    <row r="758" ht="15.75" customHeight="1">
      <c r="A758" s="49"/>
      <c r="C758" s="84"/>
      <c r="D758" s="84"/>
      <c r="F758" s="49"/>
      <c r="H758" s="50"/>
      <c r="I758" s="51"/>
      <c r="J758" s="85"/>
      <c r="K758" s="85"/>
      <c r="L758" s="85"/>
      <c r="M758" s="52"/>
      <c r="N758" s="52"/>
      <c r="O758" s="52"/>
    </row>
    <row r="759" ht="15.75" customHeight="1">
      <c r="A759" s="49"/>
      <c r="C759" s="84"/>
      <c r="D759" s="84"/>
      <c r="F759" s="49"/>
      <c r="H759" s="50"/>
      <c r="I759" s="51"/>
      <c r="J759" s="85"/>
      <c r="K759" s="85"/>
      <c r="L759" s="85"/>
      <c r="M759" s="52"/>
      <c r="N759" s="52"/>
      <c r="O759" s="52"/>
    </row>
    <row r="760" ht="15.75" customHeight="1">
      <c r="A760" s="49"/>
      <c r="C760" s="84"/>
      <c r="D760" s="84"/>
      <c r="F760" s="49"/>
      <c r="H760" s="50"/>
      <c r="I760" s="51"/>
      <c r="J760" s="85"/>
      <c r="K760" s="85"/>
      <c r="L760" s="85"/>
      <c r="M760" s="52"/>
      <c r="N760" s="52"/>
      <c r="O760" s="52"/>
    </row>
    <row r="761" ht="15.75" customHeight="1">
      <c r="A761" s="49"/>
      <c r="C761" s="84"/>
      <c r="D761" s="84"/>
      <c r="F761" s="49"/>
      <c r="H761" s="50"/>
      <c r="I761" s="51"/>
      <c r="J761" s="85"/>
      <c r="K761" s="85"/>
      <c r="L761" s="85"/>
      <c r="M761" s="52"/>
      <c r="N761" s="52"/>
      <c r="O761" s="52"/>
    </row>
    <row r="762" ht="15.75" customHeight="1">
      <c r="A762" s="49"/>
      <c r="C762" s="84"/>
      <c r="D762" s="84"/>
      <c r="F762" s="49"/>
      <c r="H762" s="50"/>
      <c r="I762" s="51"/>
      <c r="J762" s="85"/>
      <c r="K762" s="85"/>
      <c r="L762" s="85"/>
      <c r="M762" s="52"/>
      <c r="N762" s="52"/>
      <c r="O762" s="52"/>
    </row>
    <row r="763" ht="15.75" customHeight="1">
      <c r="A763" s="49"/>
      <c r="C763" s="84"/>
      <c r="D763" s="84"/>
      <c r="F763" s="49"/>
      <c r="H763" s="50"/>
      <c r="I763" s="51"/>
      <c r="J763" s="85"/>
      <c r="K763" s="85"/>
      <c r="L763" s="85"/>
      <c r="M763" s="52"/>
      <c r="N763" s="52"/>
      <c r="O763" s="52"/>
    </row>
    <row r="764" ht="15.75" customHeight="1">
      <c r="A764" s="49"/>
      <c r="C764" s="84"/>
      <c r="D764" s="84"/>
      <c r="F764" s="49"/>
      <c r="H764" s="50"/>
      <c r="I764" s="51"/>
      <c r="J764" s="85"/>
      <c r="K764" s="85"/>
      <c r="L764" s="85"/>
      <c r="M764" s="52"/>
      <c r="N764" s="52"/>
      <c r="O764" s="52"/>
    </row>
    <row r="765" ht="15.75" customHeight="1">
      <c r="A765" s="49"/>
      <c r="C765" s="84"/>
      <c r="D765" s="84"/>
      <c r="F765" s="49"/>
      <c r="H765" s="50"/>
      <c r="I765" s="51"/>
      <c r="J765" s="85"/>
      <c r="K765" s="85"/>
      <c r="L765" s="85"/>
      <c r="M765" s="52"/>
      <c r="N765" s="52"/>
      <c r="O765" s="52"/>
    </row>
    <row r="766" ht="15.75" customHeight="1">
      <c r="A766" s="49"/>
      <c r="C766" s="84"/>
      <c r="D766" s="84"/>
      <c r="F766" s="49"/>
      <c r="H766" s="50"/>
      <c r="I766" s="51"/>
      <c r="J766" s="85"/>
      <c r="K766" s="85"/>
      <c r="L766" s="85"/>
      <c r="M766" s="52"/>
      <c r="N766" s="52"/>
      <c r="O766" s="52"/>
    </row>
    <row r="767" ht="15.75" customHeight="1">
      <c r="A767" s="49"/>
      <c r="C767" s="84"/>
      <c r="D767" s="84"/>
      <c r="F767" s="49"/>
      <c r="H767" s="50"/>
      <c r="I767" s="51"/>
      <c r="J767" s="85"/>
      <c r="K767" s="85"/>
      <c r="L767" s="85"/>
      <c r="M767" s="52"/>
      <c r="N767" s="52"/>
      <c r="O767" s="52"/>
    </row>
    <row r="768" ht="15.75" customHeight="1">
      <c r="A768" s="49"/>
      <c r="C768" s="84"/>
      <c r="D768" s="84"/>
      <c r="F768" s="49"/>
      <c r="H768" s="50"/>
      <c r="I768" s="51"/>
      <c r="J768" s="85"/>
      <c r="K768" s="85"/>
      <c r="L768" s="85"/>
      <c r="M768" s="52"/>
      <c r="N768" s="52"/>
      <c r="O768" s="52"/>
    </row>
    <row r="769" ht="15.75" customHeight="1">
      <c r="A769" s="49"/>
      <c r="C769" s="84"/>
      <c r="D769" s="84"/>
      <c r="F769" s="49"/>
      <c r="H769" s="50"/>
      <c r="I769" s="51"/>
      <c r="J769" s="85"/>
      <c r="K769" s="85"/>
      <c r="L769" s="85"/>
      <c r="M769" s="52"/>
      <c r="N769" s="52"/>
      <c r="O769" s="52"/>
    </row>
    <row r="770" ht="15.75" customHeight="1">
      <c r="A770" s="49"/>
      <c r="C770" s="84"/>
      <c r="D770" s="84"/>
      <c r="F770" s="49"/>
      <c r="H770" s="50"/>
      <c r="I770" s="51"/>
      <c r="J770" s="85"/>
      <c r="K770" s="85"/>
      <c r="L770" s="85"/>
      <c r="M770" s="52"/>
      <c r="N770" s="52"/>
      <c r="O770" s="52"/>
    </row>
    <row r="771" ht="15.75" customHeight="1">
      <c r="A771" s="49"/>
      <c r="C771" s="84"/>
      <c r="D771" s="84"/>
      <c r="F771" s="49"/>
      <c r="H771" s="50"/>
      <c r="I771" s="51"/>
      <c r="J771" s="85"/>
      <c r="K771" s="85"/>
      <c r="L771" s="85"/>
      <c r="M771" s="52"/>
      <c r="N771" s="52"/>
      <c r="O771" s="52"/>
    </row>
    <row r="772" ht="15.75" customHeight="1">
      <c r="A772" s="49"/>
      <c r="C772" s="84"/>
      <c r="D772" s="84"/>
      <c r="F772" s="49"/>
      <c r="H772" s="50"/>
      <c r="I772" s="51"/>
      <c r="J772" s="85"/>
      <c r="K772" s="85"/>
      <c r="L772" s="85"/>
      <c r="M772" s="52"/>
      <c r="N772" s="52"/>
      <c r="O772" s="52"/>
    </row>
    <row r="773" ht="15.75" customHeight="1">
      <c r="A773" s="49"/>
      <c r="C773" s="84"/>
      <c r="D773" s="84"/>
      <c r="F773" s="49"/>
      <c r="H773" s="50"/>
      <c r="I773" s="51"/>
      <c r="J773" s="85"/>
      <c r="K773" s="85"/>
      <c r="L773" s="85"/>
      <c r="M773" s="52"/>
      <c r="N773" s="52"/>
      <c r="O773" s="52"/>
    </row>
    <row r="774" ht="15.75" customHeight="1">
      <c r="A774" s="49"/>
      <c r="C774" s="84"/>
      <c r="D774" s="84"/>
      <c r="F774" s="49"/>
      <c r="H774" s="50"/>
      <c r="I774" s="51"/>
      <c r="J774" s="85"/>
      <c r="K774" s="85"/>
      <c r="L774" s="85"/>
      <c r="M774" s="52"/>
      <c r="N774" s="52"/>
      <c r="O774" s="52"/>
    </row>
    <row r="775" ht="15.75" customHeight="1">
      <c r="A775" s="49"/>
      <c r="C775" s="84"/>
      <c r="D775" s="84"/>
      <c r="F775" s="49"/>
      <c r="H775" s="50"/>
      <c r="I775" s="51"/>
      <c r="J775" s="85"/>
      <c r="K775" s="85"/>
      <c r="L775" s="85"/>
      <c r="M775" s="52"/>
      <c r="N775" s="52"/>
      <c r="O775" s="52"/>
    </row>
    <row r="776" ht="15.75" customHeight="1">
      <c r="A776" s="49"/>
      <c r="C776" s="84"/>
      <c r="D776" s="84"/>
      <c r="F776" s="49"/>
      <c r="H776" s="50"/>
      <c r="I776" s="51"/>
      <c r="J776" s="85"/>
      <c r="K776" s="85"/>
      <c r="L776" s="85"/>
      <c r="M776" s="52"/>
      <c r="N776" s="52"/>
      <c r="O776" s="52"/>
    </row>
    <row r="777" ht="15.75" customHeight="1">
      <c r="A777" s="49"/>
      <c r="C777" s="84"/>
      <c r="D777" s="84"/>
      <c r="F777" s="49"/>
      <c r="H777" s="50"/>
      <c r="I777" s="51"/>
      <c r="J777" s="85"/>
      <c r="K777" s="85"/>
      <c r="L777" s="85"/>
      <c r="M777" s="52"/>
      <c r="N777" s="52"/>
      <c r="O777" s="52"/>
    </row>
    <row r="778" ht="15.75" customHeight="1">
      <c r="A778" s="49"/>
      <c r="C778" s="84"/>
      <c r="D778" s="84"/>
      <c r="F778" s="49"/>
      <c r="H778" s="50"/>
      <c r="I778" s="51"/>
      <c r="J778" s="85"/>
      <c r="K778" s="85"/>
      <c r="L778" s="85"/>
      <c r="M778" s="52"/>
      <c r="N778" s="52"/>
      <c r="O778" s="52"/>
    </row>
    <row r="779" ht="15.75" customHeight="1">
      <c r="A779" s="49"/>
      <c r="C779" s="84"/>
      <c r="D779" s="84"/>
      <c r="F779" s="49"/>
      <c r="H779" s="50"/>
      <c r="I779" s="51"/>
      <c r="J779" s="85"/>
      <c r="K779" s="85"/>
      <c r="L779" s="85"/>
      <c r="M779" s="52"/>
      <c r="N779" s="52"/>
      <c r="O779" s="52"/>
    </row>
    <row r="780" ht="15.75" customHeight="1">
      <c r="A780" s="49"/>
      <c r="C780" s="84"/>
      <c r="D780" s="84"/>
      <c r="F780" s="49"/>
      <c r="H780" s="50"/>
      <c r="I780" s="51"/>
      <c r="J780" s="85"/>
      <c r="K780" s="85"/>
      <c r="L780" s="85"/>
      <c r="M780" s="52"/>
      <c r="N780" s="52"/>
      <c r="O780" s="52"/>
    </row>
    <row r="781" ht="15.75" customHeight="1">
      <c r="A781" s="49"/>
      <c r="C781" s="84"/>
      <c r="D781" s="84"/>
      <c r="F781" s="49"/>
      <c r="H781" s="50"/>
      <c r="I781" s="51"/>
      <c r="J781" s="85"/>
      <c r="K781" s="85"/>
      <c r="L781" s="85"/>
      <c r="M781" s="52"/>
      <c r="N781" s="52"/>
      <c r="O781" s="52"/>
    </row>
    <row r="782" ht="15.75" customHeight="1">
      <c r="A782" s="49"/>
      <c r="C782" s="84"/>
      <c r="D782" s="84"/>
      <c r="F782" s="49"/>
      <c r="H782" s="50"/>
      <c r="I782" s="51"/>
      <c r="J782" s="85"/>
      <c r="K782" s="85"/>
      <c r="L782" s="85"/>
      <c r="M782" s="52"/>
      <c r="N782" s="52"/>
      <c r="O782" s="52"/>
    </row>
    <row r="783" ht="15.75" customHeight="1">
      <c r="A783" s="49"/>
      <c r="C783" s="84"/>
      <c r="D783" s="84"/>
      <c r="F783" s="49"/>
      <c r="H783" s="50"/>
      <c r="I783" s="51"/>
      <c r="J783" s="85"/>
      <c r="K783" s="85"/>
      <c r="L783" s="85"/>
      <c r="M783" s="52"/>
      <c r="N783" s="52"/>
      <c r="O783" s="52"/>
    </row>
    <row r="784" ht="15.75" customHeight="1">
      <c r="A784" s="49"/>
      <c r="C784" s="84"/>
      <c r="D784" s="84"/>
      <c r="F784" s="49"/>
      <c r="H784" s="50"/>
      <c r="I784" s="51"/>
      <c r="J784" s="85"/>
      <c r="K784" s="85"/>
      <c r="L784" s="85"/>
      <c r="M784" s="52"/>
      <c r="N784" s="52"/>
      <c r="O784" s="52"/>
    </row>
    <row r="785" ht="15.75" customHeight="1">
      <c r="A785" s="49"/>
      <c r="C785" s="84"/>
      <c r="D785" s="84"/>
      <c r="F785" s="49"/>
      <c r="H785" s="50"/>
      <c r="I785" s="51"/>
      <c r="J785" s="85"/>
      <c r="K785" s="85"/>
      <c r="L785" s="85"/>
      <c r="M785" s="52"/>
      <c r="N785" s="52"/>
      <c r="O785" s="52"/>
    </row>
    <row r="786" ht="15.75" customHeight="1">
      <c r="A786" s="49"/>
      <c r="C786" s="84"/>
      <c r="D786" s="84"/>
      <c r="F786" s="49"/>
      <c r="H786" s="50"/>
      <c r="I786" s="51"/>
      <c r="J786" s="85"/>
      <c r="K786" s="85"/>
      <c r="L786" s="85"/>
      <c r="M786" s="52"/>
      <c r="N786" s="52"/>
      <c r="O786" s="52"/>
    </row>
    <row r="787" ht="15.75" customHeight="1">
      <c r="A787" s="49"/>
      <c r="C787" s="84"/>
      <c r="D787" s="84"/>
      <c r="F787" s="49"/>
      <c r="H787" s="50"/>
      <c r="I787" s="51"/>
      <c r="J787" s="85"/>
      <c r="K787" s="85"/>
      <c r="L787" s="85"/>
      <c r="M787" s="52"/>
      <c r="N787" s="52"/>
      <c r="O787" s="52"/>
    </row>
    <row r="788" ht="15.75" customHeight="1">
      <c r="A788" s="49"/>
      <c r="C788" s="84"/>
      <c r="D788" s="84"/>
      <c r="F788" s="49"/>
      <c r="H788" s="50"/>
      <c r="I788" s="51"/>
      <c r="J788" s="85"/>
      <c r="K788" s="85"/>
      <c r="L788" s="85"/>
      <c r="M788" s="52"/>
      <c r="N788" s="52"/>
      <c r="O788" s="52"/>
    </row>
    <row r="789" ht="15.75" customHeight="1">
      <c r="A789" s="49"/>
      <c r="C789" s="84"/>
      <c r="D789" s="84"/>
      <c r="F789" s="49"/>
      <c r="H789" s="50"/>
      <c r="I789" s="51"/>
      <c r="J789" s="85"/>
      <c r="K789" s="85"/>
      <c r="L789" s="85"/>
      <c r="M789" s="52"/>
      <c r="N789" s="52"/>
      <c r="O789" s="52"/>
    </row>
    <row r="790" ht="15.75" customHeight="1">
      <c r="A790" s="49"/>
      <c r="C790" s="84"/>
      <c r="D790" s="84"/>
      <c r="F790" s="49"/>
      <c r="H790" s="50"/>
      <c r="I790" s="51"/>
      <c r="J790" s="85"/>
      <c r="K790" s="85"/>
      <c r="L790" s="85"/>
      <c r="M790" s="52"/>
      <c r="N790" s="52"/>
      <c r="O790" s="52"/>
    </row>
    <row r="791" ht="15.75" customHeight="1">
      <c r="A791" s="49"/>
      <c r="C791" s="84"/>
      <c r="D791" s="84"/>
      <c r="F791" s="49"/>
      <c r="H791" s="50"/>
      <c r="I791" s="51"/>
      <c r="J791" s="85"/>
      <c r="K791" s="85"/>
      <c r="L791" s="85"/>
      <c r="M791" s="52"/>
      <c r="N791" s="52"/>
      <c r="O791" s="52"/>
    </row>
    <row r="792" ht="15.75" customHeight="1">
      <c r="A792" s="49"/>
      <c r="C792" s="84"/>
      <c r="D792" s="84"/>
      <c r="F792" s="49"/>
      <c r="H792" s="50"/>
      <c r="I792" s="51"/>
      <c r="J792" s="85"/>
      <c r="K792" s="85"/>
      <c r="L792" s="85"/>
      <c r="M792" s="52"/>
      <c r="N792" s="52"/>
      <c r="O792" s="52"/>
    </row>
    <row r="793" ht="15.75" customHeight="1">
      <c r="A793" s="49"/>
      <c r="C793" s="84"/>
      <c r="D793" s="84"/>
      <c r="F793" s="49"/>
      <c r="H793" s="50"/>
      <c r="I793" s="51"/>
      <c r="J793" s="85"/>
      <c r="K793" s="85"/>
      <c r="L793" s="85"/>
      <c r="M793" s="52"/>
      <c r="N793" s="52"/>
      <c r="O793" s="52"/>
    </row>
    <row r="794" ht="15.75" customHeight="1">
      <c r="A794" s="49"/>
      <c r="C794" s="84"/>
      <c r="D794" s="84"/>
      <c r="F794" s="49"/>
      <c r="H794" s="50"/>
      <c r="I794" s="51"/>
      <c r="J794" s="85"/>
      <c r="K794" s="85"/>
      <c r="L794" s="85"/>
      <c r="M794" s="52"/>
      <c r="N794" s="52"/>
      <c r="O794" s="52"/>
    </row>
    <row r="795" ht="15.75" customHeight="1">
      <c r="A795" s="49"/>
      <c r="C795" s="84"/>
      <c r="D795" s="84"/>
      <c r="F795" s="49"/>
      <c r="H795" s="50"/>
      <c r="I795" s="51"/>
      <c r="J795" s="85"/>
      <c r="K795" s="85"/>
      <c r="L795" s="85"/>
      <c r="M795" s="52"/>
      <c r="N795" s="52"/>
      <c r="O795" s="52"/>
    </row>
    <row r="796" ht="15.75" customHeight="1">
      <c r="A796" s="49"/>
      <c r="C796" s="84"/>
      <c r="D796" s="84"/>
      <c r="F796" s="49"/>
      <c r="H796" s="50"/>
      <c r="I796" s="51"/>
      <c r="J796" s="85"/>
      <c r="K796" s="85"/>
      <c r="L796" s="85"/>
      <c r="M796" s="52"/>
      <c r="N796" s="52"/>
      <c r="O796" s="52"/>
    </row>
    <row r="797" ht="15.75" customHeight="1">
      <c r="A797" s="49"/>
      <c r="C797" s="84"/>
      <c r="D797" s="84"/>
      <c r="F797" s="49"/>
      <c r="H797" s="50"/>
      <c r="I797" s="51"/>
      <c r="J797" s="85"/>
      <c r="K797" s="85"/>
      <c r="L797" s="85"/>
      <c r="M797" s="52"/>
      <c r="N797" s="52"/>
      <c r="O797" s="52"/>
    </row>
    <row r="798" ht="15.75" customHeight="1">
      <c r="A798" s="49"/>
      <c r="C798" s="84"/>
      <c r="D798" s="84"/>
      <c r="F798" s="49"/>
      <c r="H798" s="50"/>
      <c r="I798" s="51"/>
      <c r="J798" s="85"/>
      <c r="K798" s="85"/>
      <c r="L798" s="85"/>
      <c r="M798" s="52"/>
      <c r="N798" s="52"/>
      <c r="O798" s="52"/>
    </row>
    <row r="799" ht="15.75" customHeight="1">
      <c r="A799" s="49"/>
      <c r="C799" s="84"/>
      <c r="D799" s="84"/>
      <c r="F799" s="49"/>
      <c r="H799" s="50"/>
      <c r="I799" s="51"/>
      <c r="J799" s="85"/>
      <c r="K799" s="85"/>
      <c r="L799" s="85"/>
      <c r="M799" s="52"/>
      <c r="N799" s="52"/>
      <c r="O799" s="52"/>
    </row>
    <row r="800" ht="15.75" customHeight="1">
      <c r="A800" s="49"/>
      <c r="C800" s="84"/>
      <c r="D800" s="84"/>
      <c r="F800" s="49"/>
      <c r="H800" s="50"/>
      <c r="I800" s="51"/>
      <c r="J800" s="85"/>
      <c r="K800" s="85"/>
      <c r="L800" s="85"/>
      <c r="M800" s="52"/>
      <c r="N800" s="52"/>
      <c r="O800" s="52"/>
    </row>
    <row r="801" ht="15.75" customHeight="1">
      <c r="A801" s="49"/>
      <c r="C801" s="84"/>
      <c r="D801" s="84"/>
      <c r="F801" s="49"/>
      <c r="H801" s="50"/>
      <c r="I801" s="51"/>
      <c r="J801" s="85"/>
      <c r="K801" s="85"/>
      <c r="L801" s="85"/>
      <c r="M801" s="52"/>
      <c r="N801" s="52"/>
      <c r="O801" s="52"/>
    </row>
    <row r="802" ht="15.75" customHeight="1">
      <c r="A802" s="49"/>
      <c r="C802" s="84"/>
      <c r="D802" s="84"/>
      <c r="F802" s="49"/>
      <c r="H802" s="50"/>
      <c r="I802" s="51"/>
      <c r="J802" s="85"/>
      <c r="K802" s="85"/>
      <c r="L802" s="85"/>
      <c r="M802" s="52"/>
      <c r="N802" s="52"/>
      <c r="O802" s="52"/>
    </row>
    <row r="803" ht="15.75" customHeight="1">
      <c r="A803" s="49"/>
      <c r="C803" s="84"/>
      <c r="D803" s="84"/>
      <c r="F803" s="49"/>
      <c r="H803" s="50"/>
      <c r="I803" s="51"/>
      <c r="J803" s="85"/>
      <c r="K803" s="85"/>
      <c r="L803" s="85"/>
      <c r="M803" s="52"/>
      <c r="N803" s="52"/>
      <c r="O803" s="52"/>
    </row>
    <row r="804" ht="15.75" customHeight="1">
      <c r="A804" s="49"/>
      <c r="C804" s="84"/>
      <c r="D804" s="84"/>
      <c r="F804" s="49"/>
      <c r="H804" s="50"/>
      <c r="I804" s="51"/>
      <c r="J804" s="85"/>
      <c r="K804" s="85"/>
      <c r="L804" s="85"/>
      <c r="M804" s="52"/>
      <c r="N804" s="52"/>
      <c r="O804" s="52"/>
    </row>
    <row r="805" ht="15.75" customHeight="1">
      <c r="A805" s="49"/>
      <c r="C805" s="84"/>
      <c r="D805" s="84"/>
      <c r="F805" s="49"/>
      <c r="H805" s="50"/>
      <c r="I805" s="51"/>
      <c r="J805" s="85"/>
      <c r="K805" s="85"/>
      <c r="L805" s="85"/>
      <c r="M805" s="52"/>
      <c r="N805" s="52"/>
      <c r="O805" s="52"/>
    </row>
    <row r="806" ht="15.75" customHeight="1">
      <c r="A806" s="49"/>
      <c r="C806" s="84"/>
      <c r="D806" s="84"/>
      <c r="F806" s="49"/>
      <c r="H806" s="50"/>
      <c r="I806" s="51"/>
      <c r="J806" s="85"/>
      <c r="K806" s="85"/>
      <c r="L806" s="85"/>
      <c r="M806" s="52"/>
      <c r="N806" s="52"/>
      <c r="O806" s="52"/>
    </row>
    <row r="807" ht="15.75" customHeight="1">
      <c r="A807" s="49"/>
      <c r="C807" s="84"/>
      <c r="D807" s="84"/>
      <c r="F807" s="49"/>
      <c r="H807" s="50"/>
      <c r="I807" s="51"/>
      <c r="J807" s="85"/>
      <c r="K807" s="85"/>
      <c r="L807" s="85"/>
      <c r="M807" s="52"/>
      <c r="N807" s="52"/>
      <c r="O807" s="52"/>
    </row>
    <row r="808" ht="15.75" customHeight="1">
      <c r="A808" s="49"/>
      <c r="C808" s="84"/>
      <c r="D808" s="84"/>
      <c r="F808" s="49"/>
      <c r="H808" s="50"/>
      <c r="I808" s="51"/>
      <c r="J808" s="85"/>
      <c r="K808" s="85"/>
      <c r="L808" s="85"/>
      <c r="M808" s="52"/>
      <c r="N808" s="52"/>
      <c r="O808" s="52"/>
    </row>
    <row r="809" ht="15.75" customHeight="1">
      <c r="A809" s="49"/>
      <c r="C809" s="84"/>
      <c r="D809" s="84"/>
      <c r="F809" s="49"/>
      <c r="H809" s="50"/>
      <c r="I809" s="51"/>
      <c r="J809" s="85"/>
      <c r="K809" s="85"/>
      <c r="L809" s="85"/>
      <c r="M809" s="52"/>
      <c r="N809" s="52"/>
      <c r="O809" s="52"/>
    </row>
    <row r="810" ht="15.75" customHeight="1">
      <c r="A810" s="49"/>
      <c r="C810" s="84"/>
      <c r="D810" s="84"/>
      <c r="F810" s="49"/>
      <c r="H810" s="50"/>
      <c r="I810" s="51"/>
      <c r="J810" s="85"/>
      <c r="K810" s="85"/>
      <c r="L810" s="85"/>
      <c r="M810" s="52"/>
      <c r="N810" s="52"/>
      <c r="O810" s="52"/>
    </row>
    <row r="811" ht="15.75" customHeight="1">
      <c r="A811" s="49"/>
      <c r="C811" s="84"/>
      <c r="D811" s="84"/>
      <c r="F811" s="49"/>
      <c r="H811" s="50"/>
      <c r="I811" s="51"/>
      <c r="J811" s="85"/>
      <c r="K811" s="85"/>
      <c r="L811" s="85"/>
      <c r="M811" s="52"/>
      <c r="N811" s="52"/>
      <c r="O811" s="52"/>
    </row>
    <row r="812" ht="15.75" customHeight="1">
      <c r="A812" s="49"/>
      <c r="C812" s="84"/>
      <c r="D812" s="84"/>
      <c r="F812" s="49"/>
      <c r="H812" s="50"/>
      <c r="I812" s="51"/>
      <c r="J812" s="85"/>
      <c r="K812" s="85"/>
      <c r="L812" s="85"/>
      <c r="M812" s="52"/>
      <c r="N812" s="52"/>
      <c r="O812" s="52"/>
    </row>
    <row r="813" ht="15.75" customHeight="1">
      <c r="A813" s="49"/>
      <c r="C813" s="84"/>
      <c r="D813" s="84"/>
      <c r="F813" s="49"/>
      <c r="H813" s="50"/>
      <c r="I813" s="51"/>
      <c r="J813" s="85"/>
      <c r="K813" s="85"/>
      <c r="L813" s="85"/>
      <c r="M813" s="52"/>
      <c r="N813" s="52"/>
      <c r="O813" s="52"/>
    </row>
    <row r="814" ht="15.75" customHeight="1">
      <c r="A814" s="49"/>
      <c r="C814" s="84"/>
      <c r="D814" s="84"/>
      <c r="F814" s="49"/>
      <c r="H814" s="50"/>
      <c r="I814" s="51"/>
      <c r="J814" s="85"/>
      <c r="K814" s="85"/>
      <c r="L814" s="85"/>
      <c r="M814" s="52"/>
      <c r="N814" s="52"/>
      <c r="O814" s="52"/>
    </row>
    <row r="815" ht="15.75" customHeight="1">
      <c r="A815" s="49"/>
      <c r="C815" s="84"/>
      <c r="D815" s="84"/>
      <c r="F815" s="49"/>
      <c r="H815" s="50"/>
      <c r="I815" s="51"/>
      <c r="J815" s="85"/>
      <c r="K815" s="85"/>
      <c r="L815" s="85"/>
      <c r="M815" s="52"/>
      <c r="N815" s="52"/>
      <c r="O815" s="52"/>
    </row>
    <row r="816" ht="15.75" customHeight="1">
      <c r="A816" s="49"/>
      <c r="C816" s="84"/>
      <c r="D816" s="84"/>
      <c r="F816" s="49"/>
      <c r="H816" s="50"/>
      <c r="I816" s="51"/>
      <c r="J816" s="85"/>
      <c r="K816" s="85"/>
      <c r="L816" s="85"/>
      <c r="M816" s="52"/>
      <c r="N816" s="52"/>
      <c r="O816" s="52"/>
    </row>
    <row r="817" ht="15.75" customHeight="1">
      <c r="A817" s="49"/>
      <c r="C817" s="84"/>
      <c r="D817" s="84"/>
      <c r="F817" s="49"/>
      <c r="H817" s="50"/>
      <c r="I817" s="51"/>
      <c r="J817" s="85"/>
      <c r="K817" s="85"/>
      <c r="L817" s="85"/>
      <c r="M817" s="52"/>
      <c r="N817" s="52"/>
      <c r="O817" s="52"/>
    </row>
    <row r="818" ht="15.75" customHeight="1">
      <c r="A818" s="49"/>
      <c r="C818" s="84"/>
      <c r="D818" s="84"/>
      <c r="F818" s="49"/>
      <c r="H818" s="50"/>
      <c r="I818" s="51"/>
      <c r="J818" s="85"/>
      <c r="K818" s="85"/>
      <c r="L818" s="85"/>
      <c r="M818" s="52"/>
      <c r="N818" s="52"/>
      <c r="O818" s="52"/>
    </row>
    <row r="819" ht="15.75" customHeight="1">
      <c r="A819" s="49"/>
      <c r="C819" s="84"/>
      <c r="D819" s="84"/>
      <c r="F819" s="49"/>
      <c r="H819" s="50"/>
      <c r="I819" s="51"/>
      <c r="J819" s="85"/>
      <c r="K819" s="85"/>
      <c r="L819" s="85"/>
      <c r="M819" s="52"/>
      <c r="N819" s="52"/>
      <c r="O819" s="52"/>
    </row>
    <row r="820" ht="15.75" customHeight="1">
      <c r="A820" s="49"/>
      <c r="C820" s="84"/>
      <c r="D820" s="84"/>
      <c r="F820" s="49"/>
      <c r="H820" s="50"/>
      <c r="I820" s="51"/>
      <c r="J820" s="85"/>
      <c r="K820" s="85"/>
      <c r="L820" s="85"/>
      <c r="M820" s="52"/>
      <c r="N820" s="52"/>
      <c r="O820" s="52"/>
    </row>
    <row r="821" ht="15.75" customHeight="1">
      <c r="A821" s="49"/>
      <c r="C821" s="84"/>
      <c r="D821" s="84"/>
      <c r="F821" s="49"/>
      <c r="H821" s="50"/>
      <c r="I821" s="51"/>
      <c r="J821" s="85"/>
      <c r="K821" s="85"/>
      <c r="L821" s="85"/>
      <c r="M821" s="52"/>
      <c r="N821" s="52"/>
      <c r="O821" s="52"/>
    </row>
    <row r="822" ht="15.75" customHeight="1">
      <c r="A822" s="49"/>
      <c r="C822" s="84"/>
      <c r="D822" s="84"/>
      <c r="F822" s="49"/>
      <c r="H822" s="50"/>
      <c r="I822" s="51"/>
      <c r="J822" s="85"/>
      <c r="K822" s="85"/>
      <c r="L822" s="85"/>
      <c r="M822" s="52"/>
      <c r="N822" s="52"/>
      <c r="O822" s="52"/>
    </row>
    <row r="823" ht="15.75" customHeight="1">
      <c r="A823" s="49"/>
      <c r="C823" s="84"/>
      <c r="D823" s="84"/>
      <c r="F823" s="49"/>
      <c r="H823" s="50"/>
      <c r="I823" s="51"/>
      <c r="J823" s="85"/>
      <c r="K823" s="85"/>
      <c r="L823" s="85"/>
      <c r="M823" s="52"/>
      <c r="N823" s="52"/>
      <c r="O823" s="52"/>
    </row>
    <row r="824" ht="15.75" customHeight="1">
      <c r="A824" s="49"/>
      <c r="C824" s="84"/>
      <c r="D824" s="84"/>
      <c r="F824" s="49"/>
      <c r="H824" s="50"/>
      <c r="I824" s="51"/>
      <c r="J824" s="85"/>
      <c r="K824" s="85"/>
      <c r="L824" s="85"/>
      <c r="M824" s="52"/>
      <c r="N824" s="52"/>
      <c r="O824" s="52"/>
    </row>
    <row r="825" ht="15.75" customHeight="1">
      <c r="A825" s="49"/>
      <c r="C825" s="84"/>
      <c r="D825" s="84"/>
      <c r="F825" s="49"/>
      <c r="H825" s="50"/>
      <c r="I825" s="51"/>
      <c r="J825" s="85"/>
      <c r="K825" s="85"/>
      <c r="L825" s="85"/>
      <c r="M825" s="52"/>
      <c r="N825" s="52"/>
      <c r="O825" s="52"/>
    </row>
    <row r="826" ht="15.75" customHeight="1">
      <c r="A826" s="49"/>
      <c r="C826" s="84"/>
      <c r="D826" s="84"/>
      <c r="F826" s="49"/>
      <c r="H826" s="50"/>
      <c r="I826" s="51"/>
      <c r="J826" s="85"/>
      <c r="K826" s="85"/>
      <c r="L826" s="85"/>
      <c r="M826" s="52"/>
      <c r="N826" s="52"/>
      <c r="O826" s="52"/>
    </row>
    <row r="827" ht="15.75" customHeight="1">
      <c r="A827" s="49"/>
      <c r="C827" s="84"/>
      <c r="D827" s="84"/>
      <c r="F827" s="49"/>
      <c r="H827" s="50"/>
      <c r="I827" s="51"/>
      <c r="J827" s="85"/>
      <c r="K827" s="85"/>
      <c r="L827" s="85"/>
      <c r="M827" s="52"/>
      <c r="N827" s="52"/>
      <c r="O827" s="52"/>
    </row>
    <row r="828" ht="15.75" customHeight="1">
      <c r="A828" s="49"/>
      <c r="C828" s="84"/>
      <c r="D828" s="84"/>
      <c r="F828" s="49"/>
      <c r="H828" s="50"/>
      <c r="I828" s="51"/>
      <c r="J828" s="85"/>
      <c r="K828" s="85"/>
      <c r="L828" s="85"/>
      <c r="M828" s="52"/>
      <c r="N828" s="52"/>
      <c r="O828" s="52"/>
    </row>
    <row r="829" ht="15.75" customHeight="1">
      <c r="A829" s="49"/>
      <c r="C829" s="84"/>
      <c r="D829" s="84"/>
      <c r="F829" s="49"/>
      <c r="H829" s="50"/>
      <c r="I829" s="51"/>
      <c r="J829" s="85"/>
      <c r="K829" s="85"/>
      <c r="L829" s="85"/>
      <c r="M829" s="52"/>
      <c r="N829" s="52"/>
      <c r="O829" s="52"/>
    </row>
    <row r="830" ht="15.75" customHeight="1">
      <c r="A830" s="49"/>
      <c r="C830" s="84"/>
      <c r="D830" s="84"/>
      <c r="F830" s="49"/>
      <c r="H830" s="50"/>
      <c r="I830" s="51"/>
      <c r="J830" s="85"/>
      <c r="K830" s="85"/>
      <c r="L830" s="85"/>
      <c r="M830" s="52"/>
      <c r="N830" s="52"/>
      <c r="O830" s="52"/>
    </row>
    <row r="831" ht="15.75" customHeight="1">
      <c r="A831" s="49"/>
      <c r="C831" s="84"/>
      <c r="D831" s="84"/>
      <c r="F831" s="49"/>
      <c r="H831" s="50"/>
      <c r="I831" s="51"/>
      <c r="J831" s="85"/>
      <c r="K831" s="85"/>
      <c r="L831" s="85"/>
      <c r="M831" s="52"/>
      <c r="N831" s="52"/>
      <c r="O831" s="52"/>
    </row>
    <row r="832" ht="15.75" customHeight="1">
      <c r="A832" s="49"/>
      <c r="C832" s="84"/>
      <c r="D832" s="84"/>
      <c r="F832" s="49"/>
      <c r="H832" s="50"/>
      <c r="I832" s="51"/>
      <c r="J832" s="85"/>
      <c r="K832" s="85"/>
      <c r="L832" s="85"/>
      <c r="M832" s="52"/>
      <c r="N832" s="52"/>
      <c r="O832" s="52"/>
    </row>
    <row r="833" ht="15.75" customHeight="1">
      <c r="A833" s="49"/>
      <c r="C833" s="84"/>
      <c r="D833" s="84"/>
      <c r="F833" s="49"/>
      <c r="H833" s="50"/>
      <c r="I833" s="51"/>
      <c r="J833" s="85"/>
      <c r="K833" s="85"/>
      <c r="L833" s="85"/>
      <c r="M833" s="52"/>
      <c r="N833" s="52"/>
      <c r="O833" s="52"/>
    </row>
    <row r="834" ht="15.75" customHeight="1">
      <c r="A834" s="49"/>
      <c r="C834" s="84"/>
      <c r="D834" s="84"/>
      <c r="F834" s="49"/>
      <c r="H834" s="50"/>
      <c r="I834" s="51"/>
      <c r="J834" s="85"/>
      <c r="K834" s="85"/>
      <c r="L834" s="85"/>
      <c r="M834" s="52"/>
      <c r="N834" s="52"/>
      <c r="O834" s="52"/>
    </row>
    <row r="835" ht="15.75" customHeight="1">
      <c r="A835" s="49"/>
      <c r="C835" s="84"/>
      <c r="D835" s="84"/>
      <c r="F835" s="49"/>
      <c r="H835" s="50"/>
      <c r="I835" s="51"/>
      <c r="J835" s="85"/>
      <c r="K835" s="85"/>
      <c r="L835" s="85"/>
      <c r="M835" s="52"/>
      <c r="N835" s="52"/>
      <c r="O835" s="52"/>
    </row>
    <row r="836" ht="15.75" customHeight="1">
      <c r="A836" s="49"/>
      <c r="C836" s="84"/>
      <c r="D836" s="84"/>
      <c r="F836" s="49"/>
      <c r="H836" s="50"/>
      <c r="I836" s="51"/>
      <c r="J836" s="85"/>
      <c r="K836" s="85"/>
      <c r="L836" s="85"/>
      <c r="M836" s="52"/>
      <c r="N836" s="52"/>
      <c r="O836" s="52"/>
    </row>
    <row r="837" ht="15.75" customHeight="1">
      <c r="A837" s="49"/>
      <c r="C837" s="84"/>
      <c r="D837" s="84"/>
      <c r="F837" s="49"/>
      <c r="H837" s="50"/>
      <c r="I837" s="51"/>
      <c r="J837" s="85"/>
      <c r="K837" s="85"/>
      <c r="L837" s="85"/>
      <c r="M837" s="52"/>
      <c r="N837" s="52"/>
      <c r="O837" s="52"/>
    </row>
    <row r="838" ht="15.75" customHeight="1">
      <c r="A838" s="49"/>
      <c r="C838" s="84"/>
      <c r="D838" s="84"/>
      <c r="F838" s="49"/>
      <c r="H838" s="50"/>
      <c r="I838" s="51"/>
      <c r="J838" s="85"/>
      <c r="K838" s="85"/>
      <c r="L838" s="85"/>
      <c r="M838" s="52"/>
      <c r="N838" s="52"/>
      <c r="O838" s="52"/>
    </row>
    <row r="839" ht="15.75" customHeight="1">
      <c r="A839" s="49"/>
      <c r="C839" s="84"/>
      <c r="D839" s="84"/>
      <c r="F839" s="49"/>
      <c r="H839" s="50"/>
      <c r="I839" s="51"/>
      <c r="J839" s="85"/>
      <c r="K839" s="85"/>
      <c r="L839" s="85"/>
      <c r="M839" s="52"/>
      <c r="N839" s="52"/>
      <c r="O839" s="52"/>
    </row>
    <row r="840" ht="15.75" customHeight="1">
      <c r="A840" s="49"/>
      <c r="C840" s="84"/>
      <c r="D840" s="84"/>
      <c r="F840" s="49"/>
      <c r="H840" s="50"/>
      <c r="I840" s="51"/>
      <c r="J840" s="85"/>
      <c r="K840" s="85"/>
      <c r="L840" s="85"/>
      <c r="M840" s="52"/>
      <c r="N840" s="52"/>
      <c r="O840" s="52"/>
    </row>
    <row r="841" ht="15.75" customHeight="1">
      <c r="A841" s="49"/>
      <c r="C841" s="84"/>
      <c r="D841" s="84"/>
      <c r="F841" s="49"/>
      <c r="H841" s="50"/>
      <c r="I841" s="51"/>
      <c r="J841" s="85"/>
      <c r="K841" s="85"/>
      <c r="L841" s="85"/>
      <c r="M841" s="52"/>
      <c r="N841" s="52"/>
      <c r="O841" s="52"/>
    </row>
    <row r="842" ht="15.75" customHeight="1">
      <c r="A842" s="49"/>
      <c r="C842" s="84"/>
      <c r="D842" s="84"/>
      <c r="F842" s="49"/>
      <c r="H842" s="50"/>
      <c r="I842" s="51"/>
      <c r="J842" s="85"/>
      <c r="K842" s="85"/>
      <c r="L842" s="85"/>
      <c r="M842" s="52"/>
      <c r="N842" s="52"/>
      <c r="O842" s="52"/>
    </row>
    <row r="843" ht="15.75" customHeight="1">
      <c r="A843" s="49"/>
      <c r="C843" s="84"/>
      <c r="D843" s="84"/>
      <c r="F843" s="49"/>
      <c r="H843" s="50"/>
      <c r="I843" s="51"/>
      <c r="J843" s="85"/>
      <c r="K843" s="85"/>
      <c r="L843" s="85"/>
      <c r="M843" s="52"/>
      <c r="N843" s="52"/>
      <c r="O843" s="52"/>
    </row>
    <row r="844" ht="15.75" customHeight="1">
      <c r="A844" s="49"/>
      <c r="C844" s="84"/>
      <c r="D844" s="84"/>
      <c r="F844" s="49"/>
      <c r="H844" s="50"/>
      <c r="I844" s="51"/>
      <c r="J844" s="85"/>
      <c r="K844" s="85"/>
      <c r="L844" s="85"/>
      <c r="M844" s="52"/>
      <c r="N844" s="52"/>
      <c r="O844" s="52"/>
    </row>
    <row r="845" ht="15.75" customHeight="1">
      <c r="A845" s="49"/>
      <c r="C845" s="84"/>
      <c r="D845" s="84"/>
      <c r="F845" s="49"/>
      <c r="H845" s="50"/>
      <c r="I845" s="51"/>
      <c r="J845" s="85"/>
      <c r="K845" s="85"/>
      <c r="L845" s="85"/>
      <c r="M845" s="52"/>
      <c r="N845" s="52"/>
      <c r="O845" s="52"/>
    </row>
    <row r="846" ht="15.75" customHeight="1">
      <c r="A846" s="49"/>
      <c r="C846" s="84"/>
      <c r="D846" s="84"/>
      <c r="F846" s="49"/>
      <c r="H846" s="50"/>
      <c r="I846" s="51"/>
      <c r="J846" s="85"/>
      <c r="K846" s="85"/>
      <c r="L846" s="85"/>
      <c r="M846" s="52"/>
      <c r="N846" s="52"/>
      <c r="O846" s="52"/>
    </row>
    <row r="847" ht="15.75" customHeight="1">
      <c r="A847" s="49"/>
      <c r="C847" s="84"/>
      <c r="D847" s="84"/>
      <c r="F847" s="49"/>
      <c r="H847" s="50"/>
      <c r="I847" s="51"/>
      <c r="J847" s="85"/>
      <c r="K847" s="85"/>
      <c r="L847" s="85"/>
      <c r="M847" s="52"/>
      <c r="N847" s="52"/>
      <c r="O847" s="52"/>
    </row>
    <row r="848" ht="15.75" customHeight="1">
      <c r="A848" s="49"/>
      <c r="C848" s="84"/>
      <c r="D848" s="84"/>
      <c r="F848" s="49"/>
      <c r="H848" s="50"/>
      <c r="I848" s="51"/>
      <c r="J848" s="85"/>
      <c r="K848" s="85"/>
      <c r="L848" s="85"/>
      <c r="M848" s="52"/>
      <c r="N848" s="52"/>
      <c r="O848" s="52"/>
    </row>
    <row r="849" ht="15.75" customHeight="1">
      <c r="A849" s="49"/>
      <c r="C849" s="84"/>
      <c r="D849" s="84"/>
      <c r="F849" s="49"/>
      <c r="H849" s="50"/>
      <c r="I849" s="51"/>
      <c r="J849" s="85"/>
      <c r="K849" s="85"/>
      <c r="L849" s="85"/>
      <c r="M849" s="52"/>
      <c r="N849" s="52"/>
      <c r="O849" s="52"/>
    </row>
    <row r="850" ht="15.75" customHeight="1">
      <c r="A850" s="49"/>
      <c r="C850" s="84"/>
      <c r="D850" s="84"/>
      <c r="F850" s="49"/>
      <c r="H850" s="50"/>
      <c r="I850" s="51"/>
      <c r="J850" s="85"/>
      <c r="K850" s="85"/>
      <c r="L850" s="85"/>
      <c r="M850" s="52"/>
      <c r="N850" s="52"/>
      <c r="O850" s="52"/>
    </row>
    <row r="851" ht="15.75" customHeight="1">
      <c r="A851" s="49"/>
      <c r="C851" s="84"/>
      <c r="D851" s="84"/>
      <c r="F851" s="49"/>
      <c r="H851" s="50"/>
      <c r="I851" s="51"/>
      <c r="J851" s="85"/>
      <c r="K851" s="85"/>
      <c r="L851" s="85"/>
      <c r="M851" s="52"/>
      <c r="N851" s="52"/>
      <c r="O851" s="52"/>
    </row>
    <row r="852" ht="15.75" customHeight="1">
      <c r="A852" s="49"/>
      <c r="C852" s="84"/>
      <c r="D852" s="84"/>
      <c r="F852" s="49"/>
      <c r="H852" s="50"/>
      <c r="I852" s="51"/>
      <c r="J852" s="85"/>
      <c r="K852" s="85"/>
      <c r="L852" s="85"/>
      <c r="M852" s="52"/>
      <c r="N852" s="52"/>
      <c r="O852" s="52"/>
    </row>
    <row r="853" ht="15.75" customHeight="1">
      <c r="A853" s="49"/>
      <c r="C853" s="84"/>
      <c r="D853" s="84"/>
      <c r="F853" s="49"/>
      <c r="H853" s="50"/>
      <c r="I853" s="51"/>
      <c r="J853" s="85"/>
      <c r="K853" s="85"/>
      <c r="L853" s="85"/>
      <c r="M853" s="52"/>
      <c r="N853" s="52"/>
      <c r="O853" s="52"/>
    </row>
    <row r="854" ht="15.75" customHeight="1">
      <c r="A854" s="49"/>
      <c r="C854" s="84"/>
      <c r="D854" s="84"/>
      <c r="F854" s="49"/>
      <c r="H854" s="50"/>
      <c r="I854" s="51"/>
      <c r="J854" s="85"/>
      <c r="K854" s="85"/>
      <c r="L854" s="85"/>
      <c r="M854" s="52"/>
      <c r="N854" s="52"/>
      <c r="O854" s="52"/>
    </row>
    <row r="855" ht="15.75" customHeight="1">
      <c r="A855" s="49"/>
      <c r="C855" s="84"/>
      <c r="D855" s="84"/>
      <c r="F855" s="49"/>
      <c r="H855" s="50"/>
      <c r="I855" s="51"/>
      <c r="J855" s="85"/>
      <c r="K855" s="85"/>
      <c r="L855" s="85"/>
      <c r="M855" s="52"/>
      <c r="N855" s="52"/>
      <c r="O855" s="52"/>
    </row>
    <row r="856" ht="15.75" customHeight="1">
      <c r="A856" s="49"/>
      <c r="C856" s="84"/>
      <c r="D856" s="84"/>
      <c r="F856" s="49"/>
      <c r="H856" s="50"/>
      <c r="I856" s="51"/>
      <c r="J856" s="85"/>
      <c r="K856" s="85"/>
      <c r="L856" s="85"/>
      <c r="M856" s="52"/>
      <c r="N856" s="52"/>
      <c r="O856" s="52"/>
    </row>
    <row r="857" ht="15.75" customHeight="1">
      <c r="A857" s="49"/>
      <c r="C857" s="84"/>
      <c r="D857" s="84"/>
      <c r="F857" s="49"/>
      <c r="H857" s="50"/>
      <c r="I857" s="51"/>
      <c r="J857" s="85"/>
      <c r="K857" s="85"/>
      <c r="L857" s="85"/>
      <c r="M857" s="52"/>
      <c r="N857" s="52"/>
      <c r="O857" s="52"/>
    </row>
    <row r="858" ht="15.75" customHeight="1">
      <c r="A858" s="49"/>
      <c r="C858" s="84"/>
      <c r="D858" s="84"/>
      <c r="F858" s="49"/>
      <c r="H858" s="50"/>
      <c r="I858" s="51"/>
      <c r="J858" s="85"/>
      <c r="K858" s="85"/>
      <c r="L858" s="85"/>
      <c r="M858" s="52"/>
      <c r="N858" s="52"/>
      <c r="O858" s="52"/>
    </row>
    <row r="859" ht="15.75" customHeight="1">
      <c r="A859" s="49"/>
      <c r="C859" s="84"/>
      <c r="D859" s="84"/>
      <c r="F859" s="49"/>
      <c r="H859" s="50"/>
      <c r="I859" s="51"/>
      <c r="J859" s="85"/>
      <c r="K859" s="85"/>
      <c r="L859" s="85"/>
      <c r="M859" s="52"/>
      <c r="N859" s="52"/>
      <c r="O859" s="52"/>
    </row>
    <row r="860" ht="15.75" customHeight="1">
      <c r="A860" s="49"/>
      <c r="C860" s="84"/>
      <c r="D860" s="84"/>
      <c r="F860" s="49"/>
      <c r="H860" s="50"/>
      <c r="I860" s="51"/>
      <c r="J860" s="85"/>
      <c r="K860" s="85"/>
      <c r="L860" s="85"/>
      <c r="M860" s="52"/>
      <c r="N860" s="52"/>
      <c r="O860" s="52"/>
    </row>
    <row r="861" ht="15.75" customHeight="1">
      <c r="A861" s="49"/>
      <c r="C861" s="84"/>
      <c r="D861" s="84"/>
      <c r="F861" s="49"/>
      <c r="H861" s="50"/>
      <c r="I861" s="51"/>
      <c r="J861" s="85"/>
      <c r="K861" s="85"/>
      <c r="L861" s="85"/>
      <c r="M861" s="52"/>
      <c r="N861" s="52"/>
      <c r="O861" s="52"/>
    </row>
    <row r="862" ht="15.75" customHeight="1">
      <c r="A862" s="49"/>
      <c r="C862" s="84"/>
      <c r="D862" s="84"/>
      <c r="F862" s="49"/>
      <c r="H862" s="50"/>
      <c r="I862" s="51"/>
      <c r="J862" s="85"/>
      <c r="K862" s="85"/>
      <c r="L862" s="85"/>
      <c r="M862" s="52"/>
      <c r="N862" s="52"/>
      <c r="O862" s="52"/>
    </row>
    <row r="863" ht="15.75" customHeight="1">
      <c r="A863" s="49"/>
      <c r="C863" s="84"/>
      <c r="D863" s="84"/>
      <c r="F863" s="49"/>
      <c r="H863" s="50"/>
      <c r="I863" s="51"/>
      <c r="J863" s="85"/>
      <c r="K863" s="85"/>
      <c r="L863" s="85"/>
      <c r="M863" s="52"/>
      <c r="N863" s="52"/>
      <c r="O863" s="52"/>
    </row>
    <row r="864" ht="15.75" customHeight="1">
      <c r="A864" s="49"/>
      <c r="C864" s="84"/>
      <c r="D864" s="84"/>
      <c r="F864" s="49"/>
      <c r="H864" s="50"/>
      <c r="I864" s="51"/>
      <c r="J864" s="85"/>
      <c r="K864" s="85"/>
      <c r="L864" s="85"/>
      <c r="M864" s="52"/>
      <c r="N864" s="52"/>
      <c r="O864" s="52"/>
    </row>
    <row r="865" ht="15.75" customHeight="1">
      <c r="A865" s="49"/>
      <c r="C865" s="84"/>
      <c r="D865" s="84"/>
      <c r="F865" s="49"/>
      <c r="H865" s="50"/>
      <c r="I865" s="51"/>
      <c r="J865" s="85"/>
      <c r="K865" s="85"/>
      <c r="L865" s="85"/>
      <c r="M865" s="52"/>
      <c r="N865" s="52"/>
      <c r="O865" s="52"/>
    </row>
    <row r="866" ht="15.75" customHeight="1">
      <c r="A866" s="49"/>
      <c r="C866" s="84"/>
      <c r="D866" s="84"/>
      <c r="F866" s="49"/>
      <c r="H866" s="50"/>
      <c r="I866" s="51"/>
      <c r="J866" s="85"/>
      <c r="K866" s="85"/>
      <c r="L866" s="85"/>
      <c r="M866" s="52"/>
      <c r="N866" s="52"/>
      <c r="O866" s="52"/>
    </row>
    <row r="867" ht="15.75" customHeight="1">
      <c r="A867" s="49"/>
      <c r="C867" s="84"/>
      <c r="D867" s="84"/>
      <c r="F867" s="49"/>
      <c r="H867" s="50"/>
      <c r="I867" s="51"/>
      <c r="J867" s="85"/>
      <c r="K867" s="85"/>
      <c r="L867" s="85"/>
      <c r="M867" s="52"/>
      <c r="N867" s="52"/>
      <c r="O867" s="52"/>
    </row>
    <row r="868" ht="15.75" customHeight="1">
      <c r="A868" s="49"/>
      <c r="C868" s="84"/>
      <c r="D868" s="84"/>
      <c r="F868" s="49"/>
      <c r="H868" s="50"/>
      <c r="I868" s="51"/>
      <c r="J868" s="85"/>
      <c r="K868" s="85"/>
      <c r="L868" s="85"/>
      <c r="M868" s="52"/>
      <c r="N868" s="52"/>
      <c r="O868" s="52"/>
    </row>
    <row r="869" ht="15.75" customHeight="1">
      <c r="A869" s="49"/>
      <c r="C869" s="84"/>
      <c r="D869" s="84"/>
      <c r="F869" s="49"/>
      <c r="H869" s="50"/>
      <c r="I869" s="51"/>
      <c r="J869" s="85"/>
      <c r="K869" s="85"/>
      <c r="L869" s="85"/>
      <c r="M869" s="52"/>
      <c r="N869" s="52"/>
      <c r="O869" s="52"/>
    </row>
    <row r="870" ht="15.75" customHeight="1">
      <c r="A870" s="49"/>
      <c r="C870" s="84"/>
      <c r="D870" s="84"/>
      <c r="F870" s="49"/>
      <c r="H870" s="50"/>
      <c r="I870" s="51"/>
      <c r="J870" s="85"/>
      <c r="K870" s="85"/>
      <c r="L870" s="85"/>
      <c r="M870" s="52"/>
      <c r="N870" s="52"/>
      <c r="O870" s="52"/>
    </row>
    <row r="871" ht="15.75" customHeight="1">
      <c r="A871" s="49"/>
      <c r="C871" s="84"/>
      <c r="D871" s="84"/>
      <c r="F871" s="49"/>
      <c r="H871" s="50"/>
      <c r="I871" s="51"/>
      <c r="J871" s="85"/>
      <c r="K871" s="85"/>
      <c r="L871" s="85"/>
      <c r="M871" s="52"/>
      <c r="N871" s="52"/>
      <c r="O871" s="52"/>
    </row>
    <row r="872" ht="15.75" customHeight="1">
      <c r="A872" s="49"/>
      <c r="C872" s="84"/>
      <c r="D872" s="84"/>
      <c r="F872" s="49"/>
      <c r="H872" s="50"/>
      <c r="I872" s="51"/>
      <c r="J872" s="85"/>
      <c r="K872" s="85"/>
      <c r="L872" s="85"/>
      <c r="M872" s="52"/>
      <c r="N872" s="52"/>
      <c r="O872" s="52"/>
    </row>
    <row r="873" ht="15.75" customHeight="1">
      <c r="A873" s="49"/>
      <c r="C873" s="84"/>
      <c r="D873" s="84"/>
      <c r="F873" s="49"/>
      <c r="H873" s="50"/>
      <c r="I873" s="51"/>
      <c r="J873" s="85"/>
      <c r="K873" s="85"/>
      <c r="L873" s="85"/>
      <c r="M873" s="52"/>
      <c r="N873" s="52"/>
      <c r="O873" s="52"/>
    </row>
    <row r="874" ht="15.75" customHeight="1">
      <c r="A874" s="49"/>
      <c r="C874" s="84"/>
      <c r="D874" s="84"/>
      <c r="F874" s="49"/>
      <c r="H874" s="50"/>
      <c r="I874" s="51"/>
      <c r="J874" s="85"/>
      <c r="K874" s="85"/>
      <c r="L874" s="85"/>
      <c r="M874" s="52"/>
      <c r="N874" s="52"/>
      <c r="O874" s="52"/>
    </row>
    <row r="875" ht="15.75" customHeight="1">
      <c r="A875" s="49"/>
      <c r="C875" s="84"/>
      <c r="D875" s="84"/>
      <c r="F875" s="49"/>
      <c r="H875" s="50"/>
      <c r="I875" s="51"/>
      <c r="J875" s="85"/>
      <c r="K875" s="85"/>
      <c r="L875" s="85"/>
      <c r="M875" s="52"/>
      <c r="N875" s="52"/>
      <c r="O875" s="52"/>
    </row>
    <row r="876" ht="15.75" customHeight="1">
      <c r="A876" s="49"/>
      <c r="C876" s="84"/>
      <c r="D876" s="84"/>
      <c r="F876" s="49"/>
      <c r="H876" s="50"/>
      <c r="I876" s="51"/>
      <c r="J876" s="85"/>
      <c r="K876" s="85"/>
      <c r="L876" s="85"/>
      <c r="M876" s="52"/>
      <c r="N876" s="52"/>
      <c r="O876" s="52"/>
    </row>
    <row r="877" ht="15.75" customHeight="1">
      <c r="A877" s="49"/>
      <c r="C877" s="84"/>
      <c r="D877" s="84"/>
      <c r="F877" s="49"/>
      <c r="H877" s="50"/>
      <c r="I877" s="51"/>
      <c r="J877" s="85"/>
      <c r="K877" s="85"/>
      <c r="L877" s="85"/>
      <c r="M877" s="52"/>
      <c r="N877" s="52"/>
      <c r="O877" s="52"/>
    </row>
    <row r="878" ht="15.75" customHeight="1">
      <c r="A878" s="49"/>
      <c r="C878" s="84"/>
      <c r="D878" s="84"/>
      <c r="F878" s="49"/>
      <c r="H878" s="50"/>
      <c r="I878" s="51"/>
      <c r="J878" s="85"/>
      <c r="K878" s="85"/>
      <c r="L878" s="85"/>
      <c r="M878" s="52"/>
      <c r="N878" s="52"/>
      <c r="O878" s="52"/>
    </row>
    <row r="879" ht="15.75" customHeight="1">
      <c r="A879" s="49"/>
      <c r="C879" s="84"/>
      <c r="D879" s="84"/>
      <c r="F879" s="49"/>
      <c r="H879" s="50"/>
      <c r="I879" s="51"/>
      <c r="J879" s="85"/>
      <c r="K879" s="85"/>
      <c r="L879" s="85"/>
      <c r="M879" s="52"/>
      <c r="N879" s="52"/>
      <c r="O879" s="52"/>
    </row>
    <row r="880" ht="15.75" customHeight="1">
      <c r="A880" s="49"/>
      <c r="C880" s="84"/>
      <c r="D880" s="84"/>
      <c r="F880" s="49"/>
      <c r="H880" s="50"/>
      <c r="I880" s="51"/>
      <c r="J880" s="85"/>
      <c r="K880" s="85"/>
      <c r="L880" s="85"/>
      <c r="M880" s="52"/>
      <c r="N880" s="52"/>
      <c r="O880" s="52"/>
    </row>
    <row r="881" ht="15.75" customHeight="1">
      <c r="A881" s="49"/>
      <c r="C881" s="84"/>
      <c r="D881" s="84"/>
      <c r="F881" s="49"/>
      <c r="H881" s="50"/>
      <c r="I881" s="51"/>
      <c r="J881" s="85"/>
      <c r="K881" s="85"/>
      <c r="L881" s="85"/>
      <c r="M881" s="52"/>
      <c r="N881" s="52"/>
      <c r="O881" s="52"/>
    </row>
    <row r="882" ht="15.75" customHeight="1">
      <c r="A882" s="49"/>
      <c r="C882" s="84"/>
      <c r="D882" s="84"/>
      <c r="F882" s="49"/>
      <c r="H882" s="50"/>
      <c r="I882" s="51"/>
      <c r="J882" s="85"/>
      <c r="K882" s="85"/>
      <c r="L882" s="85"/>
      <c r="M882" s="52"/>
      <c r="N882" s="52"/>
      <c r="O882" s="52"/>
    </row>
    <row r="883" ht="15.75" customHeight="1">
      <c r="A883" s="49"/>
      <c r="C883" s="84"/>
      <c r="D883" s="84"/>
      <c r="F883" s="49"/>
      <c r="H883" s="50"/>
      <c r="I883" s="51"/>
      <c r="J883" s="85"/>
      <c r="K883" s="85"/>
      <c r="L883" s="85"/>
      <c r="M883" s="52"/>
      <c r="N883" s="52"/>
      <c r="O883" s="52"/>
    </row>
    <row r="884" ht="15.75" customHeight="1">
      <c r="A884" s="49"/>
      <c r="C884" s="84"/>
      <c r="D884" s="84"/>
      <c r="F884" s="49"/>
      <c r="H884" s="50"/>
      <c r="I884" s="51"/>
      <c r="J884" s="85"/>
      <c r="K884" s="85"/>
      <c r="L884" s="85"/>
      <c r="M884" s="52"/>
      <c r="N884" s="52"/>
      <c r="O884" s="52"/>
    </row>
    <row r="885" ht="15.75" customHeight="1">
      <c r="A885" s="49"/>
      <c r="C885" s="84"/>
      <c r="D885" s="84"/>
      <c r="F885" s="49"/>
      <c r="H885" s="50"/>
      <c r="I885" s="51"/>
      <c r="J885" s="85"/>
      <c r="K885" s="85"/>
      <c r="L885" s="85"/>
      <c r="M885" s="52"/>
      <c r="N885" s="52"/>
      <c r="O885" s="52"/>
    </row>
    <row r="886" ht="15.75" customHeight="1">
      <c r="A886" s="49"/>
      <c r="C886" s="84"/>
      <c r="D886" s="84"/>
      <c r="F886" s="49"/>
      <c r="H886" s="50"/>
      <c r="I886" s="51"/>
      <c r="J886" s="85"/>
      <c r="K886" s="85"/>
      <c r="L886" s="85"/>
      <c r="M886" s="52"/>
      <c r="N886" s="52"/>
      <c r="O886" s="52"/>
    </row>
    <row r="887" ht="15.75" customHeight="1">
      <c r="A887" s="49"/>
      <c r="C887" s="84"/>
      <c r="D887" s="84"/>
      <c r="F887" s="49"/>
      <c r="H887" s="50"/>
      <c r="I887" s="51"/>
      <c r="J887" s="85"/>
      <c r="K887" s="85"/>
      <c r="L887" s="85"/>
      <c r="M887" s="52"/>
      <c r="N887" s="52"/>
      <c r="O887" s="52"/>
    </row>
    <row r="888" ht="15.75" customHeight="1">
      <c r="A888" s="49"/>
      <c r="C888" s="84"/>
      <c r="D888" s="84"/>
      <c r="F888" s="49"/>
      <c r="H888" s="50"/>
      <c r="I888" s="51"/>
      <c r="J888" s="85"/>
      <c r="K888" s="85"/>
      <c r="L888" s="85"/>
      <c r="M888" s="52"/>
      <c r="N888" s="52"/>
      <c r="O888" s="52"/>
    </row>
    <row r="889" ht="15.75" customHeight="1">
      <c r="A889" s="49"/>
      <c r="C889" s="84"/>
      <c r="D889" s="84"/>
      <c r="F889" s="49"/>
      <c r="H889" s="50"/>
      <c r="I889" s="51"/>
      <c r="J889" s="85"/>
      <c r="K889" s="85"/>
      <c r="L889" s="85"/>
      <c r="M889" s="52"/>
      <c r="N889" s="52"/>
      <c r="O889" s="52"/>
    </row>
    <row r="890" ht="15.75" customHeight="1">
      <c r="A890" s="49"/>
      <c r="C890" s="84"/>
      <c r="D890" s="84"/>
      <c r="F890" s="49"/>
      <c r="H890" s="50"/>
      <c r="I890" s="51"/>
      <c r="J890" s="85"/>
      <c r="K890" s="85"/>
      <c r="L890" s="85"/>
      <c r="M890" s="52"/>
      <c r="N890" s="52"/>
      <c r="O890" s="52"/>
    </row>
    <row r="891" ht="15.75" customHeight="1">
      <c r="A891" s="49"/>
      <c r="C891" s="84"/>
      <c r="D891" s="84"/>
      <c r="F891" s="49"/>
      <c r="H891" s="50"/>
      <c r="I891" s="51"/>
      <c r="J891" s="85"/>
      <c r="K891" s="85"/>
      <c r="L891" s="85"/>
      <c r="M891" s="52"/>
      <c r="N891" s="52"/>
      <c r="O891" s="52"/>
    </row>
    <row r="892" ht="15.75" customHeight="1">
      <c r="A892" s="49"/>
      <c r="C892" s="84"/>
      <c r="D892" s="84"/>
      <c r="F892" s="49"/>
      <c r="H892" s="50"/>
      <c r="I892" s="51"/>
      <c r="J892" s="85"/>
      <c r="K892" s="85"/>
      <c r="L892" s="85"/>
      <c r="M892" s="52"/>
      <c r="N892" s="52"/>
      <c r="O892" s="52"/>
    </row>
    <row r="893" ht="15.75" customHeight="1">
      <c r="A893" s="49"/>
      <c r="C893" s="84"/>
      <c r="D893" s="84"/>
      <c r="F893" s="49"/>
      <c r="H893" s="50"/>
      <c r="I893" s="51"/>
      <c r="J893" s="85"/>
      <c r="K893" s="85"/>
      <c r="L893" s="85"/>
      <c r="M893" s="52"/>
      <c r="N893" s="52"/>
      <c r="O893" s="52"/>
    </row>
    <row r="894" ht="15.75" customHeight="1">
      <c r="A894" s="49"/>
      <c r="C894" s="84"/>
      <c r="D894" s="84"/>
      <c r="F894" s="49"/>
      <c r="H894" s="50"/>
      <c r="I894" s="51"/>
      <c r="J894" s="85"/>
      <c r="K894" s="85"/>
      <c r="L894" s="85"/>
      <c r="M894" s="52"/>
      <c r="N894" s="52"/>
      <c r="O894" s="52"/>
    </row>
    <row r="895" ht="15.75" customHeight="1">
      <c r="A895" s="49"/>
      <c r="C895" s="84"/>
      <c r="D895" s="84"/>
      <c r="F895" s="49"/>
      <c r="H895" s="50"/>
      <c r="I895" s="51"/>
      <c r="J895" s="85"/>
      <c r="K895" s="85"/>
      <c r="L895" s="85"/>
      <c r="M895" s="52"/>
      <c r="N895" s="52"/>
      <c r="O895" s="52"/>
    </row>
    <row r="896" ht="15.75" customHeight="1">
      <c r="A896" s="49"/>
      <c r="C896" s="84"/>
      <c r="D896" s="84"/>
      <c r="F896" s="49"/>
      <c r="H896" s="50"/>
      <c r="I896" s="51"/>
      <c r="J896" s="85"/>
      <c r="K896" s="85"/>
      <c r="L896" s="85"/>
      <c r="M896" s="52"/>
      <c r="N896" s="52"/>
      <c r="O896" s="52"/>
    </row>
    <row r="897" ht="15.75" customHeight="1">
      <c r="A897" s="49"/>
      <c r="C897" s="84"/>
      <c r="D897" s="84"/>
      <c r="F897" s="49"/>
      <c r="H897" s="50"/>
      <c r="I897" s="51"/>
      <c r="J897" s="85"/>
      <c r="K897" s="85"/>
      <c r="L897" s="85"/>
      <c r="M897" s="52"/>
      <c r="N897" s="52"/>
      <c r="O897" s="52"/>
    </row>
    <row r="898" ht="15.75" customHeight="1">
      <c r="A898" s="49"/>
      <c r="C898" s="84"/>
      <c r="D898" s="84"/>
      <c r="F898" s="49"/>
      <c r="H898" s="50"/>
      <c r="I898" s="51"/>
      <c r="J898" s="85"/>
      <c r="K898" s="85"/>
      <c r="L898" s="85"/>
      <c r="M898" s="52"/>
      <c r="N898" s="52"/>
      <c r="O898" s="52"/>
    </row>
    <row r="899" ht="15.75" customHeight="1">
      <c r="A899" s="49"/>
      <c r="C899" s="84"/>
      <c r="D899" s="84"/>
      <c r="F899" s="49"/>
      <c r="H899" s="50"/>
      <c r="I899" s="51"/>
      <c r="J899" s="85"/>
      <c r="K899" s="85"/>
      <c r="L899" s="85"/>
      <c r="M899" s="52"/>
      <c r="N899" s="52"/>
      <c r="O899" s="52"/>
    </row>
    <row r="900" ht="15.75" customHeight="1">
      <c r="A900" s="49"/>
      <c r="C900" s="84"/>
      <c r="D900" s="84"/>
      <c r="F900" s="49"/>
      <c r="H900" s="50"/>
      <c r="I900" s="51"/>
      <c r="J900" s="85"/>
      <c r="K900" s="85"/>
      <c r="L900" s="85"/>
      <c r="M900" s="52"/>
      <c r="N900" s="52"/>
      <c r="O900" s="52"/>
    </row>
    <row r="901" ht="15.75" customHeight="1">
      <c r="A901" s="49"/>
      <c r="C901" s="84"/>
      <c r="D901" s="84"/>
      <c r="F901" s="49"/>
      <c r="H901" s="50"/>
      <c r="I901" s="51"/>
      <c r="J901" s="85"/>
      <c r="K901" s="85"/>
      <c r="L901" s="85"/>
      <c r="M901" s="52"/>
      <c r="N901" s="52"/>
      <c r="O901" s="52"/>
    </row>
    <row r="902" ht="15.75" customHeight="1">
      <c r="A902" s="49"/>
      <c r="C902" s="84"/>
      <c r="D902" s="84"/>
      <c r="F902" s="49"/>
      <c r="H902" s="50"/>
      <c r="I902" s="51"/>
      <c r="J902" s="85"/>
      <c r="K902" s="85"/>
      <c r="L902" s="85"/>
      <c r="M902" s="52"/>
      <c r="N902" s="52"/>
      <c r="O902" s="52"/>
    </row>
    <row r="903" ht="15.75" customHeight="1">
      <c r="A903" s="49"/>
      <c r="C903" s="84"/>
      <c r="D903" s="84"/>
      <c r="F903" s="49"/>
      <c r="H903" s="50"/>
      <c r="I903" s="51"/>
      <c r="J903" s="85"/>
      <c r="K903" s="85"/>
      <c r="L903" s="85"/>
      <c r="M903" s="52"/>
      <c r="N903" s="52"/>
      <c r="O903" s="52"/>
    </row>
    <row r="904" ht="15.75" customHeight="1">
      <c r="A904" s="49"/>
      <c r="C904" s="84"/>
      <c r="D904" s="84"/>
      <c r="F904" s="49"/>
      <c r="H904" s="50"/>
      <c r="I904" s="51"/>
      <c r="J904" s="85"/>
      <c r="K904" s="85"/>
      <c r="L904" s="85"/>
      <c r="M904" s="52"/>
      <c r="N904" s="52"/>
      <c r="O904" s="52"/>
    </row>
    <row r="905" ht="15.75" customHeight="1">
      <c r="A905" s="49"/>
      <c r="C905" s="84"/>
      <c r="D905" s="84"/>
      <c r="F905" s="49"/>
      <c r="H905" s="50"/>
      <c r="I905" s="51"/>
      <c r="J905" s="85"/>
      <c r="K905" s="85"/>
      <c r="L905" s="85"/>
      <c r="M905" s="52"/>
      <c r="N905" s="52"/>
      <c r="O905" s="52"/>
    </row>
    <row r="906" ht="15.75" customHeight="1">
      <c r="A906" s="49"/>
      <c r="C906" s="84"/>
      <c r="D906" s="84"/>
      <c r="F906" s="49"/>
      <c r="H906" s="50"/>
      <c r="I906" s="51"/>
      <c r="J906" s="85"/>
      <c r="K906" s="85"/>
      <c r="L906" s="85"/>
      <c r="M906" s="52"/>
      <c r="N906" s="52"/>
      <c r="O906" s="52"/>
    </row>
    <row r="907" ht="15.75" customHeight="1">
      <c r="A907" s="49"/>
      <c r="C907" s="84"/>
      <c r="D907" s="84"/>
      <c r="F907" s="49"/>
      <c r="H907" s="50"/>
      <c r="I907" s="51"/>
      <c r="J907" s="85"/>
      <c r="K907" s="85"/>
      <c r="L907" s="85"/>
      <c r="M907" s="52"/>
      <c r="N907" s="52"/>
      <c r="O907" s="52"/>
    </row>
    <row r="908" ht="15.75" customHeight="1">
      <c r="A908" s="49"/>
      <c r="C908" s="84"/>
      <c r="D908" s="84"/>
      <c r="F908" s="49"/>
      <c r="H908" s="50"/>
      <c r="I908" s="51"/>
      <c r="J908" s="85"/>
      <c r="K908" s="85"/>
      <c r="L908" s="85"/>
      <c r="M908" s="52"/>
      <c r="N908" s="52"/>
      <c r="O908" s="52"/>
    </row>
    <row r="909" ht="15.75" customHeight="1">
      <c r="A909" s="49"/>
      <c r="C909" s="84"/>
      <c r="D909" s="84"/>
      <c r="F909" s="49"/>
      <c r="H909" s="50"/>
      <c r="I909" s="51"/>
      <c r="J909" s="85"/>
      <c r="K909" s="85"/>
      <c r="L909" s="85"/>
      <c r="M909" s="52"/>
      <c r="N909" s="52"/>
      <c r="O909" s="52"/>
    </row>
    <row r="910" ht="15.75" customHeight="1">
      <c r="A910" s="49"/>
      <c r="C910" s="84"/>
      <c r="D910" s="84"/>
      <c r="F910" s="49"/>
      <c r="H910" s="50"/>
      <c r="I910" s="51"/>
      <c r="J910" s="85"/>
      <c r="K910" s="85"/>
      <c r="L910" s="85"/>
      <c r="M910" s="52"/>
      <c r="N910" s="52"/>
      <c r="O910" s="52"/>
    </row>
    <row r="911" ht="15.75" customHeight="1">
      <c r="A911" s="49"/>
      <c r="C911" s="84"/>
      <c r="D911" s="84"/>
      <c r="F911" s="49"/>
      <c r="H911" s="50"/>
      <c r="I911" s="51"/>
      <c r="J911" s="85"/>
      <c r="K911" s="85"/>
      <c r="L911" s="85"/>
      <c r="M911" s="52"/>
      <c r="N911" s="52"/>
      <c r="O911" s="52"/>
    </row>
    <row r="912" ht="15.75" customHeight="1">
      <c r="A912" s="49"/>
      <c r="C912" s="84"/>
      <c r="D912" s="84"/>
      <c r="F912" s="49"/>
      <c r="H912" s="50"/>
      <c r="I912" s="51"/>
      <c r="J912" s="85"/>
      <c r="K912" s="85"/>
      <c r="L912" s="85"/>
      <c r="M912" s="52"/>
      <c r="N912" s="52"/>
      <c r="O912" s="52"/>
    </row>
    <row r="913" ht="15.75" customHeight="1">
      <c r="A913" s="49"/>
      <c r="C913" s="84"/>
      <c r="D913" s="84"/>
      <c r="F913" s="49"/>
      <c r="H913" s="50"/>
      <c r="I913" s="51"/>
      <c r="J913" s="85"/>
      <c r="K913" s="85"/>
      <c r="L913" s="85"/>
      <c r="M913" s="52"/>
      <c r="N913" s="52"/>
      <c r="O913" s="52"/>
    </row>
    <row r="914" ht="15.75" customHeight="1">
      <c r="A914" s="49"/>
      <c r="C914" s="84"/>
      <c r="D914" s="84"/>
      <c r="F914" s="49"/>
      <c r="H914" s="50"/>
      <c r="I914" s="51"/>
      <c r="J914" s="85"/>
      <c r="K914" s="85"/>
      <c r="L914" s="85"/>
      <c r="M914" s="52"/>
      <c r="N914" s="52"/>
      <c r="O914" s="52"/>
    </row>
    <row r="915" ht="15.75" customHeight="1">
      <c r="A915" s="49"/>
      <c r="C915" s="84"/>
      <c r="D915" s="84"/>
      <c r="F915" s="49"/>
      <c r="H915" s="50"/>
      <c r="I915" s="51"/>
      <c r="J915" s="85"/>
      <c r="K915" s="85"/>
      <c r="L915" s="85"/>
      <c r="M915" s="52"/>
      <c r="N915" s="52"/>
      <c r="O915" s="52"/>
    </row>
    <row r="916" ht="15.75" customHeight="1">
      <c r="A916" s="49"/>
      <c r="C916" s="84"/>
      <c r="D916" s="84"/>
      <c r="F916" s="49"/>
      <c r="H916" s="50"/>
      <c r="I916" s="51"/>
      <c r="J916" s="85"/>
      <c r="K916" s="85"/>
      <c r="L916" s="85"/>
      <c r="M916" s="52"/>
      <c r="N916" s="52"/>
      <c r="O916" s="52"/>
    </row>
    <row r="917" ht="15.75" customHeight="1">
      <c r="A917" s="49"/>
      <c r="C917" s="84"/>
      <c r="D917" s="84"/>
      <c r="F917" s="49"/>
      <c r="H917" s="50"/>
      <c r="I917" s="51"/>
      <c r="J917" s="85"/>
      <c r="K917" s="85"/>
      <c r="L917" s="85"/>
      <c r="M917" s="52"/>
      <c r="N917" s="52"/>
      <c r="O917" s="52"/>
    </row>
    <row r="918" ht="15.75" customHeight="1">
      <c r="A918" s="49"/>
      <c r="C918" s="84"/>
      <c r="D918" s="84"/>
      <c r="F918" s="49"/>
      <c r="H918" s="50"/>
      <c r="I918" s="51"/>
      <c r="J918" s="85"/>
      <c r="K918" s="85"/>
      <c r="L918" s="85"/>
      <c r="M918" s="52"/>
      <c r="N918" s="52"/>
      <c r="O918" s="52"/>
    </row>
    <row r="919" ht="15.75" customHeight="1">
      <c r="A919" s="49"/>
      <c r="C919" s="84"/>
      <c r="D919" s="84"/>
      <c r="F919" s="49"/>
      <c r="H919" s="50"/>
      <c r="I919" s="51"/>
      <c r="J919" s="85"/>
      <c r="K919" s="85"/>
      <c r="L919" s="85"/>
      <c r="M919" s="52"/>
      <c r="N919" s="52"/>
      <c r="O919" s="52"/>
    </row>
    <row r="920" ht="15.75" customHeight="1">
      <c r="A920" s="49"/>
      <c r="C920" s="84"/>
      <c r="D920" s="84"/>
      <c r="F920" s="49"/>
      <c r="H920" s="50"/>
      <c r="I920" s="51"/>
      <c r="J920" s="85"/>
      <c r="K920" s="85"/>
      <c r="L920" s="85"/>
      <c r="M920" s="52"/>
      <c r="N920" s="52"/>
      <c r="O920" s="52"/>
    </row>
    <row r="921" ht="15.75" customHeight="1">
      <c r="A921" s="49"/>
      <c r="C921" s="84"/>
      <c r="D921" s="84"/>
      <c r="F921" s="49"/>
      <c r="H921" s="50"/>
      <c r="I921" s="51"/>
      <c r="J921" s="85"/>
      <c r="K921" s="85"/>
      <c r="L921" s="85"/>
      <c r="M921" s="52"/>
      <c r="N921" s="52"/>
      <c r="O921" s="52"/>
    </row>
    <row r="922" ht="15.75" customHeight="1">
      <c r="A922" s="49"/>
      <c r="C922" s="84"/>
      <c r="D922" s="84"/>
      <c r="F922" s="49"/>
      <c r="H922" s="50"/>
      <c r="I922" s="51"/>
      <c r="J922" s="85"/>
      <c r="K922" s="85"/>
      <c r="L922" s="85"/>
      <c r="M922" s="52"/>
      <c r="N922" s="52"/>
      <c r="O922" s="52"/>
    </row>
    <row r="923" ht="15.75" customHeight="1">
      <c r="A923" s="49"/>
      <c r="C923" s="84"/>
      <c r="D923" s="84"/>
      <c r="F923" s="49"/>
      <c r="H923" s="50"/>
      <c r="I923" s="51"/>
      <c r="J923" s="85"/>
      <c r="K923" s="85"/>
      <c r="L923" s="85"/>
      <c r="M923" s="52"/>
      <c r="N923" s="52"/>
      <c r="O923" s="52"/>
    </row>
    <row r="924" ht="15.75" customHeight="1">
      <c r="A924" s="49"/>
      <c r="C924" s="84"/>
      <c r="D924" s="84"/>
      <c r="F924" s="49"/>
      <c r="H924" s="50"/>
      <c r="I924" s="51"/>
      <c r="J924" s="85"/>
      <c r="K924" s="85"/>
      <c r="L924" s="85"/>
      <c r="M924" s="52"/>
      <c r="N924" s="52"/>
      <c r="O924" s="52"/>
    </row>
    <row r="925" ht="15.75" customHeight="1">
      <c r="A925" s="49"/>
      <c r="C925" s="84"/>
      <c r="D925" s="84"/>
      <c r="F925" s="49"/>
      <c r="H925" s="50"/>
      <c r="I925" s="51"/>
      <c r="J925" s="85"/>
      <c r="K925" s="85"/>
      <c r="L925" s="85"/>
      <c r="M925" s="52"/>
      <c r="N925" s="52"/>
      <c r="O925" s="52"/>
    </row>
    <row r="926" ht="15.75" customHeight="1">
      <c r="A926" s="49"/>
      <c r="C926" s="84"/>
      <c r="D926" s="84"/>
      <c r="F926" s="49"/>
      <c r="H926" s="50"/>
      <c r="I926" s="51"/>
      <c r="J926" s="85"/>
      <c r="K926" s="85"/>
      <c r="L926" s="85"/>
      <c r="M926" s="52"/>
      <c r="N926" s="52"/>
      <c r="O926" s="52"/>
    </row>
    <row r="927" ht="15.75" customHeight="1">
      <c r="A927" s="49"/>
      <c r="C927" s="84"/>
      <c r="D927" s="84"/>
      <c r="F927" s="49"/>
      <c r="H927" s="50"/>
      <c r="I927" s="51"/>
      <c r="J927" s="85"/>
      <c r="K927" s="85"/>
      <c r="L927" s="85"/>
      <c r="M927" s="52"/>
      <c r="N927" s="52"/>
      <c r="O927" s="52"/>
    </row>
    <row r="928" ht="15.75" customHeight="1">
      <c r="A928" s="49"/>
      <c r="C928" s="84"/>
      <c r="D928" s="84"/>
      <c r="F928" s="49"/>
      <c r="H928" s="50"/>
      <c r="I928" s="51"/>
      <c r="J928" s="85"/>
      <c r="K928" s="85"/>
      <c r="L928" s="85"/>
      <c r="M928" s="52"/>
      <c r="N928" s="52"/>
      <c r="O928" s="52"/>
    </row>
    <row r="929" ht="15.75" customHeight="1">
      <c r="A929" s="49"/>
      <c r="C929" s="84"/>
      <c r="D929" s="84"/>
      <c r="F929" s="49"/>
      <c r="H929" s="50"/>
      <c r="I929" s="51"/>
      <c r="J929" s="85"/>
      <c r="K929" s="85"/>
      <c r="L929" s="85"/>
      <c r="M929" s="52"/>
      <c r="N929" s="52"/>
      <c r="O929" s="52"/>
    </row>
    <row r="930" ht="15.75" customHeight="1">
      <c r="A930" s="49"/>
      <c r="C930" s="84"/>
      <c r="D930" s="84"/>
      <c r="F930" s="49"/>
      <c r="H930" s="50"/>
      <c r="I930" s="51"/>
      <c r="J930" s="85"/>
      <c r="K930" s="85"/>
      <c r="L930" s="85"/>
      <c r="M930" s="52"/>
      <c r="N930" s="52"/>
      <c r="O930" s="52"/>
    </row>
    <row r="931" ht="15.75" customHeight="1">
      <c r="A931" s="49"/>
      <c r="C931" s="84"/>
      <c r="D931" s="84"/>
      <c r="F931" s="49"/>
      <c r="H931" s="50"/>
      <c r="I931" s="51"/>
      <c r="J931" s="85"/>
      <c r="K931" s="85"/>
      <c r="L931" s="85"/>
      <c r="M931" s="52"/>
      <c r="N931" s="52"/>
      <c r="O931" s="52"/>
    </row>
    <row r="932" ht="15.75" customHeight="1">
      <c r="A932" s="49"/>
      <c r="C932" s="84"/>
      <c r="D932" s="84"/>
      <c r="F932" s="49"/>
      <c r="H932" s="50"/>
      <c r="I932" s="51"/>
      <c r="J932" s="85"/>
      <c r="K932" s="85"/>
      <c r="L932" s="85"/>
      <c r="M932" s="52"/>
      <c r="N932" s="52"/>
      <c r="O932" s="52"/>
    </row>
    <row r="933" ht="15.75" customHeight="1">
      <c r="A933" s="49"/>
      <c r="C933" s="84"/>
      <c r="D933" s="84"/>
      <c r="F933" s="49"/>
      <c r="H933" s="50"/>
      <c r="I933" s="51"/>
      <c r="J933" s="85"/>
      <c r="K933" s="85"/>
      <c r="L933" s="85"/>
      <c r="M933" s="52"/>
      <c r="N933" s="52"/>
      <c r="O933" s="52"/>
    </row>
    <row r="934" ht="15.75" customHeight="1">
      <c r="A934" s="49"/>
      <c r="C934" s="84"/>
      <c r="D934" s="84"/>
      <c r="F934" s="49"/>
      <c r="H934" s="50"/>
      <c r="I934" s="51"/>
      <c r="J934" s="85"/>
      <c r="K934" s="85"/>
      <c r="L934" s="85"/>
      <c r="M934" s="52"/>
      <c r="N934" s="52"/>
      <c r="O934" s="52"/>
    </row>
    <row r="935" ht="15.75" customHeight="1">
      <c r="A935" s="49"/>
      <c r="C935" s="84"/>
      <c r="D935" s="84"/>
      <c r="F935" s="49"/>
      <c r="H935" s="50"/>
      <c r="I935" s="51"/>
      <c r="J935" s="85"/>
      <c r="K935" s="85"/>
      <c r="L935" s="85"/>
      <c r="M935" s="52"/>
      <c r="N935" s="52"/>
      <c r="O935" s="52"/>
    </row>
    <row r="936" ht="15.75" customHeight="1">
      <c r="A936" s="49"/>
      <c r="C936" s="84"/>
      <c r="D936" s="84"/>
      <c r="F936" s="49"/>
      <c r="H936" s="50"/>
      <c r="I936" s="51"/>
      <c r="J936" s="85"/>
      <c r="K936" s="85"/>
      <c r="L936" s="85"/>
      <c r="M936" s="52"/>
      <c r="N936" s="52"/>
      <c r="O936" s="52"/>
    </row>
    <row r="937" ht="15.75" customHeight="1">
      <c r="A937" s="49"/>
      <c r="C937" s="84"/>
      <c r="D937" s="84"/>
      <c r="F937" s="49"/>
      <c r="H937" s="50"/>
      <c r="I937" s="51"/>
      <c r="J937" s="85"/>
      <c r="K937" s="85"/>
      <c r="L937" s="85"/>
      <c r="M937" s="52"/>
      <c r="N937" s="52"/>
      <c r="O937" s="52"/>
    </row>
    <row r="938" ht="15.75" customHeight="1">
      <c r="A938" s="49"/>
      <c r="C938" s="84"/>
      <c r="D938" s="84"/>
      <c r="F938" s="49"/>
      <c r="H938" s="50"/>
      <c r="I938" s="51"/>
      <c r="J938" s="85"/>
      <c r="K938" s="85"/>
      <c r="L938" s="85"/>
      <c r="M938" s="52"/>
      <c r="N938" s="52"/>
      <c r="O938" s="52"/>
    </row>
    <row r="939" ht="15.75" customHeight="1">
      <c r="A939" s="49"/>
      <c r="C939" s="84"/>
      <c r="D939" s="84"/>
      <c r="F939" s="49"/>
      <c r="H939" s="50"/>
      <c r="I939" s="51"/>
      <c r="J939" s="85"/>
      <c r="K939" s="85"/>
      <c r="L939" s="85"/>
      <c r="M939" s="52"/>
      <c r="N939" s="52"/>
      <c r="O939" s="52"/>
    </row>
    <row r="940" ht="15.75" customHeight="1">
      <c r="A940" s="49"/>
      <c r="C940" s="84"/>
      <c r="D940" s="84"/>
      <c r="F940" s="49"/>
      <c r="H940" s="50"/>
      <c r="I940" s="51"/>
      <c r="J940" s="85"/>
      <c r="K940" s="85"/>
      <c r="L940" s="85"/>
      <c r="M940" s="52"/>
      <c r="N940" s="52"/>
      <c r="O940" s="52"/>
    </row>
    <row r="941" ht="15.75" customHeight="1">
      <c r="A941" s="49"/>
      <c r="C941" s="84"/>
      <c r="D941" s="84"/>
      <c r="F941" s="49"/>
      <c r="H941" s="50"/>
      <c r="I941" s="51"/>
      <c r="J941" s="85"/>
      <c r="K941" s="85"/>
      <c r="L941" s="85"/>
      <c r="M941" s="52"/>
      <c r="N941" s="52"/>
      <c r="O941" s="52"/>
    </row>
    <row r="942" ht="15.75" customHeight="1">
      <c r="A942" s="49"/>
      <c r="C942" s="84"/>
      <c r="D942" s="84"/>
      <c r="F942" s="49"/>
      <c r="H942" s="50"/>
      <c r="I942" s="51"/>
      <c r="J942" s="85"/>
      <c r="K942" s="85"/>
      <c r="L942" s="85"/>
      <c r="M942" s="52"/>
      <c r="N942" s="52"/>
      <c r="O942" s="52"/>
    </row>
    <row r="943" ht="15.75" customHeight="1">
      <c r="A943" s="49"/>
      <c r="C943" s="84"/>
      <c r="D943" s="84"/>
      <c r="F943" s="49"/>
      <c r="H943" s="50"/>
      <c r="I943" s="51"/>
      <c r="J943" s="85"/>
      <c r="K943" s="85"/>
      <c r="L943" s="85"/>
      <c r="M943" s="52"/>
      <c r="N943" s="52"/>
      <c r="O943" s="52"/>
    </row>
    <row r="944" ht="15.75" customHeight="1">
      <c r="A944" s="49"/>
      <c r="C944" s="84"/>
      <c r="D944" s="84"/>
      <c r="F944" s="49"/>
      <c r="H944" s="50"/>
      <c r="I944" s="51"/>
      <c r="J944" s="85"/>
      <c r="K944" s="85"/>
      <c r="L944" s="85"/>
      <c r="M944" s="52"/>
      <c r="N944" s="52"/>
      <c r="O944" s="52"/>
    </row>
    <row r="945" ht="15.75" customHeight="1">
      <c r="A945" s="49"/>
      <c r="C945" s="84"/>
      <c r="D945" s="84"/>
      <c r="F945" s="49"/>
      <c r="H945" s="50"/>
      <c r="I945" s="51"/>
      <c r="J945" s="85"/>
      <c r="K945" s="85"/>
      <c r="L945" s="85"/>
      <c r="M945" s="52"/>
      <c r="N945" s="52"/>
      <c r="O945" s="52"/>
    </row>
    <row r="946" ht="15.75" customHeight="1">
      <c r="A946" s="49"/>
      <c r="C946" s="84"/>
      <c r="D946" s="84"/>
      <c r="F946" s="49"/>
      <c r="H946" s="50"/>
      <c r="I946" s="51"/>
      <c r="J946" s="85"/>
      <c r="K946" s="85"/>
      <c r="L946" s="85"/>
      <c r="M946" s="52"/>
      <c r="N946" s="52"/>
      <c r="O946" s="52"/>
    </row>
    <row r="947" ht="15.75" customHeight="1">
      <c r="A947" s="49"/>
      <c r="C947" s="84"/>
      <c r="D947" s="84"/>
      <c r="F947" s="49"/>
      <c r="H947" s="50"/>
      <c r="I947" s="51"/>
      <c r="J947" s="85"/>
      <c r="K947" s="85"/>
      <c r="L947" s="85"/>
      <c r="M947" s="52"/>
      <c r="N947" s="52"/>
      <c r="O947" s="52"/>
    </row>
    <row r="948" ht="15.75" customHeight="1">
      <c r="A948" s="49"/>
      <c r="C948" s="84"/>
      <c r="D948" s="84"/>
      <c r="F948" s="49"/>
      <c r="H948" s="50"/>
      <c r="I948" s="51"/>
      <c r="J948" s="85"/>
      <c r="K948" s="85"/>
      <c r="L948" s="85"/>
      <c r="M948" s="52"/>
      <c r="N948" s="52"/>
      <c r="O948" s="52"/>
    </row>
    <row r="949" ht="15.75" customHeight="1">
      <c r="A949" s="49"/>
      <c r="C949" s="84"/>
      <c r="D949" s="84"/>
      <c r="F949" s="49"/>
      <c r="H949" s="50"/>
      <c r="I949" s="51"/>
      <c r="J949" s="85"/>
      <c r="K949" s="85"/>
      <c r="L949" s="85"/>
      <c r="M949" s="52"/>
      <c r="N949" s="52"/>
      <c r="O949" s="52"/>
    </row>
    <row r="950" ht="15.75" customHeight="1">
      <c r="A950" s="49"/>
      <c r="C950" s="84"/>
      <c r="D950" s="84"/>
      <c r="F950" s="49"/>
      <c r="H950" s="50"/>
      <c r="I950" s="51"/>
      <c r="J950" s="85"/>
      <c r="K950" s="85"/>
      <c r="L950" s="85"/>
      <c r="M950" s="52"/>
      <c r="N950" s="52"/>
      <c r="O950" s="52"/>
    </row>
    <row r="951" ht="15.75" customHeight="1">
      <c r="A951" s="49"/>
      <c r="C951" s="84"/>
      <c r="D951" s="84"/>
      <c r="F951" s="49"/>
      <c r="H951" s="50"/>
      <c r="I951" s="51"/>
      <c r="J951" s="85"/>
      <c r="K951" s="85"/>
      <c r="L951" s="85"/>
      <c r="M951" s="52"/>
      <c r="N951" s="52"/>
      <c r="O951" s="52"/>
    </row>
    <row r="952" ht="15.75" customHeight="1">
      <c r="A952" s="49"/>
      <c r="C952" s="84"/>
      <c r="D952" s="84"/>
      <c r="F952" s="49"/>
      <c r="H952" s="50"/>
      <c r="I952" s="51"/>
      <c r="J952" s="85"/>
      <c r="K952" s="85"/>
      <c r="L952" s="85"/>
      <c r="M952" s="52"/>
      <c r="N952" s="52"/>
      <c r="O952" s="52"/>
    </row>
    <row r="953" ht="15.75" customHeight="1">
      <c r="A953" s="49"/>
      <c r="C953" s="84"/>
      <c r="D953" s="84"/>
      <c r="F953" s="49"/>
      <c r="H953" s="50"/>
      <c r="I953" s="51"/>
      <c r="J953" s="85"/>
      <c r="K953" s="85"/>
      <c r="L953" s="85"/>
      <c r="M953" s="52"/>
      <c r="N953" s="52"/>
      <c r="O953" s="52"/>
    </row>
    <row r="954" ht="15.75" customHeight="1">
      <c r="A954" s="49"/>
      <c r="C954" s="84"/>
      <c r="D954" s="84"/>
      <c r="F954" s="49"/>
      <c r="H954" s="50"/>
      <c r="I954" s="51"/>
      <c r="J954" s="85"/>
      <c r="K954" s="85"/>
      <c r="L954" s="85"/>
      <c r="M954" s="52"/>
      <c r="N954" s="52"/>
      <c r="O954" s="52"/>
    </row>
    <row r="955" ht="15.75" customHeight="1">
      <c r="A955" s="49"/>
      <c r="C955" s="84"/>
      <c r="D955" s="84"/>
      <c r="F955" s="49"/>
      <c r="H955" s="50"/>
      <c r="I955" s="51"/>
      <c r="J955" s="85"/>
      <c r="K955" s="85"/>
      <c r="L955" s="85"/>
      <c r="M955" s="52"/>
      <c r="N955" s="52"/>
      <c r="O955" s="52"/>
    </row>
    <row r="956" ht="15.75" customHeight="1">
      <c r="A956" s="49"/>
      <c r="C956" s="84"/>
      <c r="D956" s="84"/>
      <c r="F956" s="49"/>
      <c r="H956" s="50"/>
      <c r="I956" s="51"/>
      <c r="J956" s="85"/>
      <c r="K956" s="85"/>
      <c r="L956" s="85"/>
      <c r="M956" s="52"/>
      <c r="N956" s="52"/>
      <c r="O956" s="52"/>
    </row>
    <row r="957" ht="15.75" customHeight="1">
      <c r="A957" s="49"/>
      <c r="C957" s="84"/>
      <c r="D957" s="84"/>
      <c r="F957" s="49"/>
      <c r="H957" s="50"/>
      <c r="I957" s="51"/>
      <c r="J957" s="85"/>
      <c r="K957" s="85"/>
      <c r="L957" s="85"/>
      <c r="M957" s="52"/>
      <c r="N957" s="52"/>
      <c r="O957" s="52"/>
    </row>
    <row r="958" ht="15.75" customHeight="1">
      <c r="A958" s="49"/>
      <c r="C958" s="84"/>
      <c r="D958" s="84"/>
      <c r="F958" s="49"/>
      <c r="H958" s="50"/>
      <c r="I958" s="51"/>
      <c r="J958" s="85"/>
      <c r="K958" s="85"/>
      <c r="L958" s="85"/>
      <c r="M958" s="52"/>
      <c r="N958" s="52"/>
      <c r="O958" s="52"/>
    </row>
    <row r="959" ht="15.75" customHeight="1">
      <c r="A959" s="49"/>
      <c r="C959" s="84"/>
      <c r="D959" s="84"/>
      <c r="F959" s="49"/>
      <c r="H959" s="50"/>
      <c r="I959" s="51"/>
      <c r="J959" s="85"/>
      <c r="K959" s="85"/>
      <c r="L959" s="85"/>
      <c r="M959" s="52"/>
      <c r="N959" s="52"/>
      <c r="O959" s="52"/>
    </row>
    <row r="960" ht="15.75" customHeight="1">
      <c r="A960" s="49"/>
      <c r="C960" s="84"/>
      <c r="D960" s="84"/>
      <c r="F960" s="49"/>
      <c r="H960" s="50"/>
      <c r="I960" s="51"/>
      <c r="J960" s="85"/>
      <c r="K960" s="85"/>
      <c r="L960" s="85"/>
      <c r="M960" s="52"/>
      <c r="N960" s="52"/>
      <c r="O960" s="52"/>
    </row>
    <row r="961" ht="15.75" customHeight="1">
      <c r="A961" s="49"/>
      <c r="C961" s="84"/>
      <c r="D961" s="84"/>
      <c r="F961" s="49"/>
      <c r="H961" s="50"/>
      <c r="I961" s="51"/>
      <c r="J961" s="85"/>
      <c r="K961" s="85"/>
      <c r="L961" s="85"/>
      <c r="M961" s="52"/>
      <c r="N961" s="52"/>
      <c r="O961" s="52"/>
    </row>
    <row r="962" ht="15.75" customHeight="1">
      <c r="A962" s="49"/>
      <c r="C962" s="84"/>
      <c r="D962" s="84"/>
      <c r="F962" s="49"/>
      <c r="H962" s="50"/>
      <c r="I962" s="51"/>
      <c r="J962" s="85"/>
      <c r="K962" s="85"/>
      <c r="L962" s="85"/>
      <c r="M962" s="52"/>
      <c r="N962" s="52"/>
      <c r="O962" s="52"/>
    </row>
    <row r="963" ht="15.75" customHeight="1">
      <c r="A963" s="49"/>
      <c r="C963" s="84"/>
      <c r="D963" s="84"/>
      <c r="F963" s="49"/>
      <c r="H963" s="50"/>
      <c r="I963" s="51"/>
      <c r="J963" s="85"/>
      <c r="K963" s="85"/>
      <c r="L963" s="85"/>
      <c r="M963" s="52"/>
      <c r="N963" s="52"/>
      <c r="O963" s="52"/>
    </row>
    <row r="964" ht="15.75" customHeight="1">
      <c r="A964" s="49"/>
      <c r="C964" s="84"/>
      <c r="D964" s="84"/>
      <c r="F964" s="49"/>
      <c r="H964" s="50"/>
      <c r="I964" s="51"/>
      <c r="J964" s="85"/>
      <c r="K964" s="85"/>
      <c r="L964" s="85"/>
      <c r="M964" s="52"/>
      <c r="N964" s="52"/>
      <c r="O964" s="52"/>
    </row>
    <row r="965" ht="15.75" customHeight="1">
      <c r="A965" s="49"/>
      <c r="C965" s="84"/>
      <c r="D965" s="84"/>
      <c r="F965" s="49"/>
      <c r="H965" s="50"/>
      <c r="I965" s="51"/>
      <c r="J965" s="85"/>
      <c r="K965" s="85"/>
      <c r="L965" s="85"/>
      <c r="M965" s="52"/>
      <c r="N965" s="52"/>
      <c r="O965" s="52"/>
    </row>
    <row r="966" ht="15.75" customHeight="1">
      <c r="A966" s="49"/>
      <c r="C966" s="84"/>
      <c r="D966" s="84"/>
      <c r="F966" s="49"/>
      <c r="H966" s="50"/>
      <c r="I966" s="51"/>
      <c r="J966" s="85"/>
      <c r="K966" s="85"/>
      <c r="L966" s="85"/>
      <c r="M966" s="52"/>
      <c r="N966" s="52"/>
      <c r="O966" s="52"/>
    </row>
    <row r="967" ht="15.75" customHeight="1">
      <c r="A967" s="49"/>
      <c r="C967" s="84"/>
      <c r="D967" s="84"/>
      <c r="F967" s="49"/>
      <c r="H967" s="50"/>
      <c r="I967" s="51"/>
      <c r="J967" s="85"/>
      <c r="K967" s="85"/>
      <c r="L967" s="85"/>
      <c r="M967" s="52"/>
      <c r="N967" s="52"/>
      <c r="O967" s="52"/>
    </row>
    <row r="968" ht="15.75" customHeight="1">
      <c r="A968" s="49"/>
      <c r="C968" s="84"/>
      <c r="D968" s="84"/>
      <c r="F968" s="49"/>
      <c r="H968" s="50"/>
      <c r="I968" s="51"/>
      <c r="J968" s="85"/>
      <c r="K968" s="85"/>
      <c r="L968" s="85"/>
      <c r="M968" s="52"/>
      <c r="N968" s="52"/>
      <c r="O968" s="52"/>
    </row>
    <row r="969" ht="15.75" customHeight="1">
      <c r="A969" s="49"/>
      <c r="C969" s="84"/>
      <c r="D969" s="84"/>
      <c r="F969" s="49"/>
      <c r="H969" s="50"/>
      <c r="I969" s="51"/>
      <c r="J969" s="85"/>
      <c r="K969" s="85"/>
      <c r="L969" s="85"/>
      <c r="M969" s="52"/>
      <c r="N969" s="52"/>
      <c r="O969" s="52"/>
    </row>
    <row r="970" ht="15.75" customHeight="1">
      <c r="A970" s="49"/>
      <c r="C970" s="84"/>
      <c r="D970" s="84"/>
      <c r="F970" s="49"/>
      <c r="H970" s="50"/>
      <c r="I970" s="51"/>
      <c r="J970" s="85"/>
      <c r="K970" s="85"/>
      <c r="L970" s="85"/>
      <c r="M970" s="52"/>
      <c r="N970" s="52"/>
      <c r="O970" s="52"/>
    </row>
    <row r="971" ht="15.75" customHeight="1">
      <c r="A971" s="49"/>
      <c r="C971" s="84"/>
      <c r="D971" s="84"/>
      <c r="F971" s="49"/>
      <c r="H971" s="50"/>
      <c r="I971" s="51"/>
      <c r="J971" s="85"/>
      <c r="K971" s="85"/>
      <c r="L971" s="85"/>
      <c r="M971" s="52"/>
      <c r="N971" s="52"/>
      <c r="O971" s="52"/>
    </row>
    <row r="972" ht="15.75" customHeight="1">
      <c r="A972" s="49"/>
      <c r="C972" s="84"/>
      <c r="D972" s="84"/>
      <c r="F972" s="49"/>
      <c r="H972" s="50"/>
      <c r="I972" s="51"/>
      <c r="J972" s="85"/>
      <c r="K972" s="85"/>
      <c r="L972" s="85"/>
      <c r="M972" s="52"/>
      <c r="N972" s="52"/>
      <c r="O972" s="52"/>
    </row>
    <row r="973" ht="15.75" customHeight="1">
      <c r="A973" s="49"/>
      <c r="C973" s="84"/>
      <c r="D973" s="84"/>
      <c r="F973" s="49"/>
      <c r="H973" s="50"/>
      <c r="I973" s="51"/>
      <c r="J973" s="85"/>
      <c r="K973" s="85"/>
      <c r="L973" s="85"/>
      <c r="M973" s="52"/>
      <c r="N973" s="52"/>
      <c r="O973" s="52"/>
    </row>
    <row r="974" ht="15.75" customHeight="1">
      <c r="A974" s="49"/>
      <c r="C974" s="84"/>
      <c r="D974" s="84"/>
      <c r="F974" s="49"/>
      <c r="H974" s="50"/>
      <c r="I974" s="51"/>
      <c r="J974" s="85"/>
      <c r="K974" s="85"/>
      <c r="L974" s="85"/>
      <c r="M974" s="52"/>
      <c r="N974" s="52"/>
      <c r="O974" s="52"/>
    </row>
    <row r="975" ht="15.75" customHeight="1">
      <c r="A975" s="49"/>
      <c r="C975" s="84"/>
      <c r="D975" s="84"/>
      <c r="F975" s="49"/>
      <c r="H975" s="50"/>
      <c r="I975" s="51"/>
      <c r="J975" s="85"/>
      <c r="K975" s="85"/>
      <c r="L975" s="85"/>
      <c r="M975" s="52"/>
      <c r="N975" s="52"/>
      <c r="O975" s="52"/>
    </row>
    <row r="976" ht="15.75" customHeight="1">
      <c r="A976" s="49"/>
      <c r="C976" s="84"/>
      <c r="D976" s="84"/>
      <c r="F976" s="49"/>
      <c r="H976" s="50"/>
      <c r="I976" s="51"/>
      <c r="J976" s="85"/>
      <c r="K976" s="85"/>
      <c r="L976" s="85"/>
      <c r="M976" s="52"/>
      <c r="N976" s="52"/>
      <c r="O976" s="52"/>
    </row>
    <row r="977" ht="15.75" customHeight="1">
      <c r="A977" s="49"/>
      <c r="C977" s="84"/>
      <c r="D977" s="84"/>
      <c r="F977" s="49"/>
      <c r="H977" s="50"/>
      <c r="I977" s="51"/>
      <c r="J977" s="85"/>
      <c r="K977" s="85"/>
      <c r="L977" s="85"/>
      <c r="M977" s="52"/>
      <c r="N977" s="52"/>
      <c r="O977" s="52"/>
    </row>
    <row r="978" ht="15.75" customHeight="1">
      <c r="A978" s="49"/>
      <c r="C978" s="84"/>
      <c r="D978" s="84"/>
      <c r="F978" s="49"/>
      <c r="H978" s="50"/>
      <c r="I978" s="51"/>
      <c r="J978" s="85"/>
      <c r="K978" s="85"/>
      <c r="L978" s="85"/>
      <c r="M978" s="52"/>
      <c r="N978" s="52"/>
      <c r="O978" s="52"/>
    </row>
    <row r="979" ht="15.75" customHeight="1">
      <c r="A979" s="49"/>
      <c r="C979" s="84"/>
      <c r="D979" s="84"/>
      <c r="F979" s="49"/>
      <c r="H979" s="50"/>
      <c r="I979" s="51"/>
      <c r="J979" s="85"/>
      <c r="K979" s="85"/>
      <c r="L979" s="85"/>
      <c r="M979" s="52"/>
      <c r="N979" s="52"/>
      <c r="O979" s="52"/>
    </row>
    <row r="980" ht="15.75" customHeight="1">
      <c r="A980" s="49"/>
      <c r="C980" s="84"/>
      <c r="D980" s="84"/>
      <c r="F980" s="49"/>
      <c r="H980" s="50"/>
      <c r="I980" s="51"/>
      <c r="J980" s="85"/>
      <c r="K980" s="85"/>
      <c r="L980" s="85"/>
      <c r="M980" s="52"/>
      <c r="N980" s="52"/>
      <c r="O980" s="52"/>
    </row>
    <row r="981" ht="15.75" customHeight="1">
      <c r="A981" s="49"/>
      <c r="C981" s="84"/>
      <c r="D981" s="84"/>
      <c r="F981" s="49"/>
      <c r="H981" s="50"/>
      <c r="I981" s="51"/>
      <c r="J981" s="85"/>
      <c r="K981" s="85"/>
      <c r="L981" s="85"/>
      <c r="M981" s="52"/>
      <c r="N981" s="52"/>
      <c r="O981" s="52"/>
    </row>
    <row r="982" ht="15.75" customHeight="1">
      <c r="A982" s="49"/>
      <c r="C982" s="84"/>
      <c r="D982" s="84"/>
      <c r="F982" s="49"/>
      <c r="H982" s="50"/>
      <c r="I982" s="51"/>
      <c r="J982" s="85"/>
      <c r="K982" s="85"/>
      <c r="L982" s="85"/>
      <c r="M982" s="52"/>
      <c r="N982" s="52"/>
      <c r="O982" s="52"/>
    </row>
    <row r="983" ht="15.75" customHeight="1">
      <c r="A983" s="49"/>
      <c r="C983" s="84"/>
      <c r="D983" s="84"/>
      <c r="F983" s="49"/>
      <c r="H983" s="50"/>
      <c r="I983" s="51"/>
      <c r="J983" s="85"/>
      <c r="K983" s="85"/>
      <c r="L983" s="85"/>
      <c r="M983" s="52"/>
      <c r="N983" s="52"/>
      <c r="O983" s="52"/>
    </row>
    <row r="984" ht="15.75" customHeight="1">
      <c r="A984" s="49"/>
      <c r="C984" s="84"/>
      <c r="D984" s="84"/>
      <c r="F984" s="49"/>
      <c r="H984" s="50"/>
      <c r="I984" s="51"/>
      <c r="J984" s="85"/>
      <c r="K984" s="85"/>
      <c r="L984" s="85"/>
      <c r="M984" s="52"/>
      <c r="N984" s="52"/>
      <c r="O984" s="52"/>
    </row>
    <row r="985" ht="15.75" customHeight="1">
      <c r="A985" s="49"/>
      <c r="C985" s="84"/>
      <c r="D985" s="84"/>
      <c r="F985" s="49"/>
      <c r="H985" s="50"/>
      <c r="I985" s="51"/>
      <c r="J985" s="85"/>
      <c r="K985" s="85"/>
      <c r="L985" s="85"/>
      <c r="M985" s="52"/>
      <c r="N985" s="52"/>
      <c r="O985" s="52"/>
    </row>
    <row r="986" ht="15.75" customHeight="1">
      <c r="A986" s="49"/>
      <c r="C986" s="84"/>
      <c r="D986" s="84"/>
      <c r="F986" s="49"/>
      <c r="H986" s="50"/>
      <c r="I986" s="51"/>
      <c r="J986" s="85"/>
      <c r="K986" s="85"/>
      <c r="L986" s="85"/>
      <c r="M986" s="52"/>
      <c r="N986" s="52"/>
      <c r="O986" s="52"/>
    </row>
    <row r="987" ht="15.75" customHeight="1">
      <c r="A987" s="49"/>
      <c r="C987" s="84"/>
      <c r="D987" s="84"/>
      <c r="F987" s="49"/>
      <c r="H987" s="50"/>
      <c r="I987" s="51"/>
      <c r="J987" s="85"/>
      <c r="K987" s="85"/>
      <c r="L987" s="85"/>
      <c r="M987" s="52"/>
      <c r="N987" s="52"/>
      <c r="O987" s="52"/>
    </row>
    <row r="988" ht="15.75" customHeight="1">
      <c r="A988" s="49"/>
      <c r="C988" s="84"/>
      <c r="D988" s="84"/>
      <c r="F988" s="49"/>
      <c r="H988" s="50"/>
      <c r="I988" s="51"/>
      <c r="J988" s="85"/>
      <c r="K988" s="85"/>
      <c r="L988" s="85"/>
      <c r="M988" s="52"/>
      <c r="N988" s="52"/>
      <c r="O988" s="52"/>
    </row>
    <row r="989" ht="15.75" customHeight="1">
      <c r="A989" s="49"/>
      <c r="C989" s="84"/>
      <c r="D989" s="84"/>
      <c r="F989" s="49"/>
      <c r="H989" s="50"/>
      <c r="I989" s="51"/>
      <c r="J989" s="85"/>
      <c r="K989" s="85"/>
      <c r="L989" s="85"/>
      <c r="M989" s="52"/>
      <c r="N989" s="52"/>
      <c r="O989" s="52"/>
    </row>
    <row r="990" ht="15.75" customHeight="1">
      <c r="A990" s="49"/>
      <c r="C990" s="84"/>
      <c r="D990" s="84"/>
      <c r="F990" s="49"/>
      <c r="H990" s="50"/>
      <c r="I990" s="51"/>
      <c r="J990" s="85"/>
      <c r="K990" s="85"/>
      <c r="L990" s="85"/>
      <c r="M990" s="52"/>
      <c r="N990" s="52"/>
      <c r="O990" s="52"/>
    </row>
    <row r="991" ht="15.75" customHeight="1">
      <c r="A991" s="49"/>
      <c r="C991" s="84"/>
      <c r="D991" s="84"/>
      <c r="F991" s="49"/>
      <c r="H991" s="50"/>
      <c r="I991" s="51"/>
      <c r="J991" s="85"/>
      <c r="K991" s="85"/>
      <c r="L991" s="85"/>
      <c r="M991" s="52"/>
      <c r="N991" s="52"/>
      <c r="O991" s="52"/>
    </row>
    <row r="992" ht="15.75" customHeight="1">
      <c r="A992" s="49"/>
      <c r="C992" s="84"/>
      <c r="D992" s="84"/>
      <c r="F992" s="49"/>
      <c r="H992" s="50"/>
      <c r="I992" s="51"/>
      <c r="J992" s="85"/>
      <c r="K992" s="85"/>
      <c r="L992" s="85"/>
      <c r="M992" s="52"/>
      <c r="N992" s="52"/>
      <c r="O992" s="52"/>
    </row>
    <row r="993" ht="15.75" customHeight="1">
      <c r="A993" s="49"/>
      <c r="C993" s="84"/>
      <c r="D993" s="84"/>
      <c r="F993" s="49"/>
      <c r="H993" s="50"/>
      <c r="I993" s="51"/>
      <c r="J993" s="85"/>
      <c r="K993" s="85"/>
      <c r="L993" s="85"/>
      <c r="M993" s="52"/>
      <c r="N993" s="52"/>
      <c r="O993" s="52"/>
    </row>
    <row r="994" ht="15.75" customHeight="1">
      <c r="A994" s="49"/>
      <c r="C994" s="84"/>
      <c r="D994" s="84"/>
      <c r="F994" s="49"/>
      <c r="H994" s="50"/>
      <c r="I994" s="51"/>
      <c r="J994" s="85"/>
      <c r="K994" s="85"/>
      <c r="L994" s="85"/>
      <c r="M994" s="52"/>
      <c r="N994" s="52"/>
      <c r="O994" s="52"/>
    </row>
    <row r="995" ht="15.75" customHeight="1">
      <c r="A995" s="49"/>
      <c r="C995" s="84"/>
      <c r="D995" s="84"/>
      <c r="F995" s="49"/>
      <c r="H995" s="50"/>
      <c r="I995" s="51"/>
      <c r="J995" s="85"/>
      <c r="K995" s="85"/>
      <c r="L995" s="85"/>
      <c r="M995" s="52"/>
      <c r="N995" s="52"/>
      <c r="O995" s="52"/>
    </row>
    <row r="996" ht="15.75" customHeight="1">
      <c r="A996" s="49"/>
      <c r="C996" s="84"/>
      <c r="D996" s="84"/>
      <c r="F996" s="49"/>
      <c r="H996" s="50"/>
      <c r="I996" s="51"/>
      <c r="J996" s="85"/>
      <c r="K996" s="85"/>
      <c r="L996" s="85"/>
      <c r="M996" s="52"/>
      <c r="N996" s="52"/>
      <c r="O996" s="52"/>
    </row>
    <row r="997" ht="15.75" customHeight="1">
      <c r="A997" s="49"/>
      <c r="C997" s="84"/>
      <c r="D997" s="84"/>
      <c r="F997" s="49"/>
      <c r="H997" s="50"/>
      <c r="I997" s="51"/>
      <c r="J997" s="85"/>
      <c r="K997" s="85"/>
      <c r="L997" s="85"/>
      <c r="M997" s="52"/>
      <c r="N997" s="52"/>
      <c r="O997" s="52"/>
    </row>
    <row r="998" ht="15.75" customHeight="1">
      <c r="A998" s="49"/>
      <c r="C998" s="84"/>
      <c r="D998" s="84"/>
      <c r="F998" s="49"/>
      <c r="H998" s="50"/>
      <c r="I998" s="51"/>
      <c r="J998" s="85"/>
      <c r="K998" s="85"/>
      <c r="L998" s="85"/>
      <c r="M998" s="52"/>
      <c r="N998" s="52"/>
      <c r="O998" s="52"/>
    </row>
    <row r="999" ht="15.75" customHeight="1">
      <c r="A999" s="49"/>
      <c r="C999" s="84"/>
      <c r="D999" s="84"/>
      <c r="F999" s="49"/>
      <c r="H999" s="50"/>
      <c r="I999" s="51"/>
      <c r="J999" s="85"/>
      <c r="K999" s="85"/>
      <c r="L999" s="85"/>
      <c r="M999" s="52"/>
      <c r="N999" s="52"/>
      <c r="O999" s="52"/>
    </row>
    <row r="1000" ht="15.75" customHeight="1">
      <c r="A1000" s="49"/>
      <c r="C1000" s="84"/>
      <c r="D1000" s="84"/>
      <c r="F1000" s="49"/>
      <c r="H1000" s="50"/>
      <c r="I1000" s="51"/>
      <c r="J1000" s="85"/>
      <c r="K1000" s="85"/>
      <c r="L1000" s="85"/>
      <c r="M1000" s="52"/>
      <c r="N1000" s="52"/>
      <c r="O1000" s="52"/>
    </row>
    <row r="1001" ht="15.75" customHeight="1">
      <c r="A1001" s="49"/>
      <c r="C1001" s="84"/>
      <c r="D1001" s="84"/>
      <c r="F1001" s="49"/>
      <c r="H1001" s="50"/>
      <c r="I1001" s="51"/>
      <c r="J1001" s="85"/>
      <c r="K1001" s="85"/>
      <c r="L1001" s="85"/>
      <c r="M1001" s="52"/>
      <c r="N1001" s="52"/>
      <c r="O1001" s="52"/>
    </row>
    <row r="1002" ht="15.75" customHeight="1">
      <c r="A1002" s="49"/>
      <c r="C1002" s="84"/>
      <c r="D1002" s="84"/>
      <c r="F1002" s="49"/>
      <c r="H1002" s="50"/>
      <c r="I1002" s="51"/>
      <c r="J1002" s="85"/>
      <c r="K1002" s="85"/>
      <c r="L1002" s="85"/>
      <c r="M1002" s="52"/>
      <c r="N1002" s="52"/>
      <c r="O1002" s="52"/>
    </row>
    <row r="1003" ht="15.75" customHeight="1">
      <c r="A1003" s="49"/>
      <c r="C1003" s="84"/>
      <c r="D1003" s="84"/>
      <c r="F1003" s="49"/>
      <c r="H1003" s="50"/>
      <c r="I1003" s="51"/>
      <c r="J1003" s="85"/>
      <c r="K1003" s="85"/>
      <c r="L1003" s="85"/>
      <c r="M1003" s="52"/>
      <c r="N1003" s="52"/>
      <c r="O1003" s="52"/>
    </row>
    <row r="1004" ht="15.75" customHeight="1">
      <c r="A1004" s="49"/>
      <c r="C1004" s="84"/>
      <c r="D1004" s="84"/>
      <c r="F1004" s="49"/>
      <c r="H1004" s="50"/>
      <c r="I1004" s="51"/>
      <c r="J1004" s="85"/>
      <c r="K1004" s="85"/>
      <c r="L1004" s="85"/>
      <c r="M1004" s="52"/>
      <c r="N1004" s="52"/>
      <c r="O1004" s="52"/>
    </row>
    <row r="1005" ht="15.75" customHeight="1">
      <c r="A1005" s="49"/>
      <c r="C1005" s="84"/>
      <c r="D1005" s="84"/>
      <c r="F1005" s="49"/>
      <c r="H1005" s="50"/>
      <c r="I1005" s="51"/>
      <c r="J1005" s="85"/>
      <c r="K1005" s="85"/>
      <c r="L1005" s="85"/>
      <c r="M1005" s="52"/>
      <c r="N1005" s="52"/>
      <c r="O1005" s="52"/>
    </row>
    <row r="1006" ht="15.75" customHeight="1">
      <c r="A1006" s="49"/>
      <c r="C1006" s="84"/>
      <c r="D1006" s="84"/>
      <c r="F1006" s="49"/>
      <c r="H1006" s="50"/>
      <c r="I1006" s="51"/>
      <c r="J1006" s="85"/>
      <c r="K1006" s="85"/>
      <c r="L1006" s="85"/>
      <c r="M1006" s="52"/>
      <c r="N1006" s="52"/>
      <c r="O1006" s="52"/>
    </row>
    <row r="1007" ht="15.75" customHeight="1">
      <c r="A1007" s="49"/>
      <c r="C1007" s="84"/>
      <c r="D1007" s="84"/>
      <c r="F1007" s="49"/>
      <c r="H1007" s="50"/>
      <c r="I1007" s="51"/>
      <c r="J1007" s="85"/>
      <c r="K1007" s="85"/>
      <c r="L1007" s="85"/>
      <c r="M1007" s="52"/>
      <c r="N1007" s="52"/>
      <c r="O1007" s="52"/>
    </row>
    <row r="1008" ht="15.75" customHeight="1">
      <c r="A1008" s="49"/>
      <c r="C1008" s="84"/>
      <c r="D1008" s="84"/>
      <c r="F1008" s="49"/>
      <c r="H1008" s="50"/>
      <c r="I1008" s="51"/>
      <c r="J1008" s="85"/>
      <c r="K1008" s="85"/>
      <c r="L1008" s="85"/>
      <c r="M1008" s="52"/>
      <c r="N1008" s="52"/>
      <c r="O1008" s="52"/>
    </row>
    <row r="1009" ht="15.75" customHeight="1">
      <c r="A1009" s="49"/>
      <c r="C1009" s="84"/>
      <c r="D1009" s="84"/>
      <c r="F1009" s="49"/>
      <c r="H1009" s="50"/>
      <c r="I1009" s="51"/>
      <c r="J1009" s="85"/>
      <c r="K1009" s="85"/>
      <c r="L1009" s="85"/>
      <c r="M1009" s="52"/>
      <c r="N1009" s="52"/>
      <c r="O1009" s="52"/>
    </row>
    <row r="1010" ht="15.75" customHeight="1">
      <c r="A1010" s="49"/>
      <c r="C1010" s="84"/>
      <c r="D1010" s="84"/>
      <c r="F1010" s="49"/>
      <c r="H1010" s="50"/>
      <c r="I1010" s="51"/>
      <c r="J1010" s="85"/>
      <c r="K1010" s="85"/>
      <c r="L1010" s="85"/>
      <c r="M1010" s="52"/>
      <c r="N1010" s="52"/>
      <c r="O1010" s="52"/>
    </row>
    <row r="1011" ht="15.75" customHeight="1">
      <c r="A1011" s="49"/>
      <c r="C1011" s="84"/>
      <c r="D1011" s="84"/>
      <c r="F1011" s="49"/>
      <c r="H1011" s="50"/>
      <c r="I1011" s="51"/>
      <c r="J1011" s="85"/>
      <c r="K1011" s="85"/>
      <c r="L1011" s="85"/>
      <c r="M1011" s="52"/>
      <c r="N1011" s="52"/>
      <c r="O1011" s="52"/>
    </row>
    <row r="1012" ht="15.75" customHeight="1">
      <c r="A1012" s="49"/>
      <c r="C1012" s="84"/>
      <c r="D1012" s="84"/>
      <c r="F1012" s="49"/>
      <c r="H1012" s="50"/>
      <c r="I1012" s="51"/>
      <c r="J1012" s="85"/>
      <c r="K1012" s="85"/>
      <c r="L1012" s="85"/>
      <c r="M1012" s="52"/>
      <c r="N1012" s="52"/>
      <c r="O1012" s="52"/>
    </row>
    <row r="1013" ht="15.75" customHeight="1">
      <c r="A1013" s="49"/>
      <c r="C1013" s="84"/>
      <c r="D1013" s="84"/>
      <c r="F1013" s="49"/>
      <c r="H1013" s="50"/>
      <c r="I1013" s="51"/>
      <c r="J1013" s="85"/>
      <c r="K1013" s="85"/>
      <c r="L1013" s="85"/>
      <c r="M1013" s="52"/>
      <c r="N1013" s="52"/>
      <c r="O1013" s="52"/>
    </row>
    <row r="1014" ht="15.75" customHeight="1">
      <c r="A1014" s="49"/>
      <c r="C1014" s="84"/>
      <c r="D1014" s="84"/>
      <c r="F1014" s="49"/>
      <c r="H1014" s="50"/>
      <c r="I1014" s="51"/>
      <c r="J1014" s="85"/>
      <c r="K1014" s="85"/>
      <c r="L1014" s="85"/>
      <c r="M1014" s="52"/>
      <c r="N1014" s="52"/>
      <c r="O1014" s="52"/>
    </row>
    <row r="1015" ht="15.75" customHeight="1">
      <c r="A1015" s="49"/>
      <c r="C1015" s="84"/>
      <c r="D1015" s="84"/>
      <c r="F1015" s="49"/>
      <c r="H1015" s="50"/>
      <c r="I1015" s="51"/>
      <c r="J1015" s="85"/>
      <c r="K1015" s="85"/>
      <c r="L1015" s="85"/>
      <c r="M1015" s="52"/>
      <c r="N1015" s="52"/>
      <c r="O1015" s="52"/>
    </row>
    <row r="1016" ht="15.75" customHeight="1">
      <c r="A1016" s="49"/>
      <c r="C1016" s="84"/>
      <c r="D1016" s="84"/>
      <c r="F1016" s="49"/>
      <c r="H1016" s="50"/>
      <c r="I1016" s="51"/>
      <c r="J1016" s="85"/>
      <c r="K1016" s="85"/>
      <c r="L1016" s="85"/>
      <c r="M1016" s="52"/>
      <c r="N1016" s="52"/>
      <c r="O1016" s="52"/>
    </row>
    <row r="1017" ht="15.75" customHeight="1">
      <c r="A1017" s="49"/>
      <c r="C1017" s="84"/>
      <c r="D1017" s="84"/>
      <c r="F1017" s="49"/>
      <c r="H1017" s="50"/>
      <c r="I1017" s="51"/>
      <c r="J1017" s="85"/>
      <c r="K1017" s="85"/>
      <c r="L1017" s="85"/>
      <c r="M1017" s="52"/>
      <c r="N1017" s="52"/>
      <c r="O1017" s="52"/>
    </row>
    <row r="1018" ht="15.75" customHeight="1">
      <c r="A1018" s="49"/>
      <c r="C1018" s="84"/>
      <c r="D1018" s="84"/>
      <c r="F1018" s="49"/>
      <c r="H1018" s="50"/>
      <c r="I1018" s="51"/>
      <c r="J1018" s="85"/>
      <c r="K1018" s="85"/>
      <c r="L1018" s="85"/>
      <c r="M1018" s="52"/>
      <c r="N1018" s="52"/>
      <c r="O1018" s="52"/>
    </row>
    <row r="1019" ht="15.75" customHeight="1">
      <c r="A1019" s="49"/>
      <c r="C1019" s="84"/>
      <c r="D1019" s="84"/>
      <c r="F1019" s="49"/>
      <c r="H1019" s="50"/>
      <c r="I1019" s="51"/>
      <c r="J1019" s="85"/>
      <c r="K1019" s="85"/>
      <c r="L1019" s="85"/>
      <c r="M1019" s="52"/>
      <c r="N1019" s="52"/>
      <c r="O1019" s="52"/>
    </row>
    <row r="1020" ht="15.75" customHeight="1">
      <c r="A1020" s="49"/>
      <c r="C1020" s="84"/>
      <c r="D1020" s="84"/>
      <c r="F1020" s="49"/>
      <c r="H1020" s="50"/>
      <c r="I1020" s="51"/>
      <c r="J1020" s="85"/>
      <c r="K1020" s="85"/>
      <c r="L1020" s="85"/>
      <c r="M1020" s="52"/>
      <c r="N1020" s="52"/>
      <c r="O1020" s="52"/>
    </row>
    <row r="1021" ht="15.75" customHeight="1">
      <c r="A1021" s="49"/>
      <c r="C1021" s="84"/>
      <c r="D1021" s="84"/>
      <c r="F1021" s="49"/>
      <c r="H1021" s="50"/>
      <c r="I1021" s="51"/>
      <c r="J1021" s="85"/>
      <c r="K1021" s="85"/>
      <c r="L1021" s="85"/>
      <c r="M1021" s="52"/>
      <c r="N1021" s="52"/>
      <c r="O1021" s="52"/>
    </row>
    <row r="1022" ht="15.75" customHeight="1">
      <c r="A1022" s="49"/>
      <c r="C1022" s="84"/>
      <c r="D1022" s="84"/>
      <c r="F1022" s="49"/>
      <c r="H1022" s="50"/>
      <c r="I1022" s="51"/>
      <c r="J1022" s="85"/>
      <c r="K1022" s="85"/>
      <c r="L1022" s="85"/>
      <c r="M1022" s="52"/>
      <c r="N1022" s="52"/>
      <c r="O1022" s="52"/>
    </row>
    <row r="1023" ht="15.75" customHeight="1">
      <c r="A1023" s="49"/>
      <c r="C1023" s="84"/>
      <c r="D1023" s="84"/>
      <c r="F1023" s="49"/>
      <c r="H1023" s="50"/>
      <c r="I1023" s="51"/>
      <c r="J1023" s="85"/>
      <c r="K1023" s="85"/>
      <c r="L1023" s="85"/>
      <c r="M1023" s="52"/>
      <c r="N1023" s="52"/>
      <c r="O1023" s="52"/>
    </row>
    <row r="1024" ht="15.75" customHeight="1">
      <c r="A1024" s="49"/>
      <c r="C1024" s="84"/>
      <c r="D1024" s="84"/>
      <c r="F1024" s="49"/>
      <c r="H1024" s="50"/>
      <c r="I1024" s="51"/>
      <c r="J1024" s="85"/>
      <c r="K1024" s="85"/>
      <c r="L1024" s="85"/>
      <c r="M1024" s="52"/>
      <c r="N1024" s="52"/>
      <c r="O1024" s="52"/>
    </row>
    <row r="1025" ht="15.75" customHeight="1">
      <c r="A1025" s="49"/>
      <c r="C1025" s="84"/>
      <c r="D1025" s="84"/>
      <c r="F1025" s="49"/>
      <c r="H1025" s="50"/>
      <c r="I1025" s="51"/>
      <c r="J1025" s="85"/>
      <c r="K1025" s="85"/>
      <c r="L1025" s="85"/>
      <c r="M1025" s="52"/>
      <c r="N1025" s="52"/>
      <c r="O1025" s="52"/>
    </row>
    <row r="1026" ht="15.75" customHeight="1">
      <c r="A1026" s="49"/>
      <c r="C1026" s="84"/>
      <c r="D1026" s="84"/>
      <c r="F1026" s="49"/>
      <c r="H1026" s="50"/>
      <c r="I1026" s="51"/>
      <c r="J1026" s="85"/>
      <c r="K1026" s="85"/>
      <c r="L1026" s="85"/>
      <c r="M1026" s="52"/>
      <c r="N1026" s="52"/>
      <c r="O1026" s="52"/>
    </row>
    <row r="1027" ht="15.75" customHeight="1">
      <c r="A1027" s="49"/>
      <c r="C1027" s="84"/>
      <c r="D1027" s="84"/>
      <c r="F1027" s="49"/>
      <c r="H1027" s="50"/>
      <c r="I1027" s="51"/>
      <c r="J1027" s="85"/>
      <c r="K1027" s="85"/>
      <c r="L1027" s="85"/>
      <c r="M1027" s="52"/>
      <c r="N1027" s="52"/>
      <c r="O1027" s="52"/>
    </row>
    <row r="1028" ht="15.75" customHeight="1">
      <c r="A1028" s="49"/>
      <c r="C1028" s="84"/>
      <c r="D1028" s="84"/>
      <c r="F1028" s="49"/>
      <c r="H1028" s="50"/>
      <c r="I1028" s="51"/>
      <c r="J1028" s="85"/>
      <c r="K1028" s="85"/>
      <c r="L1028" s="85"/>
      <c r="M1028" s="52"/>
      <c r="N1028" s="52"/>
      <c r="O1028" s="52"/>
    </row>
    <row r="1029" ht="15.75" customHeight="1">
      <c r="A1029" s="49"/>
      <c r="C1029" s="84"/>
      <c r="D1029" s="84"/>
      <c r="F1029" s="49"/>
      <c r="H1029" s="50"/>
      <c r="I1029" s="51"/>
      <c r="J1029" s="85"/>
      <c r="K1029" s="85"/>
      <c r="L1029" s="85"/>
      <c r="M1029" s="52"/>
      <c r="N1029" s="52"/>
      <c r="O1029" s="52"/>
    </row>
    <row r="1030" ht="15.75" customHeight="1">
      <c r="A1030" s="49"/>
      <c r="C1030" s="84"/>
      <c r="D1030" s="84"/>
      <c r="F1030" s="49"/>
      <c r="H1030" s="50"/>
      <c r="I1030" s="51"/>
      <c r="J1030" s="85"/>
      <c r="K1030" s="85"/>
      <c r="L1030" s="85"/>
      <c r="M1030" s="52"/>
      <c r="N1030" s="52"/>
      <c r="O1030" s="52"/>
    </row>
    <row r="1031" ht="15.75" customHeight="1">
      <c r="A1031" s="49"/>
      <c r="C1031" s="84"/>
      <c r="D1031" s="84"/>
      <c r="F1031" s="49"/>
      <c r="H1031" s="50"/>
      <c r="I1031" s="51"/>
      <c r="J1031" s="85"/>
      <c r="K1031" s="85"/>
      <c r="L1031" s="85"/>
      <c r="M1031" s="52"/>
      <c r="N1031" s="52"/>
      <c r="O1031" s="52"/>
    </row>
    <row r="1032" ht="15.75" customHeight="1">
      <c r="A1032" s="49"/>
      <c r="C1032" s="84"/>
      <c r="D1032" s="84"/>
      <c r="F1032" s="49"/>
      <c r="H1032" s="50"/>
      <c r="I1032" s="51"/>
      <c r="J1032" s="85"/>
      <c r="K1032" s="85"/>
      <c r="L1032" s="85"/>
      <c r="M1032" s="52"/>
      <c r="N1032" s="52"/>
      <c r="O1032" s="52"/>
    </row>
    <row r="1033" ht="15.75" customHeight="1">
      <c r="A1033" s="49"/>
      <c r="C1033" s="84"/>
      <c r="D1033" s="84"/>
      <c r="F1033" s="49"/>
      <c r="H1033" s="50"/>
      <c r="I1033" s="51"/>
      <c r="J1033" s="85"/>
      <c r="K1033" s="85"/>
      <c r="L1033" s="85"/>
      <c r="M1033" s="52"/>
      <c r="N1033" s="52"/>
      <c r="O1033" s="52"/>
    </row>
    <row r="1034" ht="15.75" customHeight="1">
      <c r="A1034" s="49"/>
      <c r="C1034" s="84"/>
      <c r="D1034" s="84"/>
      <c r="F1034" s="49"/>
      <c r="H1034" s="50"/>
      <c r="I1034" s="51"/>
      <c r="J1034" s="85"/>
      <c r="K1034" s="85"/>
      <c r="L1034" s="85"/>
      <c r="M1034" s="52"/>
      <c r="N1034" s="52"/>
      <c r="O1034" s="52"/>
    </row>
    <row r="1035" ht="15.75" customHeight="1">
      <c r="A1035" s="49"/>
      <c r="C1035" s="84"/>
      <c r="D1035" s="84"/>
      <c r="F1035" s="49"/>
      <c r="H1035" s="50"/>
      <c r="I1035" s="51"/>
      <c r="J1035" s="85"/>
      <c r="K1035" s="85"/>
      <c r="L1035" s="85"/>
      <c r="M1035" s="52"/>
      <c r="N1035" s="52"/>
      <c r="O1035" s="52"/>
    </row>
    <row r="1036" ht="15.75" customHeight="1">
      <c r="A1036" s="49"/>
      <c r="C1036" s="84"/>
      <c r="D1036" s="84"/>
      <c r="F1036" s="49"/>
      <c r="H1036" s="50"/>
      <c r="I1036" s="51"/>
      <c r="J1036" s="85"/>
      <c r="K1036" s="85"/>
      <c r="L1036" s="85"/>
      <c r="M1036" s="52"/>
      <c r="N1036" s="52"/>
      <c r="O1036" s="52"/>
    </row>
    <row r="1037" ht="15.75" customHeight="1">
      <c r="A1037" s="49"/>
      <c r="C1037" s="84"/>
      <c r="D1037" s="84"/>
      <c r="F1037" s="49"/>
      <c r="H1037" s="50"/>
      <c r="I1037" s="51"/>
      <c r="J1037" s="85"/>
      <c r="K1037" s="85"/>
      <c r="L1037" s="85"/>
      <c r="M1037" s="52"/>
      <c r="N1037" s="52"/>
      <c r="O1037" s="52"/>
    </row>
    <row r="1038" ht="15.75" customHeight="1">
      <c r="A1038" s="49"/>
      <c r="C1038" s="84"/>
      <c r="D1038" s="84"/>
      <c r="F1038" s="49"/>
      <c r="H1038" s="50"/>
      <c r="I1038" s="51"/>
      <c r="J1038" s="85"/>
      <c r="K1038" s="85"/>
      <c r="L1038" s="85"/>
      <c r="M1038" s="52"/>
      <c r="N1038" s="52"/>
      <c r="O1038" s="52"/>
    </row>
    <row r="1039" ht="15.75" customHeight="1">
      <c r="A1039" s="49"/>
      <c r="C1039" s="84"/>
      <c r="D1039" s="84"/>
      <c r="F1039" s="49"/>
      <c r="H1039" s="50"/>
      <c r="I1039" s="51"/>
      <c r="J1039" s="85"/>
      <c r="K1039" s="85"/>
      <c r="L1039" s="85"/>
      <c r="M1039" s="52"/>
      <c r="N1039" s="52"/>
      <c r="O1039" s="52"/>
    </row>
    <row r="1040" ht="15.75" customHeight="1">
      <c r="A1040" s="49"/>
      <c r="C1040" s="84"/>
      <c r="D1040" s="84"/>
      <c r="F1040" s="49"/>
      <c r="H1040" s="50"/>
      <c r="I1040" s="51"/>
      <c r="J1040" s="85"/>
      <c r="K1040" s="85"/>
      <c r="L1040" s="85"/>
      <c r="M1040" s="52"/>
      <c r="N1040" s="52"/>
      <c r="O1040" s="52"/>
    </row>
    <row r="1041" ht="15.75" customHeight="1">
      <c r="A1041" s="49"/>
      <c r="C1041" s="84"/>
      <c r="D1041" s="84"/>
      <c r="F1041" s="49"/>
      <c r="H1041" s="50"/>
      <c r="I1041" s="51"/>
      <c r="J1041" s="85"/>
      <c r="K1041" s="85"/>
      <c r="L1041" s="85"/>
      <c r="M1041" s="52"/>
      <c r="N1041" s="52"/>
      <c r="O1041" s="52"/>
    </row>
    <row r="1042" ht="15.75" customHeight="1">
      <c r="A1042" s="49"/>
      <c r="C1042" s="84"/>
      <c r="D1042" s="84"/>
      <c r="F1042" s="49"/>
      <c r="H1042" s="50"/>
      <c r="I1042" s="51"/>
      <c r="J1042" s="85"/>
      <c r="K1042" s="85"/>
      <c r="L1042" s="85"/>
      <c r="M1042" s="52"/>
      <c r="N1042" s="52"/>
      <c r="O1042" s="52"/>
    </row>
    <row r="1043" ht="15.75" customHeight="1">
      <c r="A1043" s="49"/>
      <c r="C1043" s="84"/>
      <c r="D1043" s="84"/>
      <c r="F1043" s="49"/>
      <c r="H1043" s="50"/>
      <c r="I1043" s="51"/>
      <c r="J1043" s="85"/>
      <c r="K1043" s="85"/>
      <c r="L1043" s="85"/>
      <c r="M1043" s="52"/>
      <c r="N1043" s="52"/>
      <c r="O1043" s="52"/>
    </row>
    <row r="1044" ht="15.75" customHeight="1">
      <c r="A1044" s="49"/>
      <c r="C1044" s="84"/>
      <c r="D1044" s="84"/>
      <c r="F1044" s="49"/>
      <c r="H1044" s="50"/>
      <c r="I1044" s="51"/>
      <c r="J1044" s="85"/>
      <c r="K1044" s="85"/>
      <c r="L1044" s="85"/>
      <c r="M1044" s="52"/>
      <c r="N1044" s="52"/>
      <c r="O1044" s="52"/>
    </row>
    <row r="1045" ht="15.75" customHeight="1">
      <c r="A1045" s="49"/>
      <c r="C1045" s="84"/>
      <c r="D1045" s="84"/>
      <c r="F1045" s="49"/>
      <c r="H1045" s="50"/>
      <c r="I1045" s="51"/>
      <c r="J1045" s="85"/>
      <c r="K1045" s="85"/>
      <c r="L1045" s="85"/>
      <c r="M1045" s="52"/>
      <c r="N1045" s="52"/>
      <c r="O1045" s="52"/>
    </row>
    <row r="1046" ht="15.75" customHeight="1">
      <c r="A1046" s="49"/>
      <c r="C1046" s="84"/>
      <c r="D1046" s="84"/>
      <c r="F1046" s="49"/>
      <c r="H1046" s="50"/>
      <c r="I1046" s="51"/>
      <c r="J1046" s="85"/>
      <c r="K1046" s="85"/>
      <c r="L1046" s="85"/>
      <c r="M1046" s="52"/>
      <c r="N1046" s="52"/>
      <c r="O1046" s="52"/>
    </row>
    <row r="1047" ht="15.75" customHeight="1">
      <c r="A1047" s="49"/>
      <c r="C1047" s="84"/>
      <c r="D1047" s="84"/>
      <c r="F1047" s="49"/>
      <c r="H1047" s="50"/>
      <c r="I1047" s="51"/>
      <c r="J1047" s="85"/>
      <c r="K1047" s="85"/>
      <c r="L1047" s="85"/>
      <c r="M1047" s="52"/>
      <c r="N1047" s="52"/>
      <c r="O1047" s="52"/>
    </row>
    <row r="1048" ht="15.75" customHeight="1">
      <c r="A1048" s="49"/>
      <c r="C1048" s="84"/>
      <c r="D1048" s="84"/>
      <c r="F1048" s="49"/>
      <c r="H1048" s="50"/>
      <c r="I1048" s="51"/>
      <c r="J1048" s="85"/>
      <c r="K1048" s="85"/>
      <c r="L1048" s="85"/>
      <c r="M1048" s="52"/>
      <c r="N1048" s="52"/>
      <c r="O1048" s="52"/>
    </row>
    <row r="1049" ht="15.75" customHeight="1">
      <c r="A1049" s="49"/>
      <c r="C1049" s="84"/>
      <c r="D1049" s="84"/>
      <c r="F1049" s="49"/>
      <c r="H1049" s="50"/>
      <c r="I1049" s="51"/>
      <c r="J1049" s="85"/>
      <c r="K1049" s="85"/>
      <c r="L1049" s="85"/>
      <c r="M1049" s="52"/>
      <c r="N1049" s="52"/>
      <c r="O1049" s="52"/>
    </row>
    <row r="1050" ht="15.75" customHeight="1">
      <c r="A1050" s="49"/>
      <c r="C1050" s="84"/>
      <c r="D1050" s="84"/>
      <c r="F1050" s="49"/>
      <c r="H1050" s="50"/>
      <c r="I1050" s="51"/>
      <c r="J1050" s="85"/>
      <c r="K1050" s="85"/>
      <c r="L1050" s="85"/>
      <c r="M1050" s="52"/>
      <c r="N1050" s="52"/>
      <c r="O1050" s="52"/>
    </row>
    <row r="1051" ht="15.75" customHeight="1">
      <c r="A1051" s="49"/>
      <c r="C1051" s="84"/>
      <c r="D1051" s="84"/>
      <c r="F1051" s="49"/>
      <c r="H1051" s="50"/>
      <c r="I1051" s="51"/>
      <c r="J1051" s="85"/>
      <c r="K1051" s="85"/>
      <c r="L1051" s="85"/>
      <c r="M1051" s="52"/>
      <c r="N1051" s="52"/>
      <c r="O1051" s="52"/>
    </row>
    <row r="1052" ht="15.75" customHeight="1">
      <c r="A1052" s="49"/>
      <c r="C1052" s="84"/>
      <c r="D1052" s="84"/>
      <c r="F1052" s="49"/>
      <c r="H1052" s="50"/>
      <c r="I1052" s="51"/>
      <c r="J1052" s="85"/>
      <c r="K1052" s="85"/>
      <c r="L1052" s="85"/>
      <c r="M1052" s="52"/>
      <c r="N1052" s="52"/>
      <c r="O1052" s="52"/>
    </row>
    <row r="1053" ht="15.75" customHeight="1">
      <c r="A1053" s="49"/>
      <c r="C1053" s="84"/>
      <c r="D1053" s="84"/>
      <c r="F1053" s="49"/>
      <c r="H1053" s="50"/>
      <c r="I1053" s="51"/>
      <c r="J1053" s="85"/>
      <c r="K1053" s="85"/>
      <c r="L1053" s="85"/>
      <c r="M1053" s="52"/>
      <c r="N1053" s="52"/>
      <c r="O1053" s="52"/>
    </row>
    <row r="1054" ht="15.75" customHeight="1">
      <c r="A1054" s="49"/>
      <c r="C1054" s="84"/>
      <c r="D1054" s="84"/>
      <c r="F1054" s="49"/>
      <c r="H1054" s="50"/>
      <c r="I1054" s="51"/>
      <c r="J1054" s="85"/>
      <c r="K1054" s="85"/>
      <c r="L1054" s="85"/>
      <c r="M1054" s="52"/>
      <c r="N1054" s="52"/>
      <c r="O1054" s="52"/>
    </row>
    <row r="1055" ht="15.75" customHeight="1">
      <c r="A1055" s="49"/>
      <c r="C1055" s="84"/>
      <c r="D1055" s="84"/>
      <c r="F1055" s="49"/>
      <c r="H1055" s="50"/>
      <c r="I1055" s="51"/>
      <c r="J1055" s="85"/>
      <c r="K1055" s="85"/>
      <c r="L1055" s="85"/>
      <c r="M1055" s="52"/>
      <c r="N1055" s="52"/>
      <c r="O1055" s="52"/>
    </row>
    <row r="1056">
      <c r="A1056" s="86"/>
      <c r="C1056" s="84"/>
      <c r="D1056" s="84"/>
      <c r="H1056" s="50"/>
      <c r="I1056" s="51"/>
      <c r="J1056" s="85"/>
      <c r="K1056" s="85"/>
      <c r="L1056" s="85"/>
      <c r="M1056" s="52"/>
      <c r="N1056" s="52"/>
      <c r="O1056" s="52"/>
    </row>
    <row r="1057">
      <c r="A1057" s="86"/>
      <c r="C1057" s="84"/>
      <c r="D1057" s="84"/>
      <c r="H1057" s="50"/>
      <c r="I1057" s="51"/>
      <c r="J1057" s="85"/>
      <c r="K1057" s="85"/>
      <c r="L1057" s="85"/>
      <c r="M1057" s="52"/>
      <c r="N1057" s="52"/>
      <c r="O1057" s="52"/>
    </row>
    <row r="1058">
      <c r="A1058" s="86"/>
      <c r="C1058" s="84"/>
      <c r="D1058" s="84"/>
      <c r="H1058" s="50"/>
      <c r="I1058" s="51"/>
      <c r="J1058" s="85"/>
      <c r="K1058" s="85"/>
      <c r="L1058" s="85"/>
      <c r="M1058" s="52"/>
      <c r="N1058" s="52"/>
      <c r="O1058" s="52"/>
    </row>
    <row r="1059">
      <c r="A1059" s="86"/>
      <c r="C1059" s="84"/>
      <c r="D1059" s="84"/>
      <c r="H1059" s="50"/>
      <c r="I1059" s="51"/>
      <c r="J1059" s="85"/>
      <c r="K1059" s="85"/>
      <c r="L1059" s="85"/>
      <c r="M1059" s="52"/>
      <c r="N1059" s="52"/>
      <c r="O1059" s="52"/>
    </row>
    <row r="1060">
      <c r="A1060" s="86"/>
      <c r="C1060" s="84"/>
      <c r="D1060" s="84"/>
      <c r="H1060" s="50"/>
      <c r="I1060" s="51"/>
      <c r="J1060" s="85"/>
      <c r="K1060" s="85"/>
      <c r="L1060" s="85"/>
      <c r="M1060" s="52"/>
      <c r="N1060" s="52"/>
      <c r="O1060" s="52"/>
    </row>
    <row r="1061">
      <c r="A1061" s="86"/>
      <c r="C1061" s="84"/>
      <c r="D1061" s="84"/>
      <c r="H1061" s="50"/>
      <c r="I1061" s="51"/>
      <c r="J1061" s="85"/>
      <c r="K1061" s="85"/>
      <c r="L1061" s="85"/>
      <c r="M1061" s="52"/>
      <c r="N1061" s="52"/>
      <c r="O1061" s="52"/>
    </row>
    <row r="1062">
      <c r="A1062" s="86"/>
      <c r="C1062" s="84"/>
      <c r="D1062" s="84"/>
      <c r="H1062" s="50"/>
      <c r="I1062" s="51"/>
      <c r="J1062" s="85"/>
      <c r="K1062" s="85"/>
      <c r="L1062" s="85"/>
      <c r="M1062" s="52"/>
      <c r="N1062" s="52"/>
      <c r="O1062" s="52"/>
    </row>
    <row r="1063">
      <c r="A1063" s="86"/>
      <c r="C1063" s="84"/>
      <c r="D1063" s="84"/>
      <c r="H1063" s="50"/>
      <c r="I1063" s="51"/>
      <c r="J1063" s="85"/>
      <c r="K1063" s="85"/>
      <c r="L1063" s="85"/>
      <c r="M1063" s="52"/>
      <c r="N1063" s="52"/>
      <c r="O1063" s="52"/>
    </row>
    <row r="1064">
      <c r="A1064" s="86"/>
      <c r="C1064" s="84"/>
      <c r="D1064" s="84"/>
      <c r="H1064" s="50"/>
      <c r="I1064" s="51"/>
      <c r="J1064" s="85"/>
      <c r="K1064" s="85"/>
      <c r="L1064" s="85"/>
      <c r="M1064" s="52"/>
      <c r="N1064" s="52"/>
      <c r="O1064" s="52"/>
    </row>
    <row r="1065">
      <c r="A1065" s="86"/>
      <c r="C1065" s="84"/>
      <c r="D1065" s="84"/>
      <c r="H1065" s="50"/>
      <c r="I1065" s="51"/>
      <c r="J1065" s="85"/>
      <c r="K1065" s="85"/>
      <c r="L1065" s="85"/>
      <c r="M1065" s="52"/>
      <c r="N1065" s="52"/>
      <c r="O1065" s="52"/>
    </row>
    <row r="1066">
      <c r="A1066" s="86"/>
      <c r="C1066" s="84"/>
      <c r="D1066" s="84"/>
      <c r="H1066" s="50"/>
      <c r="I1066" s="51"/>
      <c r="J1066" s="85"/>
      <c r="K1066" s="85"/>
      <c r="L1066" s="85"/>
      <c r="M1066" s="52"/>
      <c r="N1066" s="52"/>
      <c r="O1066" s="52"/>
    </row>
    <row r="1067">
      <c r="A1067" s="86"/>
      <c r="C1067" s="84"/>
      <c r="D1067" s="84"/>
      <c r="H1067" s="50"/>
      <c r="I1067" s="51"/>
      <c r="J1067" s="85"/>
      <c r="K1067" s="85"/>
      <c r="L1067" s="85"/>
      <c r="M1067" s="52"/>
      <c r="N1067" s="52"/>
      <c r="O1067" s="52"/>
    </row>
    <row r="1068">
      <c r="A1068" s="86"/>
      <c r="C1068" s="84"/>
      <c r="D1068" s="84"/>
      <c r="H1068" s="50"/>
      <c r="I1068" s="51"/>
      <c r="J1068" s="85"/>
      <c r="K1068" s="85"/>
      <c r="L1068" s="85"/>
      <c r="M1068" s="52"/>
      <c r="N1068" s="52"/>
      <c r="O1068" s="52"/>
    </row>
    <row r="1069">
      <c r="A1069" s="86"/>
      <c r="C1069" s="84"/>
      <c r="D1069" s="84"/>
      <c r="H1069" s="50"/>
      <c r="I1069" s="51"/>
      <c r="J1069" s="85"/>
      <c r="K1069" s="85"/>
      <c r="L1069" s="85"/>
      <c r="M1069" s="52"/>
      <c r="N1069" s="52"/>
      <c r="O1069" s="52"/>
    </row>
    <row r="1070">
      <c r="A1070" s="86"/>
      <c r="C1070" s="84"/>
      <c r="D1070" s="84"/>
      <c r="H1070" s="50"/>
      <c r="I1070" s="51"/>
      <c r="J1070" s="85"/>
      <c r="K1070" s="85"/>
      <c r="L1070" s="85"/>
      <c r="M1070" s="52"/>
      <c r="N1070" s="52"/>
      <c r="O1070" s="52"/>
    </row>
    <row r="1071">
      <c r="A1071" s="86"/>
      <c r="C1071" s="84"/>
      <c r="D1071" s="84"/>
      <c r="H1071" s="50"/>
      <c r="I1071" s="51"/>
      <c r="J1071" s="85"/>
      <c r="K1071" s="85"/>
      <c r="L1071" s="85"/>
      <c r="M1071" s="52"/>
      <c r="N1071" s="52"/>
      <c r="O1071" s="52"/>
    </row>
    <row r="1072">
      <c r="A1072" s="86"/>
      <c r="C1072" s="84"/>
      <c r="D1072" s="84"/>
      <c r="H1072" s="50"/>
      <c r="I1072" s="51"/>
      <c r="J1072" s="85"/>
      <c r="K1072" s="85"/>
      <c r="L1072" s="85"/>
      <c r="M1072" s="52"/>
      <c r="N1072" s="52"/>
      <c r="O1072" s="52"/>
    </row>
    <row r="1073">
      <c r="A1073" s="86"/>
      <c r="C1073" s="84"/>
      <c r="D1073" s="84"/>
      <c r="H1073" s="50"/>
      <c r="I1073" s="51"/>
      <c r="J1073" s="85"/>
      <c r="K1073" s="85"/>
      <c r="L1073" s="85"/>
      <c r="M1073" s="52"/>
      <c r="N1073" s="52"/>
      <c r="O1073" s="52"/>
    </row>
    <row r="1074">
      <c r="A1074" s="86"/>
      <c r="C1074" s="84"/>
      <c r="D1074" s="84"/>
      <c r="H1074" s="50"/>
      <c r="I1074" s="51"/>
      <c r="J1074" s="85"/>
      <c r="K1074" s="85"/>
      <c r="L1074" s="85"/>
      <c r="M1074" s="52"/>
      <c r="N1074" s="52"/>
      <c r="O1074" s="52"/>
    </row>
    <row r="1075">
      <c r="A1075" s="86"/>
      <c r="C1075" s="84"/>
      <c r="D1075" s="84"/>
      <c r="H1075" s="50"/>
      <c r="I1075" s="51"/>
      <c r="J1075" s="85"/>
      <c r="K1075" s="85"/>
      <c r="L1075" s="85"/>
      <c r="M1075" s="52"/>
      <c r="N1075" s="52"/>
      <c r="O1075" s="52"/>
    </row>
    <row r="1076">
      <c r="A1076" s="86"/>
      <c r="C1076" s="84"/>
      <c r="D1076" s="84"/>
      <c r="H1076" s="50"/>
      <c r="I1076" s="51"/>
      <c r="J1076" s="85"/>
      <c r="K1076" s="85"/>
      <c r="L1076" s="85"/>
      <c r="M1076" s="52"/>
      <c r="N1076" s="52"/>
      <c r="O1076" s="52"/>
    </row>
    <row r="1077">
      <c r="A1077" s="86"/>
      <c r="C1077" s="84"/>
      <c r="D1077" s="84"/>
      <c r="H1077" s="50"/>
      <c r="I1077" s="51"/>
      <c r="J1077" s="85"/>
      <c r="K1077" s="85"/>
      <c r="L1077" s="85"/>
      <c r="M1077" s="52"/>
      <c r="N1077" s="52"/>
      <c r="O1077" s="52"/>
    </row>
  </sheetData>
  <autoFilter ref="$A$1:$P$483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6.57"/>
    <col customWidth="1" min="3" max="3" width="5.71"/>
    <col customWidth="1" min="4" max="4" width="3.29"/>
    <col customWidth="1" min="5" max="5" width="39.86"/>
    <col customWidth="1" min="6" max="6" width="7.14"/>
    <col customWidth="1" min="7" max="7" width="4.43"/>
    <col customWidth="1" min="8" max="8" width="10.57"/>
    <col customWidth="1" min="9" max="11" width="4.86"/>
    <col customWidth="1" hidden="1" min="12" max="13" width="17.14"/>
    <col customWidth="1" hidden="1" min="14" max="14" width="13.71"/>
    <col customWidth="1" min="15" max="26" width="8.71"/>
  </cols>
  <sheetData>
    <row r="1">
      <c r="A1" s="1" t="s">
        <v>0</v>
      </c>
      <c r="B1" s="2" t="s">
        <v>1</v>
      </c>
      <c r="C1" s="1" t="s">
        <v>3</v>
      </c>
      <c r="D1" s="3" t="s">
        <v>4</v>
      </c>
      <c r="E1" s="4" t="s">
        <v>5</v>
      </c>
      <c r="F1" s="1" t="s">
        <v>6</v>
      </c>
      <c r="G1" s="5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7" t="s">
        <v>12</v>
      </c>
      <c r="M1" s="7" t="s">
        <v>13</v>
      </c>
      <c r="N1" s="7" t="s">
        <v>14</v>
      </c>
      <c r="O1" s="8" t="s">
        <v>15</v>
      </c>
    </row>
    <row r="2">
      <c r="A2" s="9" t="s">
        <v>58</v>
      </c>
      <c r="B2" s="9" t="str">
        <f t="shared" ref="B2:B87" si="1">LEFT(A2,FIND(".",A2))</f>
        <v>Ді.</v>
      </c>
      <c r="C2" s="11" t="str">
        <f t="shared" ref="C2:C87" si="2">MID(A2,FIND(".",A2)+2,FIND(" ",RIGHT(A2,LEN(A2)-FIND(".",A2)-1))-1)</f>
        <v>17</v>
      </c>
      <c r="D2" s="9"/>
      <c r="E2" s="21" t="s">
        <v>59</v>
      </c>
      <c r="F2" s="14"/>
      <c r="G2" s="15" t="s">
        <v>70</v>
      </c>
      <c r="H2" s="16" t="s">
        <v>24</v>
      </c>
      <c r="I2" s="23" t="s">
        <v>57</v>
      </c>
      <c r="J2" s="17"/>
      <c r="K2" s="16">
        <v>1.0</v>
      </c>
      <c r="L2" s="18">
        <f>IFNA( VLOOKUP(LEFT(E2, IFERROR(FIND(" ", E2, 1),1) - 1), lists!$A$31:$B$37, 2, FALSE),"")</f>
        <v>1</v>
      </c>
      <c r="M2" s="18" t="str">
        <f>IFERROR(__xludf.DUMMYFUNCTION("IFNA(VLOOKUP(IFNA(REGEXEXTRACT(E2, ""(Пасхи|50-ці|посту)""),""""),lists!$A$39:$B$41,2,FALSE),"""")"),"pascha")</f>
        <v>pascha</v>
      </c>
      <c r="N2" s="19" t="str">
        <f>IFERROR(__xludf.DUMMYFUNCTION("IFNA(REGEXEXTRACT(E2, ""\d{1,2}""),"""")"),"3")</f>
        <v>3</v>
      </c>
      <c r="O2" s="20" t="b">
        <f t="shared" ref="O2:O87" si="3">AND(OR(H2="",I2="",K2=""),G2="")</f>
        <v>0</v>
      </c>
    </row>
    <row r="3">
      <c r="A3" s="12" t="s">
        <v>68</v>
      </c>
      <c r="B3" s="9" t="str">
        <f t="shared" si="1"/>
        <v>Ді.</v>
      </c>
      <c r="C3" s="11" t="str">
        <f t="shared" si="2"/>
        <v>21</v>
      </c>
      <c r="D3" s="12" t="s">
        <v>22</v>
      </c>
      <c r="E3" s="21" t="s">
        <v>69</v>
      </c>
      <c r="F3" s="14"/>
      <c r="G3" s="15" t="s">
        <v>70</v>
      </c>
      <c r="H3" s="16" t="s">
        <v>71</v>
      </c>
      <c r="I3" s="23" t="s">
        <v>71</v>
      </c>
      <c r="J3" s="17"/>
      <c r="K3" s="16" t="s">
        <v>71</v>
      </c>
      <c r="L3" s="18" t="str">
        <f>IFNA( VLOOKUP(LEFT(E3, IFERROR(FIND(" ", E3, 1),1) - 1), lists!$A$31:$B$37, 2, FALSE),"")</f>
        <v/>
      </c>
      <c r="M3" s="18" t="str">
        <f>IFERROR(__xludf.DUMMYFUNCTION("IFNA(VLOOKUP(IFNA(REGEXEXTRACT(E3, ""(Пасхи|50-ці|посту)""),""""),lists!$A$39:$B$41,2,FALSE),"""")"),"")</f>
        <v/>
      </c>
      <c r="N3" s="19" t="str">
        <f>IFERROR(__xludf.DUMMYFUNCTION("IFNA(REGEXEXTRACT(E3, ""\d{1,2}""),"""")"),"")</f>
        <v/>
      </c>
      <c r="O3" s="20" t="b">
        <f t="shared" si="3"/>
        <v>0</v>
      </c>
    </row>
    <row r="4">
      <c r="A4" s="9" t="s">
        <v>87</v>
      </c>
      <c r="B4" s="9" t="str">
        <f t="shared" si="1"/>
        <v>Ді.</v>
      </c>
      <c r="C4" s="11" t="str">
        <f t="shared" si="2"/>
        <v>29</v>
      </c>
      <c r="D4" s="9"/>
      <c r="E4" s="21" t="s">
        <v>847</v>
      </c>
      <c r="F4" s="14"/>
      <c r="G4" s="15" t="s">
        <v>70</v>
      </c>
      <c r="H4" s="16" t="s">
        <v>71</v>
      </c>
      <c r="I4" s="23" t="s">
        <v>78</v>
      </c>
      <c r="J4" s="17"/>
      <c r="K4" s="16">
        <v>6.0</v>
      </c>
      <c r="L4" s="18">
        <f>IFNA( VLOOKUP(LEFT(E4, IFERROR(FIND(" ", E4, 1),1) - 1), lists!$A$31:$B$37, 2, FALSE),"")</f>
        <v>6</v>
      </c>
      <c r="M4" s="18" t="str">
        <f>IFERROR(__xludf.DUMMYFUNCTION("IFNA(VLOOKUP(IFNA(REGEXEXTRACT(E4, ""(Пасхи|50-ці|посту)""),""""),lists!$A$39:$B$41,2,FALSE),"""")"),"pascha")</f>
        <v>pascha</v>
      </c>
      <c r="N4" s="19" t="str">
        <f>IFERROR(__xludf.DUMMYFUNCTION("IFNA(REGEXEXTRACT(E4, ""\d{1,2}""),"""")"),"4")</f>
        <v>4</v>
      </c>
      <c r="O4" s="20" t="b">
        <f t="shared" si="3"/>
        <v>0</v>
      </c>
    </row>
    <row r="5">
      <c r="A5" s="24" t="s">
        <v>96</v>
      </c>
      <c r="B5" s="9" t="str">
        <f t="shared" si="1"/>
        <v>Ді.</v>
      </c>
      <c r="C5" s="11" t="str">
        <f t="shared" si="2"/>
        <v>33</v>
      </c>
      <c r="D5" s="9"/>
      <c r="E5" s="13" t="s">
        <v>97</v>
      </c>
      <c r="F5" s="14"/>
      <c r="G5" s="15" t="s">
        <v>70</v>
      </c>
      <c r="H5" s="16" t="s">
        <v>71</v>
      </c>
      <c r="I5" s="23" t="s">
        <v>71</v>
      </c>
      <c r="J5" s="17"/>
      <c r="K5" s="16" t="s">
        <v>71</v>
      </c>
      <c r="L5" s="18" t="str">
        <f>IFNA( VLOOKUP(LEFT(E5, IFERROR(FIND(" ", E5, 1),1) - 1), lists!$A$31:$B$37, 2, FALSE),"")</f>
        <v/>
      </c>
      <c r="M5" s="18" t="str">
        <f>IFERROR(__xludf.DUMMYFUNCTION("IFNA(VLOOKUP(IFNA(REGEXEXTRACT(E5, ""(Пасхи|50-ці|посту)""),""""),lists!$A$39:$B$41,2,FALSE),"""")"),"")</f>
        <v/>
      </c>
      <c r="N5" s="19" t="str">
        <f>IFERROR(__xludf.DUMMYFUNCTION("IFNA(REGEXEXTRACT(E5, ""\d{1,2}""),"""")"),"")</f>
        <v/>
      </c>
      <c r="O5" s="20" t="b">
        <f t="shared" si="3"/>
        <v>0</v>
      </c>
    </row>
    <row r="6">
      <c r="A6" s="12" t="s">
        <v>113</v>
      </c>
      <c r="B6" s="9" t="str">
        <f t="shared" si="1"/>
        <v>Ді.</v>
      </c>
      <c r="C6" s="11" t="str">
        <f t="shared" si="2"/>
        <v>40</v>
      </c>
      <c r="D6" s="12" t="s">
        <v>22</v>
      </c>
      <c r="E6" s="21" t="s">
        <v>114</v>
      </c>
      <c r="F6" s="14"/>
      <c r="G6" s="15" t="s">
        <v>70</v>
      </c>
      <c r="H6" s="16" t="s">
        <v>71</v>
      </c>
      <c r="I6" s="23" t="s">
        <v>71</v>
      </c>
      <c r="J6" s="17"/>
      <c r="K6" s="16" t="s">
        <v>71</v>
      </c>
      <c r="L6" s="18" t="str">
        <f>IFNA( VLOOKUP(LEFT(E6, IFERROR(FIND(" ", E6, 1),1) - 1), lists!$A$31:$B$37, 2, FALSE),"")</f>
        <v/>
      </c>
      <c r="M6" s="18" t="str">
        <f>IFERROR(__xludf.DUMMYFUNCTION("IFNA(VLOOKUP(IFNA(REGEXEXTRACT(E6, ""(Пасхи|50-ці|посту)""),""""),lists!$A$39:$B$41,2,FALSE),"""")"),"")</f>
        <v/>
      </c>
      <c r="N6" s="19" t="str">
        <f>IFERROR(__xludf.DUMMYFUNCTION("IFNA(REGEXEXTRACT(E6, ""\d{1,2}""),"""")"),"")</f>
        <v/>
      </c>
      <c r="O6" s="20" t="b">
        <f t="shared" si="3"/>
        <v>0</v>
      </c>
    </row>
    <row r="7">
      <c r="A7" s="12" t="s">
        <v>115</v>
      </c>
      <c r="B7" s="9" t="str">
        <f t="shared" si="1"/>
        <v>Ді.</v>
      </c>
      <c r="C7" s="11" t="str">
        <f t="shared" si="2"/>
        <v>40</v>
      </c>
      <c r="D7" s="12" t="s">
        <v>116</v>
      </c>
      <c r="E7" s="21" t="s">
        <v>117</v>
      </c>
      <c r="F7" s="14"/>
      <c r="G7" s="15" t="s">
        <v>70</v>
      </c>
      <c r="H7" s="16" t="s">
        <v>71</v>
      </c>
      <c r="I7" s="23" t="s">
        <v>71</v>
      </c>
      <c r="J7" s="17"/>
      <c r="K7" s="16" t="s">
        <v>71</v>
      </c>
      <c r="L7" s="18" t="str">
        <f>IFNA( VLOOKUP(LEFT(E7, IFERROR(FIND(" ", E7, 1),1) - 1), lists!$A$31:$B$37, 2, FALSE),"")</f>
        <v/>
      </c>
      <c r="M7" s="18" t="str">
        <f>IFERROR(__xludf.DUMMYFUNCTION("IFNA(VLOOKUP(IFNA(REGEXEXTRACT(E7, ""(Пасхи|50-ці|посту)""),""""),lists!$A$39:$B$41,2,FALSE),"""")"),"")</f>
        <v/>
      </c>
      <c r="N7" s="19" t="str">
        <f>IFERROR(__xludf.DUMMYFUNCTION("IFNA(REGEXEXTRACT(E7, ""\d{1,2}""),"""")"),"")</f>
        <v/>
      </c>
      <c r="O7" s="20" t="b">
        <f t="shared" si="3"/>
        <v>0</v>
      </c>
    </row>
    <row r="8">
      <c r="A8" s="9" t="s">
        <v>120</v>
      </c>
      <c r="B8" s="9" t="str">
        <f t="shared" si="1"/>
        <v>Ді.</v>
      </c>
      <c r="C8" s="11" t="str">
        <f t="shared" si="2"/>
        <v>42</v>
      </c>
      <c r="D8" s="9"/>
      <c r="E8" s="21" t="s">
        <v>121</v>
      </c>
      <c r="F8" s="14"/>
      <c r="G8" s="15" t="s">
        <v>70</v>
      </c>
      <c r="H8" s="16" t="s">
        <v>24</v>
      </c>
      <c r="I8" s="23" t="s">
        <v>110</v>
      </c>
      <c r="J8" s="17"/>
      <c r="K8" s="16">
        <v>5.0</v>
      </c>
      <c r="L8" s="18">
        <f>IFNA( VLOOKUP(LEFT(E8, IFERROR(FIND(" ", E8, 1),1) - 1), lists!$A$31:$B$37, 2, FALSE),"")</f>
        <v>5</v>
      </c>
      <c r="M8" s="18" t="str">
        <f>IFERROR(__xludf.DUMMYFUNCTION("IFNA(VLOOKUP(IFNA(REGEXEXTRACT(E8, ""(Пасхи|50-ці|посту)""),""""),lists!$A$39:$B$41,2,FALSE),"""")"),"pascha")</f>
        <v>pascha</v>
      </c>
      <c r="N8" s="19" t="str">
        <f>IFERROR(__xludf.DUMMYFUNCTION("IFNA(REGEXEXTRACT(E8, ""\d{1,2}""),"""")"),"6")</f>
        <v>6</v>
      </c>
      <c r="O8" s="20" t="b">
        <f t="shared" si="3"/>
        <v>0</v>
      </c>
    </row>
    <row r="9">
      <c r="A9" s="9" t="s">
        <v>136</v>
      </c>
      <c r="B9" s="9" t="str">
        <f t="shared" si="1"/>
        <v>Ді.</v>
      </c>
      <c r="C9" s="11" t="str">
        <f t="shared" si="2"/>
        <v>49</v>
      </c>
      <c r="D9" s="9"/>
      <c r="E9" s="13" t="s">
        <v>1731</v>
      </c>
      <c r="F9" s="14"/>
      <c r="G9" s="15" t="s">
        <v>70</v>
      </c>
      <c r="H9" s="16" t="s">
        <v>71</v>
      </c>
      <c r="I9" s="23" t="s">
        <v>138</v>
      </c>
      <c r="J9" s="17"/>
      <c r="K9" s="16" t="s">
        <v>71</v>
      </c>
      <c r="L9" s="18" t="str">
        <f>IFNA( VLOOKUP(LEFT(E9, IFERROR(FIND(" ", E9, 1),1) - 1), lists!$A$31:$B$37, 2, FALSE),"")</f>
        <v/>
      </c>
      <c r="M9" s="18" t="str">
        <f>IFERROR(__xludf.DUMMYFUNCTION("IFNA(VLOOKUP(IFNA(REGEXEXTRACT(E9, ""(Пасхи|50-ці|посту)""),""""),lists!$A$39:$B$41,2,FALSE),"""")"),"")</f>
        <v/>
      </c>
      <c r="N9" s="19" t="str">
        <f>IFERROR(__xludf.DUMMYFUNCTION("IFNA(REGEXEXTRACT(E9, ""\d{1,2}""),"""")"),"21")</f>
        <v>21</v>
      </c>
      <c r="O9" s="20" t="b">
        <f t="shared" si="3"/>
        <v>0</v>
      </c>
    </row>
    <row r="10">
      <c r="A10" s="9" t="s">
        <v>159</v>
      </c>
      <c r="B10" s="9" t="str">
        <f t="shared" si="1"/>
        <v>Як.</v>
      </c>
      <c r="C10" s="11" t="str">
        <f t="shared" si="2"/>
        <v>57</v>
      </c>
      <c r="D10" s="9"/>
      <c r="E10" s="21" t="s">
        <v>160</v>
      </c>
      <c r="F10" s="14"/>
      <c r="G10" s="15" t="s">
        <v>70</v>
      </c>
      <c r="H10" s="16" t="s">
        <v>71</v>
      </c>
      <c r="I10" s="23" t="s">
        <v>161</v>
      </c>
      <c r="J10" s="17"/>
      <c r="K10" s="16" t="s">
        <v>71</v>
      </c>
      <c r="L10" s="18" t="str">
        <f>IFNA( VLOOKUP(LEFT(E10, IFERROR(FIND(" ", E10, 1),1) - 1), lists!$A$31:$B$37, 2, FALSE),"")</f>
        <v/>
      </c>
      <c r="M10" s="18" t="str">
        <f>IFERROR(__xludf.DUMMYFUNCTION("IFNA(VLOOKUP(IFNA(REGEXEXTRACT(E10, ""(Пасхи|50-ці|посту)""),""""),lists!$A$39:$B$41,2,FALSE),"""")"),"")</f>
        <v/>
      </c>
      <c r="N10" s="19" t="str">
        <f>IFERROR(__xludf.DUMMYFUNCTION("IFNA(REGEXEXTRACT(E10, ""\d{1,2}""),"""")"),"20")</f>
        <v>20</v>
      </c>
      <c r="O10" s="20" t="b">
        <f t="shared" si="3"/>
        <v>0</v>
      </c>
    </row>
    <row r="11">
      <c r="A11" s="9" t="s">
        <v>181</v>
      </c>
      <c r="B11" s="9" t="str">
        <f t="shared" si="1"/>
        <v>1 Пт.</v>
      </c>
      <c r="C11" s="11" t="str">
        <f t="shared" si="2"/>
        <v>63</v>
      </c>
      <c r="D11" s="9"/>
      <c r="E11" s="21" t="s">
        <v>182</v>
      </c>
      <c r="F11" s="14"/>
      <c r="G11" s="15" t="s">
        <v>70</v>
      </c>
      <c r="H11" s="16" t="s">
        <v>71</v>
      </c>
      <c r="I11" s="23" t="s">
        <v>71</v>
      </c>
      <c r="J11" s="17"/>
      <c r="K11" s="16" t="s">
        <v>71</v>
      </c>
      <c r="L11" s="18" t="str">
        <f>IFNA( VLOOKUP(LEFT(E11, IFERROR(FIND(" ", E11, 1),1) - 1), lists!$A$31:$B$37, 2, FALSE),"")</f>
        <v/>
      </c>
      <c r="M11" s="18" t="str">
        <f>IFERROR(__xludf.DUMMYFUNCTION("IFNA(VLOOKUP(IFNA(REGEXEXTRACT(E11, ""(Пасхи|50-ці|посту)""),""""),lists!$A$39:$B$41,2,FALSE),"""")"),"")</f>
        <v/>
      </c>
      <c r="N11" s="19" t="str">
        <f>IFERROR(__xludf.DUMMYFUNCTION("IFNA(REGEXEXTRACT(E11, ""\d{1,2}""),"""")"),"")</f>
        <v/>
      </c>
      <c r="O11" s="20" t="b">
        <f t="shared" si="3"/>
        <v>0</v>
      </c>
    </row>
    <row r="12">
      <c r="A12" s="9" t="s">
        <v>185</v>
      </c>
      <c r="B12" s="9" t="str">
        <f t="shared" si="1"/>
        <v>2 Пт.</v>
      </c>
      <c r="C12" s="11" t="str">
        <f t="shared" si="2"/>
        <v>65</v>
      </c>
      <c r="D12" s="9"/>
      <c r="E12" s="21" t="s">
        <v>186</v>
      </c>
      <c r="F12" s="14"/>
      <c r="G12" s="15" t="s">
        <v>70</v>
      </c>
      <c r="H12" s="16" t="s">
        <v>71</v>
      </c>
      <c r="I12" s="23" t="s">
        <v>71</v>
      </c>
      <c r="J12" s="17"/>
      <c r="K12" s="16" t="s">
        <v>71</v>
      </c>
      <c r="L12" s="18" t="str">
        <f>IFNA( VLOOKUP(LEFT(E12, IFERROR(FIND(" ", E12, 1),1) - 1), lists!$A$31:$B$37, 2, FALSE),"")</f>
        <v/>
      </c>
      <c r="M12" s="18" t="str">
        <f>IFERROR(__xludf.DUMMYFUNCTION("IFNA(VLOOKUP(IFNA(REGEXEXTRACT(E12, ""(Пасхи|50-ці|посту)""),""""),lists!$A$39:$B$41,2,FALSE),"""")"),"")</f>
        <v/>
      </c>
      <c r="N12" s="19" t="str">
        <f>IFERROR(__xludf.DUMMYFUNCTION("IFNA(REGEXEXTRACT(E12, ""\d{1,2}""),"""")"),"")</f>
        <v/>
      </c>
      <c r="O12" s="20" t="b">
        <f t="shared" si="3"/>
        <v>0</v>
      </c>
    </row>
    <row r="13">
      <c r="A13" s="9" t="s">
        <v>194</v>
      </c>
      <c r="B13" s="9" t="str">
        <f t="shared" si="1"/>
        <v>1 Йо.</v>
      </c>
      <c r="C13" s="11" t="str">
        <f t="shared" si="2"/>
        <v>68</v>
      </c>
      <c r="D13" s="12" t="s">
        <v>22</v>
      </c>
      <c r="E13" s="21" t="s">
        <v>195</v>
      </c>
      <c r="F13" s="14"/>
      <c r="G13" s="15" t="s">
        <v>70</v>
      </c>
      <c r="H13" s="16" t="s">
        <v>71</v>
      </c>
      <c r="I13" s="23" t="s">
        <v>196</v>
      </c>
      <c r="J13" s="17"/>
      <c r="K13" s="16" t="s">
        <v>71</v>
      </c>
      <c r="L13" s="18" t="str">
        <f>IFNA( VLOOKUP(LEFT(E13, IFERROR(FIND(" ", E13, 1),1) - 1), lists!$A$31:$B$37, 2, FALSE),"")</f>
        <v/>
      </c>
      <c r="M13" s="18" t="str">
        <f>IFERROR(__xludf.DUMMYFUNCTION("IFNA(VLOOKUP(IFNA(REGEXEXTRACT(E13, ""(Пасхи|50-ці|посту)""),""""),lists!$A$39:$B$41,2,FALSE),"""")"),"")</f>
        <v/>
      </c>
      <c r="N13" s="19" t="str">
        <f>IFERROR(__xludf.DUMMYFUNCTION("IFNA(REGEXEXTRACT(E13, ""\d{1,2}""),"""")"),"8")</f>
        <v>8</v>
      </c>
      <c r="O13" s="20" t="b">
        <f t="shared" si="3"/>
        <v>0</v>
      </c>
    </row>
    <row r="14">
      <c r="A14" s="9" t="s">
        <v>206</v>
      </c>
      <c r="B14" s="9" t="str">
        <f t="shared" si="1"/>
        <v>1 Йо.</v>
      </c>
      <c r="C14" s="11" t="str">
        <f t="shared" si="2"/>
        <v>73</v>
      </c>
      <c r="D14" s="12" t="s">
        <v>18</v>
      </c>
      <c r="E14" s="21" t="s">
        <v>207</v>
      </c>
      <c r="F14" s="14"/>
      <c r="G14" s="15" t="s">
        <v>70</v>
      </c>
      <c r="H14" s="16" t="s">
        <v>71</v>
      </c>
      <c r="I14" s="23" t="s">
        <v>208</v>
      </c>
      <c r="J14" s="17"/>
      <c r="K14" s="16" t="s">
        <v>71</v>
      </c>
      <c r="L14" s="18" t="str">
        <f>IFNA( VLOOKUP(LEFT(E14, IFERROR(FIND(" ", E14, 1),1) - 1), lists!$A$31:$B$37, 2, FALSE),"")</f>
        <v/>
      </c>
      <c r="M14" s="18" t="str">
        <f>IFERROR(__xludf.DUMMYFUNCTION("IFNA(VLOOKUP(IFNA(REGEXEXTRACT(E14, ""(Пасхи|50-ці|посту)""),""""),lists!$A$39:$B$41,2,FALSE),"""")"),"")</f>
        <v/>
      </c>
      <c r="N14" s="19" t="str">
        <f>IFERROR(__xludf.DUMMYFUNCTION("IFNA(REGEXEXTRACT(E14, ""\d{1,2}""),"""")"),"26")</f>
        <v>26</v>
      </c>
      <c r="O14" s="20" t="b">
        <f t="shared" si="3"/>
        <v>0</v>
      </c>
    </row>
    <row r="15">
      <c r="A15" s="12" t="s">
        <v>211</v>
      </c>
      <c r="B15" s="33" t="str">
        <f t="shared" si="1"/>
        <v>1 Йо.</v>
      </c>
      <c r="C15" s="34" t="str">
        <f t="shared" si="2"/>
        <v>73</v>
      </c>
      <c r="D15" s="12" t="s">
        <v>116</v>
      </c>
      <c r="E15" s="21" t="s">
        <v>212</v>
      </c>
      <c r="F15" s="14"/>
      <c r="G15" s="15" t="s">
        <v>70</v>
      </c>
      <c r="H15" s="16" t="s">
        <v>71</v>
      </c>
      <c r="I15" s="23" t="s">
        <v>71</v>
      </c>
      <c r="J15" s="17"/>
      <c r="K15" s="16" t="s">
        <v>71</v>
      </c>
      <c r="L15" s="18" t="str">
        <f>IFNA( VLOOKUP(LEFT(E15, IFERROR(FIND(" ", E15, 1),1) - 1), lists!$A$31:$B$37, 2, FALSE),"")</f>
        <v/>
      </c>
      <c r="M15" s="18" t="str">
        <f>IFERROR(__xludf.DUMMYFUNCTION("IFNA(VLOOKUP(IFNA(REGEXEXTRACT(E15, ""(Пасхи|50-ці|посту)""),""""),lists!$A$39:$B$41,2,FALSE),"""")"),"")</f>
        <v/>
      </c>
      <c r="N15" s="19" t="str">
        <f>IFERROR(__xludf.DUMMYFUNCTION("IFNA(REGEXEXTRACT(E15, ""\d{1,2}""),"""")"),"")</f>
        <v/>
      </c>
      <c r="O15" s="20" t="b">
        <f t="shared" si="3"/>
        <v>0</v>
      </c>
    </row>
    <row r="16">
      <c r="A16" s="9" t="s">
        <v>258</v>
      </c>
      <c r="B16" s="33" t="str">
        <f t="shared" si="1"/>
        <v>Рим.</v>
      </c>
      <c r="C16" s="34" t="str">
        <f t="shared" si="2"/>
        <v>88</v>
      </c>
      <c r="D16" s="26" t="s">
        <v>22</v>
      </c>
      <c r="E16" s="21" t="s">
        <v>259</v>
      </c>
      <c r="F16" s="14"/>
      <c r="G16" s="15" t="s">
        <v>70</v>
      </c>
      <c r="H16" s="16" t="s">
        <v>71</v>
      </c>
      <c r="I16" s="23" t="s">
        <v>57</v>
      </c>
      <c r="J16" s="17"/>
      <c r="K16" s="16" t="s">
        <v>71</v>
      </c>
      <c r="L16" s="18" t="str">
        <f>IFNA( VLOOKUP(LEFT(E16, IFERROR(FIND(" ", E16, 1),1) - 1), lists!$A$31:$B$37, 2, FALSE),"")</f>
        <v/>
      </c>
      <c r="M16" s="18" t="str">
        <f>IFERROR(__xludf.DUMMYFUNCTION("IFNA(VLOOKUP(IFNA(REGEXEXTRACT(E16, ""(Пасхи|50-ці|посту)""),""""),lists!$A$39:$B$41,2,FALSE),"""")"),"")</f>
        <v/>
      </c>
      <c r="N16" s="19" t="str">
        <f>IFERROR(__xludf.DUMMYFUNCTION("IFNA(REGEXEXTRACT(E16, ""\d{1,2}""),"""")"),"3")</f>
        <v>3</v>
      </c>
      <c r="O16" s="20" t="b">
        <f t="shared" si="3"/>
        <v>0</v>
      </c>
    </row>
    <row r="17">
      <c r="A17" s="29" t="s">
        <v>276</v>
      </c>
      <c r="B17" s="9" t="str">
        <f t="shared" si="1"/>
        <v>Рим.</v>
      </c>
      <c r="C17" s="11" t="str">
        <f t="shared" si="2"/>
        <v>96</v>
      </c>
      <c r="D17" s="26" t="s">
        <v>22</v>
      </c>
      <c r="E17" s="13" t="s">
        <v>277</v>
      </c>
      <c r="F17" s="14"/>
      <c r="G17" s="15" t="s">
        <v>70</v>
      </c>
      <c r="H17" s="16" t="s">
        <v>71</v>
      </c>
      <c r="I17" s="23" t="s">
        <v>278</v>
      </c>
      <c r="J17" s="17"/>
      <c r="K17" s="16" t="s">
        <v>71</v>
      </c>
      <c r="L17" s="18" t="str">
        <f>IFNA( VLOOKUP(LEFT(E17, IFERROR(FIND(" ", E17, 1),1) - 1), lists!$A$31:$B$37, 2, FALSE),"")</f>
        <v/>
      </c>
      <c r="M17" s="18" t="str">
        <f>IFERROR(__xludf.DUMMYFUNCTION("IFNA(VLOOKUP(IFNA(REGEXEXTRACT(E17, ""(Пасхи|50-ці|посту)""),""""),lists!$A$39:$B$41,2,FALSE),"""")"),"")</f>
        <v/>
      </c>
      <c r="N17" s="19" t="str">
        <f>IFERROR(__xludf.DUMMYFUNCTION("IFNA(REGEXEXTRACT(E17, ""\d{1,2}""),"""")"),"28")</f>
        <v>28</v>
      </c>
      <c r="O17" s="20" t="b">
        <f t="shared" si="3"/>
        <v>0</v>
      </c>
    </row>
    <row r="18">
      <c r="A18" s="9" t="s">
        <v>279</v>
      </c>
      <c r="B18" s="9" t="str">
        <f t="shared" si="1"/>
        <v>Рим.</v>
      </c>
      <c r="C18" s="11" t="str">
        <f t="shared" si="2"/>
        <v>96</v>
      </c>
      <c r="D18" s="26" t="s">
        <v>116</v>
      </c>
      <c r="E18" s="13" t="s">
        <v>280</v>
      </c>
      <c r="F18" s="14"/>
      <c r="G18" s="15" t="s">
        <v>70</v>
      </c>
      <c r="H18" s="16" t="s">
        <v>71</v>
      </c>
      <c r="I18" s="23" t="s">
        <v>78</v>
      </c>
      <c r="J18" s="16"/>
      <c r="K18" s="16" t="s">
        <v>71</v>
      </c>
      <c r="L18" s="18" t="str">
        <f>IFNA( VLOOKUP(LEFT(E18, IFERROR(FIND(" ", E18, 1),1) - 1), lists!$A$31:$B$37, 2, FALSE),"")</f>
        <v/>
      </c>
      <c r="M18" s="18" t="str">
        <f>IFERROR(__xludf.DUMMYFUNCTION("IFNA(VLOOKUP(IFNA(REGEXEXTRACT(E18, ""(Пасхи|50-ці|посту)""),""""),lists!$A$39:$B$41,2,FALSE),"""")"),"")</f>
        <v/>
      </c>
      <c r="N18" s="19" t="str">
        <f>IFERROR(__xludf.DUMMYFUNCTION("IFNA(REGEXEXTRACT(E18, ""\d{1,2}""),"""")"),"4")</f>
        <v>4</v>
      </c>
      <c r="O18" s="20" t="b">
        <f t="shared" si="3"/>
        <v>0</v>
      </c>
    </row>
    <row r="19">
      <c r="A19" s="9" t="s">
        <v>285</v>
      </c>
      <c r="B19" s="9" t="str">
        <f t="shared" si="1"/>
        <v>Рим.</v>
      </c>
      <c r="C19" s="11" t="str">
        <f t="shared" si="2"/>
        <v>99</v>
      </c>
      <c r="D19" s="9"/>
      <c r="E19" s="21" t="s">
        <v>286</v>
      </c>
      <c r="F19" s="14"/>
      <c r="G19" s="15" t="s">
        <v>70</v>
      </c>
      <c r="H19" s="16" t="s">
        <v>29</v>
      </c>
      <c r="I19" s="23">
        <v>2.0</v>
      </c>
      <c r="J19" s="17"/>
      <c r="K19" s="16">
        <v>7.0</v>
      </c>
      <c r="L19" s="18" t="str">
        <f>IFNA( VLOOKUP(LEFT(E19, IFERROR(FIND(" ", E19, 1),1) - 1), lists!$A$31:$B$37, 2, FALSE),"")</f>
        <v/>
      </c>
      <c r="M19" s="18" t="str">
        <f>IFERROR(__xludf.DUMMYFUNCTION("IFNA(VLOOKUP(IFNA(REGEXEXTRACT(E19, ""(Пасхи|50-ці|посту)""),""""),lists!$A$39:$B$41,2,FALSE),"""")"),"")</f>
        <v/>
      </c>
      <c r="N19" s="19" t="str">
        <f>IFERROR(__xludf.DUMMYFUNCTION("IFNA(REGEXEXTRACT(E19, ""\d{1,2}""),"""")"),"")</f>
        <v/>
      </c>
      <c r="O19" s="20" t="b">
        <f t="shared" si="3"/>
        <v>0</v>
      </c>
    </row>
    <row r="20">
      <c r="A20" s="9" t="s">
        <v>311</v>
      </c>
      <c r="B20" s="9" t="str">
        <f t="shared" si="1"/>
        <v>Рим.</v>
      </c>
      <c r="C20" s="11" t="str">
        <f t="shared" si="2"/>
        <v>112</v>
      </c>
      <c r="D20" s="9"/>
      <c r="E20" s="21" t="s">
        <v>312</v>
      </c>
      <c r="F20" s="14"/>
      <c r="G20" s="15" t="s">
        <v>70</v>
      </c>
      <c r="H20" s="16" t="s">
        <v>20</v>
      </c>
      <c r="I20" s="23">
        <v>36.0</v>
      </c>
      <c r="J20" s="16">
        <v>1.0</v>
      </c>
      <c r="K20" s="16">
        <v>7.0</v>
      </c>
      <c r="L20" s="18">
        <f>IFNA( VLOOKUP(LEFT(E20, IFERROR(FIND(" ", E20, 1),1) - 1), lists!$A$31:$B$37, 2, FALSE),"")</f>
        <v>7</v>
      </c>
      <c r="M20" s="18" t="str">
        <f>IFERROR(__xludf.DUMMYFUNCTION("IFNA(VLOOKUP(IFNA(REGEXEXTRACT(E20, ""(Пасхи|50-ці|посту)""),""""),lists!$A$39:$B$41,2,FALSE),"""")"),"")</f>
        <v/>
      </c>
      <c r="N20" s="19" t="str">
        <f>IFERROR(__xludf.DUMMYFUNCTION("IFNA(REGEXEXTRACT(E20, ""\d{1,2}""),"""")"),"")</f>
        <v/>
      </c>
      <c r="O20" s="20" t="b">
        <f t="shared" si="3"/>
        <v>0</v>
      </c>
    </row>
    <row r="21">
      <c r="A21" s="9" t="s">
        <v>313</v>
      </c>
      <c r="B21" s="9" t="str">
        <f t="shared" si="1"/>
        <v>Рим.</v>
      </c>
      <c r="C21" s="11" t="str">
        <f t="shared" si="2"/>
        <v>113</v>
      </c>
      <c r="D21" s="9"/>
      <c r="E21" s="21" t="s">
        <v>314</v>
      </c>
      <c r="F21" s="14"/>
      <c r="G21" s="15" t="s">
        <v>70</v>
      </c>
      <c r="H21" s="16" t="s">
        <v>29</v>
      </c>
      <c r="I21" s="23" t="s">
        <v>315</v>
      </c>
      <c r="J21" s="17"/>
      <c r="K21" s="16">
        <v>6.0</v>
      </c>
      <c r="L21" s="18">
        <f>IFNA( VLOOKUP(LEFT(E21, IFERROR(FIND(" ", E21, 1),1) - 1), lists!$A$31:$B$37, 2, FALSE),"")</f>
        <v>6</v>
      </c>
      <c r="M21" s="18" t="str">
        <f>IFERROR(__xludf.DUMMYFUNCTION("IFNA(VLOOKUP(IFNA(REGEXEXTRACT(E21, ""(Пасхи|50-ці|посту)""),""""),lists!$A$39:$B$41,2,FALSE),"""")"),"pentecost")</f>
        <v>pentecost</v>
      </c>
      <c r="N21" s="19" t="str">
        <f>IFERROR(__xludf.DUMMYFUNCTION("IFNA(REGEXEXTRACT(E21, ""\d{1,2}""),"""")"),"9")</f>
        <v>9</v>
      </c>
      <c r="O21" s="20" t="b">
        <f t="shared" si="3"/>
        <v>0</v>
      </c>
    </row>
    <row r="22">
      <c r="A22" s="9" t="s">
        <v>342</v>
      </c>
      <c r="B22" s="9" t="str">
        <f t="shared" si="1"/>
        <v>1 Кор.</v>
      </c>
      <c r="C22" s="11" t="str">
        <f t="shared" si="2"/>
        <v>125</v>
      </c>
      <c r="D22" s="12" t="s">
        <v>22</v>
      </c>
      <c r="E22" s="27" t="s">
        <v>343</v>
      </c>
      <c r="F22" s="14"/>
      <c r="G22" s="15" t="s">
        <v>70</v>
      </c>
      <c r="H22" s="16" t="s">
        <v>71</v>
      </c>
      <c r="I22" s="23" t="s">
        <v>71</v>
      </c>
      <c r="J22" s="17"/>
      <c r="K22" s="16" t="s">
        <v>71</v>
      </c>
      <c r="L22" s="18" t="str">
        <f>IFNA( VLOOKUP(LEFT(E22, IFERROR(FIND(" ", E22, 1),1) - 1), lists!$A$31:$B$37, 2, FALSE),"")</f>
        <v/>
      </c>
      <c r="M22" s="18" t="str">
        <f>IFERROR(__xludf.DUMMYFUNCTION("IFNA(VLOOKUP(IFNA(REGEXEXTRACT(E22, ""(Пасхи|50-ці|посту)""),""""),lists!$A$39:$B$41,2,FALSE),"""")"),"")</f>
        <v/>
      </c>
      <c r="N22" s="19" t="str">
        <f>IFERROR(__xludf.DUMMYFUNCTION("IFNA(REGEXEXTRACT(E22, ""\d{1,2}""),"""")"),"")</f>
        <v/>
      </c>
      <c r="O22" s="20" t="b">
        <f t="shared" si="3"/>
        <v>0</v>
      </c>
    </row>
    <row r="23">
      <c r="A23" s="9" t="s">
        <v>344</v>
      </c>
      <c r="B23" s="9" t="str">
        <f t="shared" si="1"/>
        <v>1 Кор.</v>
      </c>
      <c r="C23" s="11" t="str">
        <f t="shared" si="2"/>
        <v>125</v>
      </c>
      <c r="D23" s="12" t="s">
        <v>116</v>
      </c>
      <c r="E23" s="21" t="s">
        <v>345</v>
      </c>
      <c r="F23" s="14"/>
      <c r="G23" s="15" t="s">
        <v>70</v>
      </c>
      <c r="H23" s="16" t="s">
        <v>29</v>
      </c>
      <c r="I23" s="23" t="s">
        <v>346</v>
      </c>
      <c r="J23" s="17"/>
      <c r="K23" s="16">
        <v>6.0</v>
      </c>
      <c r="L23" s="18">
        <f>IFNA( VLOOKUP(LEFT(E23, IFERROR(FIND(" ", E23, 1),1) - 1), lists!$A$31:$B$37, 2, FALSE),"")</f>
        <v>6</v>
      </c>
      <c r="M23" s="18" t="str">
        <f>IFERROR(__xludf.DUMMYFUNCTION("IFNA(VLOOKUP(IFNA(REGEXEXTRACT(E23, ""(Пасхи|50-ці|посту)""),""""),lists!$A$39:$B$41,2,FALSE),"""")"),"pentecost")</f>
        <v>pentecost</v>
      </c>
      <c r="N23" s="19" t="str">
        <f>IFERROR(__xludf.DUMMYFUNCTION("IFNA(REGEXEXTRACT(E23, ""\d{1,2}""),"""")"),"12")</f>
        <v>12</v>
      </c>
      <c r="O23" s="20" t="b">
        <f t="shared" si="3"/>
        <v>0</v>
      </c>
    </row>
    <row r="24">
      <c r="A24" s="9" t="s">
        <v>347</v>
      </c>
      <c r="B24" s="9" t="str">
        <f t="shared" si="1"/>
        <v>1 Кор.</v>
      </c>
      <c r="C24" s="11" t="str">
        <f t="shared" si="2"/>
        <v>126</v>
      </c>
      <c r="D24" s="9"/>
      <c r="E24" s="21" t="s">
        <v>348</v>
      </c>
      <c r="F24" s="14"/>
      <c r="G24" s="15" t="s">
        <v>70</v>
      </c>
      <c r="H24" s="16" t="s">
        <v>29</v>
      </c>
      <c r="I24" s="23" t="s">
        <v>349</v>
      </c>
      <c r="J24" s="17"/>
      <c r="K24" s="16">
        <v>6.0</v>
      </c>
      <c r="L24" s="18">
        <f>IFNA( VLOOKUP(LEFT(E24, IFERROR(FIND(" ", E24, 1),1) - 1), lists!$A$31:$B$37, 2, FALSE),"")</f>
        <v>6</v>
      </c>
      <c r="M24" s="18" t="str">
        <f>IFERROR(__xludf.DUMMYFUNCTION("IFNA(VLOOKUP(IFNA(REGEXEXTRACT(E24, ""(Пасхи|50-ці|посту)""),""""),lists!$A$39:$B$41,2,FALSE),"""")"),"pentecost")</f>
        <v>pentecost</v>
      </c>
      <c r="N24" s="19" t="str">
        <f>IFERROR(__xludf.DUMMYFUNCTION("IFNA(REGEXEXTRACT(E24, ""\d{1,2}""),"""")"),"13")</f>
        <v>13</v>
      </c>
      <c r="O24" s="20" t="b">
        <f t="shared" si="3"/>
        <v>0</v>
      </c>
    </row>
    <row r="25">
      <c r="A25" s="9" t="s">
        <v>366</v>
      </c>
      <c r="B25" s="9" t="str">
        <f t="shared" si="1"/>
        <v>1 Кор.</v>
      </c>
      <c r="C25" s="11" t="str">
        <f t="shared" si="2"/>
        <v>133</v>
      </c>
      <c r="D25" s="9"/>
      <c r="E25" s="21" t="s">
        <v>367</v>
      </c>
      <c r="F25" s="14"/>
      <c r="G25" s="15" t="s">
        <v>70</v>
      </c>
      <c r="H25" s="16" t="s">
        <v>71</v>
      </c>
      <c r="I25" s="23" t="s">
        <v>71</v>
      </c>
      <c r="J25" s="17"/>
      <c r="K25" s="16" t="s">
        <v>71</v>
      </c>
      <c r="L25" s="18" t="str">
        <f>IFNA( VLOOKUP(LEFT(E25, IFERROR(FIND(" ", E25, 1),1) - 1), lists!$A$31:$B$37, 2, FALSE),"")</f>
        <v/>
      </c>
      <c r="M25" s="18" t="str">
        <f>IFERROR(__xludf.DUMMYFUNCTION("IFNA(VLOOKUP(IFNA(REGEXEXTRACT(E25, ""(Пасхи|50-ці|посту)""),""""),lists!$A$39:$B$41,2,FALSE),"""")"),"")</f>
        <v/>
      </c>
      <c r="N25" s="19" t="str">
        <f>IFERROR(__xludf.DUMMYFUNCTION("IFNA(REGEXEXTRACT(E25, ""\d{1,2}""),"""")"),"")</f>
        <v/>
      </c>
      <c r="O25" s="20" t="b">
        <f t="shared" si="3"/>
        <v>0</v>
      </c>
    </row>
    <row r="26">
      <c r="A26" s="12" t="s">
        <v>386</v>
      </c>
      <c r="B26" s="9" t="str">
        <f t="shared" si="1"/>
        <v>1 Кор.</v>
      </c>
      <c r="C26" s="11" t="str">
        <f t="shared" si="2"/>
        <v>143</v>
      </c>
      <c r="D26" s="12" t="s">
        <v>387</v>
      </c>
      <c r="E26" s="27" t="s">
        <v>388</v>
      </c>
      <c r="F26" s="14"/>
      <c r="G26" s="15" t="s">
        <v>70</v>
      </c>
      <c r="H26" s="16" t="s">
        <v>71</v>
      </c>
      <c r="I26" s="23" t="s">
        <v>71</v>
      </c>
      <c r="J26" s="17"/>
      <c r="K26" s="16" t="s">
        <v>71</v>
      </c>
      <c r="L26" s="18" t="str">
        <f>IFNA( VLOOKUP(LEFT(E26, IFERROR(FIND(" ", E26, 1),1) - 1), lists!$A$31:$B$37, 2, FALSE),"")</f>
        <v/>
      </c>
      <c r="M26" s="18" t="str">
        <f>IFERROR(__xludf.DUMMYFUNCTION("IFNA(VLOOKUP(IFNA(REGEXEXTRACT(E26, ""(Пасхи|50-ці|посту)""),""""),lists!$A$39:$B$41,2,FALSE),"""")"),"")</f>
        <v/>
      </c>
      <c r="N26" s="19" t="str">
        <f>IFERROR(__xludf.DUMMYFUNCTION("IFNA(REGEXEXTRACT(E26, ""\d{1,2}""),"""")"),"")</f>
        <v/>
      </c>
      <c r="O26" s="20" t="b">
        <f t="shared" si="3"/>
        <v>0</v>
      </c>
    </row>
    <row r="27">
      <c r="A27" s="12" t="s">
        <v>389</v>
      </c>
      <c r="B27" s="9" t="str">
        <f t="shared" si="1"/>
        <v>1 Кор.</v>
      </c>
      <c r="C27" s="11" t="str">
        <f t="shared" si="2"/>
        <v>143</v>
      </c>
      <c r="D27" s="12" t="s">
        <v>18</v>
      </c>
      <c r="E27" s="27" t="s">
        <v>390</v>
      </c>
      <c r="F27" s="14"/>
      <c r="G27" s="15" t="s">
        <v>70</v>
      </c>
      <c r="H27" s="16" t="s">
        <v>20</v>
      </c>
      <c r="I27" s="23" t="s">
        <v>71</v>
      </c>
      <c r="J27" s="17"/>
      <c r="K27" s="16" t="s">
        <v>71</v>
      </c>
      <c r="L27" s="18" t="str">
        <f>IFNA( VLOOKUP(LEFT(E27, IFERROR(FIND(" ", E27, 1),1) - 1), lists!$A$31:$B$37, 2, FALSE),"")</f>
        <v/>
      </c>
      <c r="M27" s="18" t="str">
        <f>IFERROR(__xludf.DUMMYFUNCTION("IFNA(VLOOKUP(IFNA(REGEXEXTRACT(E27, ""(Пасхи|50-ці|посту)""),""""),lists!$A$39:$B$41,2,FALSE),"""")"),"lent")</f>
        <v>lent</v>
      </c>
      <c r="N27" s="19" t="str">
        <f>IFERROR(__xludf.DUMMYFUNCTION("IFNA(REGEXEXTRACT(E27, ""\d{1,2}""),"""")"),"")</f>
        <v/>
      </c>
      <c r="O27" s="20" t="b">
        <f t="shared" si="3"/>
        <v>0</v>
      </c>
    </row>
    <row r="28">
      <c r="A28" s="12" t="s">
        <v>391</v>
      </c>
      <c r="B28" s="9" t="str">
        <f t="shared" si="1"/>
        <v>1 Кор.</v>
      </c>
      <c r="C28" s="11" t="str">
        <f t="shared" si="2"/>
        <v>143</v>
      </c>
      <c r="D28" s="12" t="s">
        <v>22</v>
      </c>
      <c r="E28" s="27" t="s">
        <v>392</v>
      </c>
      <c r="F28" s="36"/>
      <c r="G28" s="15" t="s">
        <v>70</v>
      </c>
      <c r="H28" s="16" t="s">
        <v>71</v>
      </c>
      <c r="I28" s="23" t="s">
        <v>71</v>
      </c>
      <c r="J28" s="17"/>
      <c r="K28" s="16" t="s">
        <v>71</v>
      </c>
      <c r="L28" s="18" t="str">
        <f>IFNA( VLOOKUP(LEFT(E28, IFERROR(FIND(" ", E28, 1),1) - 1), lists!$A$31:$B$37, 2, FALSE),"")</f>
        <v/>
      </c>
      <c r="M28" s="18" t="str">
        <f>IFERROR(__xludf.DUMMYFUNCTION("IFNA(VLOOKUP(IFNA(REGEXEXTRACT(E28, ""(Пасхи|50-ці|посту)""),""""),lists!$A$39:$B$41,2,FALSE),"""")"),"")</f>
        <v/>
      </c>
      <c r="N28" s="19" t="str">
        <f>IFERROR(__xludf.DUMMYFUNCTION("IFNA(REGEXEXTRACT(E28, ""\d{1,2}""),"""")"),"")</f>
        <v/>
      </c>
      <c r="O28" s="20" t="b">
        <f t="shared" si="3"/>
        <v>0</v>
      </c>
    </row>
    <row r="29">
      <c r="A29" s="9" t="s">
        <v>408</v>
      </c>
      <c r="B29" s="9" t="str">
        <f t="shared" si="1"/>
        <v>1 Кор.</v>
      </c>
      <c r="C29" s="11" t="str">
        <f t="shared" si="2"/>
        <v>151</v>
      </c>
      <c r="D29" s="9"/>
      <c r="E29" s="27" t="s">
        <v>409</v>
      </c>
      <c r="F29" s="14"/>
      <c r="G29" s="15" t="s">
        <v>70</v>
      </c>
      <c r="H29" s="16" t="s">
        <v>71</v>
      </c>
      <c r="I29" s="23" t="s">
        <v>410</v>
      </c>
      <c r="J29" s="17"/>
      <c r="K29" s="16" t="s">
        <v>71</v>
      </c>
      <c r="L29" s="18" t="str">
        <f>IFNA( VLOOKUP(LEFT(E29, IFERROR(FIND(" ", E29, 1),1) - 1), lists!$A$31:$B$37, 2, FALSE),"")</f>
        <v/>
      </c>
      <c r="M29" s="18" t="str">
        <f>IFERROR(__xludf.DUMMYFUNCTION("IFNA(VLOOKUP(IFNA(REGEXEXTRACT(E29, ""(Пасхи|50-ці|посту)""),""""),lists!$A$39:$B$41,2,FALSE),"""")"),"")</f>
        <v/>
      </c>
      <c r="N29" s="19" t="str">
        <f>IFERROR(__xludf.DUMMYFUNCTION("IFNA(REGEXEXTRACT(E29, ""\d{1,2}""),"""")"),"17")</f>
        <v>17</v>
      </c>
      <c r="O29" s="20" t="b">
        <f t="shared" si="3"/>
        <v>0</v>
      </c>
    </row>
    <row r="30">
      <c r="A30" s="12" t="s">
        <v>413</v>
      </c>
      <c r="B30" s="9" t="str">
        <f t="shared" si="1"/>
        <v>1 Кор.</v>
      </c>
      <c r="C30" s="11" t="str">
        <f t="shared" si="2"/>
        <v>153</v>
      </c>
      <c r="D30" s="9"/>
      <c r="E30" s="27" t="s">
        <v>414</v>
      </c>
      <c r="F30" s="14"/>
      <c r="G30" s="15" t="s">
        <v>70</v>
      </c>
      <c r="H30" s="16" t="s">
        <v>71</v>
      </c>
      <c r="I30" s="23" t="s">
        <v>71</v>
      </c>
      <c r="J30" s="17"/>
      <c r="K30" s="16" t="s">
        <v>71</v>
      </c>
      <c r="L30" s="18" t="str">
        <f>IFNA( VLOOKUP(LEFT(E30, IFERROR(FIND(" ", E30, 1),1) - 1), lists!$A$31:$B$37, 2, FALSE),"")</f>
        <v/>
      </c>
      <c r="M30" s="18" t="str">
        <f>IFERROR(__xludf.DUMMYFUNCTION("IFNA(VLOOKUP(IFNA(REGEXEXTRACT(E30, ""(Пасхи|50-ці|посту)""),""""),lists!$A$39:$B$41,2,FALSE),"""")"),"")</f>
        <v/>
      </c>
      <c r="N30" s="19" t="str">
        <f>IFERROR(__xludf.DUMMYFUNCTION("IFNA(REGEXEXTRACT(E30, ""\d{1,2}""),"""")"),"")</f>
        <v/>
      </c>
      <c r="O30" s="20" t="b">
        <f t="shared" si="3"/>
        <v>0</v>
      </c>
    </row>
    <row r="31">
      <c r="A31" s="12" t="s">
        <v>417</v>
      </c>
      <c r="B31" s="9" t="str">
        <f t="shared" si="1"/>
        <v>1 Кор.</v>
      </c>
      <c r="C31" s="11" t="str">
        <f t="shared" si="2"/>
        <v>154</v>
      </c>
      <c r="D31" s="26" t="s">
        <v>22</v>
      </c>
      <c r="E31" s="25" t="s">
        <v>418</v>
      </c>
      <c r="F31" s="14"/>
      <c r="G31" s="15" t="s">
        <v>70</v>
      </c>
      <c r="H31" s="16" t="s">
        <v>71</v>
      </c>
      <c r="I31" s="23" t="s">
        <v>71</v>
      </c>
      <c r="J31" s="17"/>
      <c r="K31" s="16" t="s">
        <v>71</v>
      </c>
      <c r="L31" s="18" t="str">
        <f>IFNA( VLOOKUP(LEFT(E31, IFERROR(FIND(" ", E31, 1),1) - 1), lists!$A$31:$B$37, 2, FALSE),"")</f>
        <v/>
      </c>
      <c r="M31" s="18" t="str">
        <f>IFERROR(__xludf.DUMMYFUNCTION("IFNA(VLOOKUP(IFNA(REGEXEXTRACT(E31, ""(Пасхи|50-ці|посту)""),""""),lists!$A$39:$B$41,2,FALSE),"""")"),"")</f>
        <v/>
      </c>
      <c r="N31" s="19" t="str">
        <f>IFERROR(__xludf.DUMMYFUNCTION("IFNA(REGEXEXTRACT(E31, ""\d{1,2}""),"""")"),"")</f>
        <v/>
      </c>
      <c r="O31" s="20" t="b">
        <f t="shared" si="3"/>
        <v>0</v>
      </c>
    </row>
    <row r="32">
      <c r="A32" s="12" t="s">
        <v>429</v>
      </c>
      <c r="B32" s="9" t="str">
        <f t="shared" si="1"/>
        <v>1 Кор.</v>
      </c>
      <c r="C32" s="11" t="str">
        <f t="shared" si="2"/>
        <v>160</v>
      </c>
      <c r="D32" s="9"/>
      <c r="E32" s="27" t="s">
        <v>430</v>
      </c>
      <c r="F32" s="14"/>
      <c r="G32" s="15" t="s">
        <v>70</v>
      </c>
      <c r="H32" s="16" t="s">
        <v>71</v>
      </c>
      <c r="I32" s="23" t="s">
        <v>71</v>
      </c>
      <c r="J32" s="17"/>
      <c r="K32" s="16" t="s">
        <v>71</v>
      </c>
      <c r="L32" s="18" t="str">
        <f>IFNA( VLOOKUP(LEFT(E32, IFERROR(FIND(" ", E32, 1),1) - 1), lists!$A$31:$B$37, 2, FALSE),"")</f>
        <v/>
      </c>
      <c r="M32" s="18" t="str">
        <f>IFERROR(__xludf.DUMMYFUNCTION("IFNA(VLOOKUP(IFNA(REGEXEXTRACT(E32, ""(Пасхи|50-ці|посту)""),""""),lists!$A$39:$B$41,2,FALSE),"""")"),"")</f>
        <v/>
      </c>
      <c r="N32" s="19" t="str">
        <f>IFERROR(__xludf.DUMMYFUNCTION("IFNA(REGEXEXTRACT(E32, ""\d{1,2}""),"""")"),"")</f>
        <v/>
      </c>
      <c r="O32" s="20" t="b">
        <f t="shared" si="3"/>
        <v>0</v>
      </c>
    </row>
    <row r="33">
      <c r="A33" s="9" t="s">
        <v>436</v>
      </c>
      <c r="B33" s="9" t="str">
        <f t="shared" si="1"/>
        <v>1 Кор.</v>
      </c>
      <c r="C33" s="11" t="str">
        <f t="shared" si="2"/>
        <v>163</v>
      </c>
      <c r="D33" s="9"/>
      <c r="E33" s="27" t="s">
        <v>430</v>
      </c>
      <c r="F33" s="14"/>
      <c r="G33" s="15" t="s">
        <v>70</v>
      </c>
      <c r="H33" s="16" t="s">
        <v>71</v>
      </c>
      <c r="I33" s="23" t="s">
        <v>71</v>
      </c>
      <c r="J33" s="17"/>
      <c r="K33" s="16" t="s">
        <v>71</v>
      </c>
      <c r="L33" s="18" t="str">
        <f>IFNA( VLOOKUP(LEFT(E33, IFERROR(FIND(" ", E33, 1),1) - 1), lists!$A$31:$B$37, 2, FALSE),"")</f>
        <v/>
      </c>
      <c r="M33" s="18" t="str">
        <f>IFERROR(__xludf.DUMMYFUNCTION("IFNA(VLOOKUP(IFNA(REGEXEXTRACT(E33, ""(Пасхи|50-ці|посту)""),""""),lists!$A$39:$B$41,2,FALSE),"""")"),"")</f>
        <v/>
      </c>
      <c r="N33" s="19" t="str">
        <f>IFERROR(__xludf.DUMMYFUNCTION("IFNA(REGEXEXTRACT(E33, ""\d{1,2}""),"""")"),"")</f>
        <v/>
      </c>
      <c r="O33" s="20" t="b">
        <f t="shared" si="3"/>
        <v>0</v>
      </c>
    </row>
    <row r="34">
      <c r="A34" s="12" t="s">
        <v>446</v>
      </c>
      <c r="B34" s="9" t="str">
        <f t="shared" si="1"/>
        <v>2 Кор.</v>
      </c>
      <c r="C34" s="11" t="str">
        <f t="shared" si="2"/>
        <v>167</v>
      </c>
      <c r="D34" s="26" t="s">
        <v>22</v>
      </c>
      <c r="E34" s="21" t="s">
        <v>447</v>
      </c>
      <c r="F34" s="14"/>
      <c r="G34" s="15" t="s">
        <v>70</v>
      </c>
      <c r="H34" s="16" t="s">
        <v>71</v>
      </c>
      <c r="I34" s="23" t="s">
        <v>71</v>
      </c>
      <c r="J34" s="17"/>
      <c r="K34" s="16" t="s">
        <v>71</v>
      </c>
      <c r="L34" s="18" t="str">
        <f>IFNA( VLOOKUP(LEFT(E34, IFERROR(FIND(" ", E34, 1),1) - 1), lists!$A$31:$B$37, 2, FALSE),"")</f>
        <v/>
      </c>
      <c r="M34" s="18" t="str">
        <f>IFERROR(__xludf.DUMMYFUNCTION("IFNA(VLOOKUP(IFNA(REGEXEXTRACT(E34, ""(Пасхи|50-ці|посту)""),""""),lists!$A$39:$B$41,2,FALSE),"""")"),"")</f>
        <v/>
      </c>
      <c r="N34" s="19" t="str">
        <f>IFERROR(__xludf.DUMMYFUNCTION("IFNA(REGEXEXTRACT(E34, ""\d{1,2}""),"""")"),"")</f>
        <v/>
      </c>
      <c r="O34" s="20" t="b">
        <f t="shared" si="3"/>
        <v>0</v>
      </c>
    </row>
    <row r="35">
      <c r="A35" s="9" t="s">
        <v>458</v>
      </c>
      <c r="B35" s="9" t="str">
        <f t="shared" si="1"/>
        <v>2 Кор.</v>
      </c>
      <c r="C35" s="11" t="str">
        <f t="shared" si="2"/>
        <v>173</v>
      </c>
      <c r="D35" s="9"/>
      <c r="E35" s="25" t="s">
        <v>459</v>
      </c>
      <c r="F35" s="14"/>
      <c r="G35" s="15" t="s">
        <v>70</v>
      </c>
      <c r="H35" s="16" t="s">
        <v>29</v>
      </c>
      <c r="I35" s="23" t="s">
        <v>337</v>
      </c>
      <c r="J35" s="17"/>
      <c r="K35" s="16">
        <v>3.0</v>
      </c>
      <c r="L35" s="18">
        <f>IFNA( VLOOKUP(LEFT(E35, IFERROR(FIND(" ", E35, 1),1) - 1), lists!$A$31:$B$37, 2, FALSE),"")</f>
        <v>3</v>
      </c>
      <c r="M35" s="18" t="str">
        <f>IFERROR(__xludf.DUMMYFUNCTION("IFNA(VLOOKUP(IFNA(REGEXEXTRACT(E35, ""(Пасхи|50-ці|посту)""),""""),lists!$A$39:$B$41,2,FALSE),"""")"),"pentecost")</f>
        <v>pentecost</v>
      </c>
      <c r="N35" s="19" t="str">
        <f>IFERROR(__xludf.DUMMYFUNCTION("IFNA(REGEXEXTRACT(E35, ""\d{1,2}""),"""")"),"11")</f>
        <v>11</v>
      </c>
      <c r="O35" s="20" t="b">
        <f t="shared" si="3"/>
        <v>0</v>
      </c>
    </row>
    <row r="36">
      <c r="A36" s="9" t="s">
        <v>464</v>
      </c>
      <c r="B36" s="9" t="str">
        <f t="shared" si="1"/>
        <v>2 Кор.</v>
      </c>
      <c r="C36" s="11" t="str">
        <f t="shared" si="2"/>
        <v>176</v>
      </c>
      <c r="D36" s="9"/>
      <c r="E36" s="27" t="s">
        <v>852</v>
      </c>
      <c r="F36" s="14"/>
      <c r="G36" s="15" t="s">
        <v>70</v>
      </c>
      <c r="H36" s="16" t="s">
        <v>29</v>
      </c>
      <c r="I36" s="23" t="s">
        <v>365</v>
      </c>
      <c r="J36" s="17"/>
      <c r="K36" s="16">
        <v>7.0</v>
      </c>
      <c r="L36" s="18">
        <f>IFNA( VLOOKUP(LEFT(E36, IFERROR(FIND(" ", E36, 1),1) - 1), lists!$A$31:$B$37, 2, FALSE),"")</f>
        <v>7</v>
      </c>
      <c r="M36" s="18" t="str">
        <f>IFERROR(__xludf.DUMMYFUNCTION("IFNA(VLOOKUP(IFNA(REGEXEXTRACT(E36, ""(Пасхи|50-ці|посту)""),""""),lists!$A$39:$B$41,2,FALSE),"""")"),"pentecost")</f>
        <v>pentecost</v>
      </c>
      <c r="N36" s="19" t="str">
        <f>IFERROR(__xludf.DUMMYFUNCTION("IFNA(REGEXEXTRACT(E36, ""\d{1,2}""),"""")"),"15")</f>
        <v>15</v>
      </c>
      <c r="O36" s="20" t="b">
        <f t="shared" si="3"/>
        <v>0</v>
      </c>
    </row>
    <row r="37">
      <c r="A37" s="9" t="s">
        <v>468</v>
      </c>
      <c r="B37" s="9" t="str">
        <f t="shared" si="1"/>
        <v>2 Кор.</v>
      </c>
      <c r="C37" s="11" t="str">
        <f t="shared" si="2"/>
        <v>178</v>
      </c>
      <c r="D37" s="9"/>
      <c r="E37" s="21" t="s">
        <v>469</v>
      </c>
      <c r="F37" s="14"/>
      <c r="G37" s="15" t="s">
        <v>70</v>
      </c>
      <c r="H37" s="16" t="s">
        <v>29</v>
      </c>
      <c r="I37" s="23" t="s">
        <v>470</v>
      </c>
      <c r="J37" s="17"/>
      <c r="K37" s="16">
        <v>6.0</v>
      </c>
      <c r="L37" s="18">
        <f>IFNA( VLOOKUP(LEFT(E37, IFERROR(FIND(" ", E37, 1),1) - 1), lists!$A$31:$B$37, 2, FALSE),"")</f>
        <v>6</v>
      </c>
      <c r="M37" s="18" t="str">
        <f>IFERROR(__xludf.DUMMYFUNCTION("IFNA(VLOOKUP(IFNA(REGEXEXTRACT(E37, ""(Пасхи|50-ці|посту)""),""""),lists!$A$39:$B$41,2,FALSE),"""")"),"pentecost")</f>
        <v>pentecost</v>
      </c>
      <c r="N37" s="19" t="str">
        <f>IFERROR(__xludf.DUMMYFUNCTION("IFNA(REGEXEXTRACT(E37, ""\d{1,2}""),"""")"),"22")</f>
        <v>22</v>
      </c>
      <c r="O37" s="20" t="b">
        <f t="shared" si="3"/>
        <v>0</v>
      </c>
    </row>
    <row r="38">
      <c r="A38" s="9" t="s">
        <v>475</v>
      </c>
      <c r="B38" s="9" t="str">
        <f t="shared" si="1"/>
        <v>2 Кор.</v>
      </c>
      <c r="C38" s="11" t="str">
        <f t="shared" si="2"/>
        <v>181</v>
      </c>
      <c r="D38" s="9"/>
      <c r="E38" s="13" t="s">
        <v>476</v>
      </c>
      <c r="F38" s="14"/>
      <c r="G38" s="15" t="s">
        <v>70</v>
      </c>
      <c r="H38" s="16" t="s">
        <v>29</v>
      </c>
      <c r="I38" s="23" t="s">
        <v>399</v>
      </c>
      <c r="J38" s="17"/>
      <c r="K38" s="16">
        <v>7.0</v>
      </c>
      <c r="L38" s="18">
        <f>IFNA( VLOOKUP(LEFT(E38, IFERROR(FIND(" ", E38, 1),1) - 1), lists!$A$31:$B$37, 2, FALSE),"")</f>
        <v>7</v>
      </c>
      <c r="M38" s="18" t="str">
        <f>IFERROR(__xludf.DUMMYFUNCTION("IFNA(VLOOKUP(IFNA(REGEXEXTRACT(E38, ""(Пасхи|50-ці|посту)""),""""),lists!$A$39:$B$41,2,FALSE),"""")"),"pentecost")</f>
        <v>pentecost</v>
      </c>
      <c r="N38" s="19" t="str">
        <f>IFERROR(__xludf.DUMMYFUNCTION("IFNA(REGEXEXTRACT(E38, ""\d{1,2}""),"""")"),"16")</f>
        <v>16</v>
      </c>
      <c r="O38" s="20" t="b">
        <f t="shared" si="3"/>
        <v>0</v>
      </c>
    </row>
    <row r="39">
      <c r="A39" s="9" t="s">
        <v>503</v>
      </c>
      <c r="B39" s="9" t="str">
        <f t="shared" si="1"/>
        <v>2 Кор.</v>
      </c>
      <c r="C39" s="11" t="str">
        <f t="shared" si="2"/>
        <v>193</v>
      </c>
      <c r="D39" s="9"/>
      <c r="E39" s="21" t="s">
        <v>504</v>
      </c>
      <c r="F39" s="14"/>
      <c r="G39" s="15" t="s">
        <v>70</v>
      </c>
      <c r="H39" s="16" t="s">
        <v>71</v>
      </c>
      <c r="I39" s="23"/>
      <c r="J39" s="17"/>
      <c r="K39" s="16" t="s">
        <v>71</v>
      </c>
      <c r="L39" s="18" t="str">
        <f>IFNA( VLOOKUP(LEFT(E39, IFERROR(FIND(" ", E39, 1),1) - 1), lists!$A$31:$B$37, 2, FALSE),"")</f>
        <v/>
      </c>
      <c r="M39" s="18" t="str">
        <f>IFERROR(__xludf.DUMMYFUNCTION("IFNA(VLOOKUP(IFNA(REGEXEXTRACT(E39, ""(Пасхи|50-ці|посту)""),""""),lists!$A$39:$B$41,2,FALSE),"""")"),"")</f>
        <v/>
      </c>
      <c r="N39" s="19" t="str">
        <f>IFERROR(__xludf.DUMMYFUNCTION("IFNA(REGEXEXTRACT(E39, ""\d{1,2}""),"""")"),"29")</f>
        <v>29</v>
      </c>
      <c r="O39" s="20" t="b">
        <f t="shared" si="3"/>
        <v>0</v>
      </c>
    </row>
    <row r="40">
      <c r="A40" s="9" t="s">
        <v>518</v>
      </c>
      <c r="B40" s="9" t="str">
        <f t="shared" si="1"/>
        <v>Гал.</v>
      </c>
      <c r="C40" s="11" t="str">
        <f t="shared" si="2"/>
        <v>200</v>
      </c>
      <c r="D40" s="9"/>
      <c r="E40" s="21" t="s">
        <v>853</v>
      </c>
      <c r="F40" s="25" t="s">
        <v>520</v>
      </c>
      <c r="G40" s="15" t="s">
        <v>70</v>
      </c>
      <c r="H40" s="16" t="s">
        <v>29</v>
      </c>
      <c r="I40" s="23" t="s">
        <v>161</v>
      </c>
      <c r="J40" s="17"/>
      <c r="K40" s="16">
        <v>7.0</v>
      </c>
      <c r="L40" s="18">
        <f>IFNA( VLOOKUP(LEFT(E40, IFERROR(FIND(" ", E40, 1),1) - 1), lists!$A$31:$B$37, 2, FALSE),"")</f>
        <v>7</v>
      </c>
      <c r="M40" s="18" t="str">
        <f>IFERROR(__xludf.DUMMYFUNCTION("IFNA(VLOOKUP(IFNA(REGEXEXTRACT(E40, ""(Пасхи|50-ці|посту)""),""""),lists!$A$39:$B$41,2,FALSE),"""")"),"pentecost")</f>
        <v>pentecost</v>
      </c>
      <c r="N40" s="19" t="str">
        <f>IFERROR(__xludf.DUMMYFUNCTION("IFNA(REGEXEXTRACT(E40, ""\d{1,2}""),"""")"),"20")</f>
        <v>20</v>
      </c>
      <c r="O40" s="20" t="b">
        <f t="shared" si="3"/>
        <v>0</v>
      </c>
    </row>
    <row r="41">
      <c r="A41" s="9" t="s">
        <v>524</v>
      </c>
      <c r="B41" s="9" t="str">
        <f t="shared" si="1"/>
        <v>Гал.</v>
      </c>
      <c r="C41" s="11" t="str">
        <f t="shared" si="2"/>
        <v>203</v>
      </c>
      <c r="D41" s="9"/>
      <c r="E41" s="27" t="s">
        <v>854</v>
      </c>
      <c r="F41" s="14"/>
      <c r="G41" s="15" t="s">
        <v>70</v>
      </c>
      <c r="H41" s="16" t="s">
        <v>29</v>
      </c>
      <c r="I41" s="23" t="s">
        <v>138</v>
      </c>
      <c r="J41" s="17"/>
      <c r="K41" s="16">
        <v>7.0</v>
      </c>
      <c r="L41" s="18">
        <f>IFNA( VLOOKUP(LEFT(E41, IFERROR(FIND(" ", E41, 1),1) - 1), lists!$A$31:$B$37, 2, FALSE),"")</f>
        <v>7</v>
      </c>
      <c r="M41" s="18" t="str">
        <f>IFERROR(__xludf.DUMMYFUNCTION("IFNA(VLOOKUP(IFNA(REGEXEXTRACT(E41, ""(Пасхи|50-ці|посту)""),""""),lists!$A$39:$B$41,2,FALSE),"""")"),"pentecost")</f>
        <v>pentecost</v>
      </c>
      <c r="N41" s="19" t="str">
        <f>IFERROR(__xludf.DUMMYFUNCTION("IFNA(REGEXEXTRACT(E41, ""\d{1,2}""),"""")"),"21")</f>
        <v>21</v>
      </c>
      <c r="O41" s="20" t="b">
        <f t="shared" si="3"/>
        <v>0</v>
      </c>
    </row>
    <row r="42">
      <c r="A42" s="9" t="s">
        <v>528</v>
      </c>
      <c r="B42" s="9" t="str">
        <f t="shared" si="1"/>
        <v>Гал.</v>
      </c>
      <c r="C42" s="11" t="str">
        <f t="shared" si="2"/>
        <v>205</v>
      </c>
      <c r="D42" s="9"/>
      <c r="E42" s="27" t="s">
        <v>529</v>
      </c>
      <c r="F42" s="14"/>
      <c r="G42" s="15" t="s">
        <v>70</v>
      </c>
      <c r="H42" s="16" t="s">
        <v>29</v>
      </c>
      <c r="I42" s="23" t="s">
        <v>208</v>
      </c>
      <c r="J42" s="17"/>
      <c r="K42" s="16">
        <v>6.0</v>
      </c>
      <c r="L42" s="18">
        <f>IFNA( VLOOKUP(LEFT(E42, IFERROR(FIND(" ", E42, 1),1) - 1), lists!$A$31:$B$37, 2, FALSE),"")</f>
        <v>6</v>
      </c>
      <c r="M42" s="18" t="str">
        <f>IFERROR(__xludf.DUMMYFUNCTION("IFNA(VLOOKUP(IFNA(REGEXEXTRACT(E42, ""(Пасхи|50-ці|посту)""),""""),lists!$A$39:$B$41,2,FALSE),"""")"),"")</f>
        <v/>
      </c>
      <c r="N42" s="19" t="str">
        <f>IFERROR(__xludf.DUMMYFUNCTION("IFNA(REGEXEXTRACT(E42, ""\d{1,2}""),"""")"),"26")</f>
        <v>26</v>
      </c>
      <c r="O42" s="20" t="b">
        <f t="shared" si="3"/>
        <v>0</v>
      </c>
    </row>
    <row r="43">
      <c r="A43" s="9" t="s">
        <v>530</v>
      </c>
      <c r="B43" s="9" t="str">
        <f t="shared" si="1"/>
        <v>Гал.</v>
      </c>
      <c r="C43" s="11" t="str">
        <f t="shared" si="2"/>
        <v>206</v>
      </c>
      <c r="D43" s="9"/>
      <c r="E43" s="27" t="s">
        <v>531</v>
      </c>
      <c r="F43" s="25"/>
      <c r="G43" s="15" t="s">
        <v>532</v>
      </c>
      <c r="H43" s="16" t="s">
        <v>71</v>
      </c>
      <c r="I43" s="23" t="s">
        <v>71</v>
      </c>
      <c r="J43" s="17"/>
      <c r="K43" s="16" t="s">
        <v>71</v>
      </c>
      <c r="L43" s="18" t="str">
        <f>IFNA( VLOOKUP(LEFT(E43, IFERROR(FIND(" ", E43, 1),1) - 1), lists!$A$31:$B$37, 2, FALSE),"")</f>
        <v/>
      </c>
      <c r="M43" s="18" t="str">
        <f>IFERROR(__xludf.DUMMYFUNCTION("IFNA(VLOOKUP(IFNA(REGEXEXTRACT(E43, ""(Пасхи|50-ці|посту)""),""""),lists!$A$39:$B$41,2,FALSE),"""")"),"")</f>
        <v/>
      </c>
      <c r="N43" s="19" t="str">
        <f>IFERROR(__xludf.DUMMYFUNCTION("IFNA(REGEXEXTRACT(E43, ""\d{1,2}""),"""")"),"")</f>
        <v/>
      </c>
      <c r="O43" s="20" t="b">
        <f t="shared" si="3"/>
        <v>0</v>
      </c>
    </row>
    <row r="44">
      <c r="A44" s="9" t="s">
        <v>537</v>
      </c>
      <c r="B44" s="9" t="str">
        <f t="shared" si="1"/>
        <v>Гал.</v>
      </c>
      <c r="C44" s="11" t="str">
        <f t="shared" si="2"/>
        <v>208</v>
      </c>
      <c r="D44" s="12" t="s">
        <v>22</v>
      </c>
      <c r="E44" s="21" t="s">
        <v>538</v>
      </c>
      <c r="F44" s="14"/>
      <c r="G44" s="15" t="s">
        <v>70</v>
      </c>
      <c r="H44" s="16" t="s">
        <v>71</v>
      </c>
      <c r="I44" s="23" t="s">
        <v>71</v>
      </c>
      <c r="J44" s="17"/>
      <c r="K44" s="16" t="s">
        <v>71</v>
      </c>
      <c r="L44" s="18" t="str">
        <f>IFNA( VLOOKUP(LEFT(E44, IFERROR(FIND(" ", E44, 1),1) - 1), lists!$A$31:$B$37, 2, FALSE),"")</f>
        <v/>
      </c>
      <c r="M44" s="18" t="str">
        <f>IFERROR(__xludf.DUMMYFUNCTION("IFNA(VLOOKUP(IFNA(REGEXEXTRACT(E44, ""(Пасхи|50-ці|посту)""),""""),lists!$A$39:$B$41,2,FALSE),"""")"),"")</f>
        <v/>
      </c>
      <c r="N44" s="19" t="str">
        <f>IFERROR(__xludf.DUMMYFUNCTION("IFNA(REGEXEXTRACT(E44, ""\d{1,2}""),"""")"),"")</f>
        <v/>
      </c>
      <c r="O44" s="20" t="b">
        <f t="shared" si="3"/>
        <v>0</v>
      </c>
    </row>
    <row r="45">
      <c r="A45" s="9" t="s">
        <v>539</v>
      </c>
      <c r="B45" s="9" t="str">
        <f t="shared" si="1"/>
        <v>Гал.</v>
      </c>
      <c r="C45" s="11" t="str">
        <f t="shared" si="2"/>
        <v>209</v>
      </c>
      <c r="D45" s="9"/>
      <c r="E45" s="21" t="s">
        <v>540</v>
      </c>
      <c r="F45" s="14"/>
      <c r="G45" s="15" t="s">
        <v>70</v>
      </c>
      <c r="H45" s="16" t="s">
        <v>71</v>
      </c>
      <c r="I45" s="23" t="s">
        <v>71</v>
      </c>
      <c r="J45" s="17"/>
      <c r="K45" s="16" t="s">
        <v>71</v>
      </c>
      <c r="L45" s="18" t="str">
        <f>IFNA( VLOOKUP(LEFT(E45, IFERROR(FIND(" ", E45, 1),1) - 1), lists!$A$31:$B$37, 2, FALSE),"")</f>
        <v/>
      </c>
      <c r="M45" s="18" t="str">
        <f>IFERROR(__xludf.DUMMYFUNCTION("IFNA(VLOOKUP(IFNA(REGEXEXTRACT(E45, ""(Пасхи|50-ці|посту)""),""""),lists!$A$39:$B$41,2,FALSE),"""")"),"")</f>
        <v/>
      </c>
      <c r="N45" s="19" t="str">
        <f>IFERROR(__xludf.DUMMYFUNCTION("IFNA(REGEXEXTRACT(E45, ""\d{1,2}""),"""")"),"")</f>
        <v/>
      </c>
      <c r="O45" s="20" t="b">
        <f t="shared" si="3"/>
        <v>0</v>
      </c>
    </row>
    <row r="46">
      <c r="A46" s="9" t="s">
        <v>543</v>
      </c>
      <c r="B46" s="9" t="str">
        <f t="shared" si="1"/>
        <v>Гал.</v>
      </c>
      <c r="C46" s="11" t="str">
        <f t="shared" si="2"/>
        <v>210</v>
      </c>
      <c r="D46" s="12" t="s">
        <v>22</v>
      </c>
      <c r="E46" s="21" t="s">
        <v>544</v>
      </c>
      <c r="F46" s="14"/>
      <c r="G46" s="15" t="s">
        <v>70</v>
      </c>
      <c r="H46" s="16" t="s">
        <v>71</v>
      </c>
      <c r="I46" s="23" t="s">
        <v>315</v>
      </c>
      <c r="J46" s="17"/>
      <c r="K46" s="16" t="s">
        <v>71</v>
      </c>
      <c r="L46" s="18" t="str">
        <f>IFNA( VLOOKUP(LEFT(E46, IFERROR(FIND(" ", E46, 1),1) - 1), lists!$A$31:$B$37, 2, FALSE),"")</f>
        <v/>
      </c>
      <c r="M46" s="18" t="str">
        <f>IFERROR(__xludf.DUMMYFUNCTION("IFNA(VLOOKUP(IFNA(REGEXEXTRACT(E46, ""(Пасхи|50-ці|посту)""),""""),lists!$A$39:$B$41,2,FALSE),"""")"),"")</f>
        <v/>
      </c>
      <c r="N46" s="19" t="str">
        <f>IFERROR(__xludf.DUMMYFUNCTION("IFNA(REGEXEXTRACT(E46, ""\d{1,2}""),"""")"),"9")</f>
        <v>9</v>
      </c>
      <c r="O46" s="20" t="b">
        <f t="shared" si="3"/>
        <v>0</v>
      </c>
    </row>
    <row r="47">
      <c r="A47" s="12" t="s">
        <v>545</v>
      </c>
      <c r="B47" s="9" t="str">
        <f t="shared" si="1"/>
        <v>Гал.</v>
      </c>
      <c r="C47" s="11" t="str">
        <f t="shared" si="2"/>
        <v>210</v>
      </c>
      <c r="D47" s="12" t="s">
        <v>116</v>
      </c>
      <c r="E47" s="25" t="s">
        <v>546</v>
      </c>
      <c r="F47" s="14"/>
      <c r="G47" s="15" t="s">
        <v>70</v>
      </c>
      <c r="H47" s="16" t="s">
        <v>71</v>
      </c>
      <c r="I47" s="23" t="s">
        <v>71</v>
      </c>
      <c r="J47" s="17"/>
      <c r="K47" s="16" t="s">
        <v>71</v>
      </c>
      <c r="L47" s="18" t="str">
        <f>IFNA( VLOOKUP(LEFT(E47, IFERROR(FIND(" ", E47, 1),1) - 1), lists!$A$31:$B$37, 2, FALSE),"")</f>
        <v/>
      </c>
      <c r="M47" s="18" t="str">
        <f>IFERROR(__xludf.DUMMYFUNCTION("IFNA(VLOOKUP(IFNA(REGEXEXTRACT(E47, ""(Пасхи|50-ці|посту)""),""""),lists!$A$39:$B$41,2,FALSE),"""")"),"")</f>
        <v/>
      </c>
      <c r="N47" s="19" t="str">
        <f>IFERROR(__xludf.DUMMYFUNCTION("IFNA(REGEXEXTRACT(E47, ""\d{1,2}""),"""")"),"")</f>
        <v/>
      </c>
      <c r="O47" s="20" t="b">
        <f t="shared" si="3"/>
        <v>0</v>
      </c>
    </row>
    <row r="48">
      <c r="A48" s="9" t="s">
        <v>551</v>
      </c>
      <c r="B48" s="9" t="str">
        <f t="shared" si="1"/>
        <v>Гал.</v>
      </c>
      <c r="C48" s="11" t="str">
        <f t="shared" si="2"/>
        <v>213</v>
      </c>
      <c r="D48" s="9"/>
      <c r="E48" s="27" t="s">
        <v>552</v>
      </c>
      <c r="F48" s="14"/>
      <c r="G48" s="15" t="s">
        <v>70</v>
      </c>
      <c r="H48" s="16" t="s">
        <v>29</v>
      </c>
      <c r="I48" s="23" t="s">
        <v>553</v>
      </c>
      <c r="J48" s="17"/>
      <c r="K48" s="16">
        <v>6.0</v>
      </c>
      <c r="L48" s="18">
        <f>IFNA( VLOOKUP(LEFT(E48, IFERROR(FIND(" ", E48, 1),1) - 1), lists!$A$31:$B$37, 2, FALSE),"")</f>
        <v>6</v>
      </c>
      <c r="M48" s="18" t="str">
        <f>IFERROR(__xludf.DUMMYFUNCTION("IFNA(VLOOKUP(IFNA(REGEXEXTRACT(E48, ""(Пасхи|50-ці|посту)""),""""),lists!$A$39:$B$41,2,FALSE),"""")"),"pentecost")</f>
        <v>pentecost</v>
      </c>
      <c r="N48" s="19" t="str">
        <f>IFERROR(__xludf.DUMMYFUNCTION("IFNA(REGEXEXTRACT(E48, ""\d{1,2}""),"""")"),"27")</f>
        <v>27</v>
      </c>
      <c r="O48" s="20" t="b">
        <f t="shared" si="3"/>
        <v>0</v>
      </c>
    </row>
    <row r="49">
      <c r="A49" s="9" t="s">
        <v>558</v>
      </c>
      <c r="B49" s="9" t="str">
        <f t="shared" si="1"/>
        <v>Гал.</v>
      </c>
      <c r="C49" s="11" t="str">
        <f t="shared" si="2"/>
        <v>215</v>
      </c>
      <c r="D49" s="26" t="s">
        <v>22</v>
      </c>
      <c r="E49" s="27" t="s">
        <v>559</v>
      </c>
      <c r="F49" s="14"/>
      <c r="G49" s="15" t="s">
        <v>532</v>
      </c>
      <c r="H49" s="16" t="s">
        <v>71</v>
      </c>
      <c r="I49" s="23" t="s">
        <v>166</v>
      </c>
      <c r="J49" s="17"/>
      <c r="K49" s="16" t="s">
        <v>71</v>
      </c>
      <c r="L49" s="18" t="str">
        <f>IFNA( VLOOKUP(LEFT(E49, IFERROR(FIND(" ", E49, 1),1) - 1), lists!$A$31:$B$37, 2, FALSE),"")</f>
        <v/>
      </c>
      <c r="M49" s="18" t="str">
        <f>IFERROR(__xludf.DUMMYFUNCTION("IFNA(VLOOKUP(IFNA(REGEXEXTRACT(E49, ""(Пасхи|50-ці|посту)""),""""),lists!$A$39:$B$41,2,FALSE),"""")"),"")</f>
        <v/>
      </c>
      <c r="N49" s="19" t="str">
        <f>IFERROR(__xludf.DUMMYFUNCTION("IFNA(REGEXEXTRACT(E49, ""\d{1,2}""),"""")"),"1")</f>
        <v>1</v>
      </c>
      <c r="O49" s="20" t="b">
        <f t="shared" si="3"/>
        <v>0</v>
      </c>
    </row>
    <row r="50">
      <c r="A50" s="9" t="s">
        <v>581</v>
      </c>
      <c r="B50" s="9" t="str">
        <f t="shared" si="1"/>
        <v>Еф.</v>
      </c>
      <c r="C50" s="11" t="str">
        <f t="shared" si="2"/>
        <v>224</v>
      </c>
      <c r="D50" s="12" t="s">
        <v>22</v>
      </c>
      <c r="E50" s="27" t="s">
        <v>582</v>
      </c>
      <c r="F50" s="14"/>
      <c r="G50" s="15" t="s">
        <v>70</v>
      </c>
      <c r="H50" s="16" t="s">
        <v>71</v>
      </c>
      <c r="I50" s="23" t="s">
        <v>71</v>
      </c>
      <c r="J50" s="17"/>
      <c r="K50" s="16">
        <v>7.0</v>
      </c>
      <c r="L50" s="18">
        <f>IFNA( VLOOKUP(LEFT(E50, IFERROR(FIND(" ", E50, 1),1) - 1), lists!$A$31:$B$37, 2, FALSE),"")</f>
        <v>7</v>
      </c>
      <c r="M50" s="18" t="str">
        <f>IFERROR(__xludf.DUMMYFUNCTION("IFNA(VLOOKUP(IFNA(REGEXEXTRACT(E50, ""(Пасхи|50-ці|посту)""),""""),lists!$A$39:$B$41,2,FALSE),"""")"),"")</f>
        <v/>
      </c>
      <c r="N50" s="19" t="str">
        <f>IFERROR(__xludf.DUMMYFUNCTION("IFNA(REGEXEXTRACT(E50, ""\d{1,2}""),"""")"),"")</f>
        <v/>
      </c>
      <c r="O50" s="20" t="b">
        <f t="shared" si="3"/>
        <v>0</v>
      </c>
    </row>
    <row r="51">
      <c r="A51" s="9" t="s">
        <v>600</v>
      </c>
      <c r="B51" s="9" t="str">
        <f t="shared" si="1"/>
        <v>Еф.</v>
      </c>
      <c r="C51" s="11" t="str">
        <f t="shared" si="2"/>
        <v>233</v>
      </c>
      <c r="D51" s="9"/>
      <c r="E51" s="25" t="s">
        <v>601</v>
      </c>
      <c r="F51" s="14"/>
      <c r="G51" s="15" t="s">
        <v>70</v>
      </c>
      <c r="H51" s="16" t="s">
        <v>29</v>
      </c>
      <c r="I51" s="23" t="s">
        <v>553</v>
      </c>
      <c r="J51" s="17"/>
      <c r="K51" s="16">
        <v>7.0</v>
      </c>
      <c r="L51" s="18">
        <f>IFNA( VLOOKUP(LEFT(E51, IFERROR(FIND(" ", E51, 1),1) - 1), lists!$A$31:$B$37, 2, FALSE),"")</f>
        <v>7</v>
      </c>
      <c r="M51" s="18" t="str">
        <f>IFERROR(__xludf.DUMMYFUNCTION("IFNA(VLOOKUP(IFNA(REGEXEXTRACT(E51, ""(Пасхи|50-ці|посту)""),""""),lists!$A$39:$B$41,2,FALSE),"""")"),"pentecost")</f>
        <v>pentecost</v>
      </c>
      <c r="N51" s="19" t="str">
        <f>IFERROR(__xludf.DUMMYFUNCTION("IFNA(REGEXEXTRACT(E51, ""\d{1,2}""),"""")"),"27")</f>
        <v>27</v>
      </c>
      <c r="O51" s="20" t="b">
        <f t="shared" si="3"/>
        <v>0</v>
      </c>
    </row>
    <row r="52">
      <c r="A52" s="9" t="s">
        <v>614</v>
      </c>
      <c r="B52" s="9" t="str">
        <f t="shared" si="1"/>
        <v>Флп.</v>
      </c>
      <c r="C52" s="11" t="str">
        <f t="shared" si="2"/>
        <v>240</v>
      </c>
      <c r="D52" s="9"/>
      <c r="E52" s="21" t="s">
        <v>615</v>
      </c>
      <c r="F52" s="14"/>
      <c r="G52" s="15" t="s">
        <v>70</v>
      </c>
      <c r="H52" s="16" t="s">
        <v>71</v>
      </c>
      <c r="I52" s="23" t="s">
        <v>71</v>
      </c>
      <c r="J52" s="17"/>
      <c r="K52" s="16" t="s">
        <v>71</v>
      </c>
      <c r="L52" s="18" t="str">
        <f>IFNA( VLOOKUP(LEFT(E52, IFERROR(FIND(" ", E52, 1),1) - 1), lists!$A$31:$B$37, 2, FALSE),"")</f>
        <v/>
      </c>
      <c r="M52" s="18" t="str">
        <f>IFERROR(__xludf.DUMMYFUNCTION("IFNA(VLOOKUP(IFNA(REGEXEXTRACT(E52, ""(Пасхи|50-ці|посту)""),""""),lists!$A$39:$B$41,2,FALSE),"""")"),"")</f>
        <v/>
      </c>
      <c r="N52" s="19" t="str">
        <f>IFERROR(__xludf.DUMMYFUNCTION("IFNA(REGEXEXTRACT(E52, ""\d{1,2}""),"""")"),"")</f>
        <v/>
      </c>
      <c r="O52" s="20" t="b">
        <f t="shared" si="3"/>
        <v>0</v>
      </c>
    </row>
    <row r="53">
      <c r="A53" s="12" t="s">
        <v>626</v>
      </c>
      <c r="B53" s="9" t="str">
        <f t="shared" si="1"/>
        <v>Флп.</v>
      </c>
      <c r="C53" s="11" t="str">
        <f t="shared" si="2"/>
        <v>246</v>
      </c>
      <c r="D53" s="9"/>
      <c r="E53" s="21" t="s">
        <v>627</v>
      </c>
      <c r="F53" s="14"/>
      <c r="G53" s="15" t="s">
        <v>70</v>
      </c>
      <c r="H53" s="16" t="s">
        <v>71</v>
      </c>
      <c r="I53" s="23" t="s">
        <v>71</v>
      </c>
      <c r="J53" s="17"/>
      <c r="K53" s="16" t="s">
        <v>71</v>
      </c>
      <c r="L53" s="18" t="str">
        <f>IFNA( VLOOKUP(LEFT(E53, IFERROR(FIND(" ", E53, 1),1) - 1), lists!$A$31:$B$37, 2, FALSE),"")</f>
        <v/>
      </c>
      <c r="M53" s="18" t="str">
        <f>IFERROR(__xludf.DUMMYFUNCTION("IFNA(VLOOKUP(IFNA(REGEXEXTRACT(E53, ""(Пасхи|50-ці|посту)""),""""),lists!$A$39:$B$41,2,FALSE),"""")"),"")</f>
        <v/>
      </c>
      <c r="N53" s="19" t="str">
        <f>IFERROR(__xludf.DUMMYFUNCTION("IFNA(REGEXEXTRACT(E53, ""\d{1,2}""),"""")"),"")</f>
        <v/>
      </c>
      <c r="O53" s="20" t="b">
        <f t="shared" si="3"/>
        <v>0</v>
      </c>
    </row>
    <row r="54">
      <c r="A54" s="9" t="s">
        <v>644</v>
      </c>
      <c r="B54" s="9" t="str">
        <f t="shared" si="1"/>
        <v>Кол.</v>
      </c>
      <c r="C54" s="11" t="str">
        <f t="shared" si="2"/>
        <v>254</v>
      </c>
      <c r="D54" s="9"/>
      <c r="E54" s="21" t="s">
        <v>645</v>
      </c>
      <c r="F54" s="14"/>
      <c r="G54" s="15" t="s">
        <v>70</v>
      </c>
      <c r="H54" s="16" t="s">
        <v>71</v>
      </c>
      <c r="I54" s="23" t="s">
        <v>71</v>
      </c>
      <c r="J54" s="17"/>
      <c r="K54" s="16" t="s">
        <v>71</v>
      </c>
      <c r="L54" s="18" t="str">
        <f>IFNA( VLOOKUP(LEFT(E54, IFERROR(FIND(" ", E54, 1),1) - 1), lists!$A$31:$B$37, 2, FALSE),"")</f>
        <v/>
      </c>
      <c r="M54" s="18" t="str">
        <f>IFERROR(__xludf.DUMMYFUNCTION("IFNA(VLOOKUP(IFNA(REGEXEXTRACT(E54, ""(Пасхи|50-ці|посту)""),""""),lists!$A$39:$B$41,2,FALSE),"""")"),"")</f>
        <v/>
      </c>
      <c r="N54" s="19" t="str">
        <f>IFERROR(__xludf.DUMMYFUNCTION("IFNA(REGEXEXTRACT(E54, ""\d{1,2}""),"""")"),"")</f>
        <v/>
      </c>
      <c r="O54" s="20" t="b">
        <f t="shared" si="3"/>
        <v>0</v>
      </c>
    </row>
    <row r="55">
      <c r="A55" s="9" t="s">
        <v>650</v>
      </c>
      <c r="B55" s="9" t="str">
        <f t="shared" si="1"/>
        <v>Кол.</v>
      </c>
      <c r="C55" s="11" t="str">
        <f t="shared" si="2"/>
        <v>257</v>
      </c>
      <c r="D55" s="9"/>
      <c r="E55" s="21" t="s">
        <v>651</v>
      </c>
      <c r="F55" s="25"/>
      <c r="G55" s="15" t="s">
        <v>70</v>
      </c>
      <c r="H55" s="16" t="s">
        <v>29</v>
      </c>
      <c r="I55" s="23" t="s">
        <v>572</v>
      </c>
      <c r="J55" s="17"/>
      <c r="K55" s="16">
        <v>7.0</v>
      </c>
      <c r="L55" s="18">
        <f>IFNA( VLOOKUP(LEFT(E55, IFERROR(FIND(" ", E55, 1),1) - 1), lists!$A$31:$B$37, 2, FALSE),"")</f>
        <v>7</v>
      </c>
      <c r="M55" s="18" t="str">
        <f>IFERROR(__xludf.DUMMYFUNCTION("IFNA(VLOOKUP(IFNA(REGEXEXTRACT(E55, ""(Пасхи|50-ці|посту)""),""""),lists!$A$39:$B$41,2,FALSE),"""")"),"pentecost")</f>
        <v>pentecost</v>
      </c>
      <c r="N55" s="19" t="str">
        <f>IFERROR(__xludf.DUMMYFUNCTION("IFNA(REGEXEXTRACT(E55, ""\d{1,2}""),"""")"),"29")</f>
        <v>29</v>
      </c>
      <c r="O55" s="20" t="b">
        <f t="shared" si="3"/>
        <v>0</v>
      </c>
    </row>
    <row r="56">
      <c r="A56" s="9" t="s">
        <v>652</v>
      </c>
      <c r="B56" s="9" t="str">
        <f t="shared" si="1"/>
        <v>Кол.</v>
      </c>
      <c r="C56" s="11" t="str">
        <f t="shared" si="2"/>
        <v>258</v>
      </c>
      <c r="D56" s="9"/>
      <c r="E56" s="21" t="s">
        <v>653</v>
      </c>
      <c r="F56" s="25"/>
      <c r="G56" s="15" t="s">
        <v>70</v>
      </c>
      <c r="H56" s="16" t="s">
        <v>29</v>
      </c>
      <c r="I56" s="23" t="s">
        <v>591</v>
      </c>
      <c r="J56" s="17"/>
      <c r="K56" s="16">
        <v>7.0</v>
      </c>
      <c r="L56" s="18">
        <f>IFNA( VLOOKUP(LEFT(E56, IFERROR(FIND(" ", E56, 1),1) - 1), lists!$A$31:$B$37, 2, FALSE),"")</f>
        <v>7</v>
      </c>
      <c r="M56" s="18" t="str">
        <f>IFERROR(__xludf.DUMMYFUNCTION("IFNA(VLOOKUP(IFNA(REGEXEXTRACT(E56, ""(Пасхи|50-ці|посту)""),""""),lists!$A$39:$B$41,2,FALSE),"""")"),"pentecost")</f>
        <v>pentecost</v>
      </c>
      <c r="N56" s="19" t="str">
        <f>IFERROR(__xludf.DUMMYFUNCTION("IFNA(REGEXEXTRACT(E56, ""\d{1,2}""),"""")"),"30")</f>
        <v>30</v>
      </c>
      <c r="O56" s="20" t="b">
        <f t="shared" si="3"/>
        <v>0</v>
      </c>
    </row>
    <row r="57">
      <c r="A57" s="9" t="s">
        <v>658</v>
      </c>
      <c r="B57" s="9" t="str">
        <f t="shared" si="1"/>
        <v>Кол.</v>
      </c>
      <c r="C57" s="11" t="str">
        <f t="shared" si="2"/>
        <v>260</v>
      </c>
      <c r="D57" s="12" t="s">
        <v>22</v>
      </c>
      <c r="E57" s="21" t="s">
        <v>659</v>
      </c>
      <c r="F57" s="14"/>
      <c r="G57" s="15" t="s">
        <v>70</v>
      </c>
      <c r="H57" s="16" t="s">
        <v>71</v>
      </c>
      <c r="I57" s="23" t="s">
        <v>71</v>
      </c>
      <c r="J57" s="17"/>
      <c r="K57" s="16" t="s">
        <v>71</v>
      </c>
      <c r="L57" s="18" t="str">
        <f>IFNA( VLOOKUP(LEFT(E57, IFERROR(FIND(" ", E57, 1),1) - 1), lists!$A$31:$B$37, 2, FALSE),"")</f>
        <v/>
      </c>
      <c r="M57" s="18" t="str">
        <f>IFERROR(__xludf.DUMMYFUNCTION("IFNA(VLOOKUP(IFNA(REGEXEXTRACT(E57, ""(Пасхи|50-ці|посту)""),""""),lists!$A$39:$B$41,2,FALSE),"""")"),"")</f>
        <v/>
      </c>
      <c r="N57" s="19" t="str">
        <f>IFERROR(__xludf.DUMMYFUNCTION("IFNA(REGEXEXTRACT(E57, ""\d{1,2}""),"""")"),"")</f>
        <v/>
      </c>
      <c r="O57" s="20" t="b">
        <f t="shared" si="3"/>
        <v>0</v>
      </c>
    </row>
    <row r="58">
      <c r="A58" s="9" t="s">
        <v>678</v>
      </c>
      <c r="B58" s="9" t="str">
        <f t="shared" si="1"/>
        <v>1 Сол.</v>
      </c>
      <c r="C58" s="11" t="str">
        <f t="shared" si="2"/>
        <v>270</v>
      </c>
      <c r="D58" s="9"/>
      <c r="E58" s="27" t="s">
        <v>679</v>
      </c>
      <c r="F58" s="14"/>
      <c r="G58" s="15" t="s">
        <v>70</v>
      </c>
      <c r="H58" s="16" t="s">
        <v>71</v>
      </c>
      <c r="I58" s="23" t="s">
        <v>71</v>
      </c>
      <c r="J58" s="17"/>
      <c r="K58" s="16" t="s">
        <v>71</v>
      </c>
      <c r="L58" s="18" t="str">
        <f>IFNA( VLOOKUP(LEFT(E58, IFERROR(FIND(" ", E58, 1),1) - 1), lists!$A$31:$B$37, 2, FALSE),"")</f>
        <v/>
      </c>
      <c r="M58" s="18" t="str">
        <f>IFERROR(__xludf.DUMMYFUNCTION("IFNA(VLOOKUP(IFNA(REGEXEXTRACT(E58, ""(Пасхи|50-ці|посту)""),""""),lists!$A$39:$B$41,2,FALSE),"""")"),"")</f>
        <v/>
      </c>
      <c r="N58" s="19" t="str">
        <f>IFERROR(__xludf.DUMMYFUNCTION("IFNA(REGEXEXTRACT(E58, ""\d{1,2}""),"""")"),"")</f>
        <v/>
      </c>
      <c r="O58" s="20" t="b">
        <f t="shared" si="3"/>
        <v>0</v>
      </c>
    </row>
    <row r="59">
      <c r="A59" s="9" t="s">
        <v>700</v>
      </c>
      <c r="B59" s="9" t="str">
        <f t="shared" si="1"/>
        <v>1 Тим.</v>
      </c>
      <c r="C59" s="11" t="str">
        <f t="shared" si="2"/>
        <v>280</v>
      </c>
      <c r="D59" s="12" t="s">
        <v>18</v>
      </c>
      <c r="E59" s="13" t="s">
        <v>701</v>
      </c>
      <c r="F59" s="9" t="s">
        <v>702</v>
      </c>
      <c r="G59" s="15" t="s">
        <v>70</v>
      </c>
      <c r="H59" s="16" t="s">
        <v>71</v>
      </c>
      <c r="I59" s="23" t="s">
        <v>54</v>
      </c>
      <c r="J59" s="17"/>
      <c r="K59" s="16" t="s">
        <v>71</v>
      </c>
      <c r="L59" s="18" t="str">
        <f>IFNA( VLOOKUP(LEFT(E59, IFERROR(FIND(" ", E59, 1),1) - 1), lists!$A$31:$B$37, 2, FALSE),"")</f>
        <v/>
      </c>
      <c r="M59" s="18" t="str">
        <f>IFERROR(__xludf.DUMMYFUNCTION("IFNA(VLOOKUP(IFNA(REGEXEXTRACT(E59, ""(Пасхи|50-ці|посту)""),""""),lists!$A$39:$B$41,2,FALSE),"""")"),"")</f>
        <v/>
      </c>
      <c r="N59" s="19" t="str">
        <f>IFERROR(__xludf.DUMMYFUNCTION("IFNA(REGEXEXTRACT(E59, ""\d{1,2}""),"""")"),"2")</f>
        <v>2</v>
      </c>
      <c r="O59" s="20" t="b">
        <f t="shared" si="3"/>
        <v>0</v>
      </c>
    </row>
    <row r="60">
      <c r="A60" s="9" t="s">
        <v>707</v>
      </c>
      <c r="B60" s="9" t="str">
        <f t="shared" si="1"/>
        <v>1 Тим.</v>
      </c>
      <c r="C60" s="11" t="str">
        <f t="shared" si="2"/>
        <v>282</v>
      </c>
      <c r="D60" s="9"/>
      <c r="E60" s="21" t="s">
        <v>708</v>
      </c>
      <c r="F60" s="14"/>
      <c r="G60" s="15" t="s">
        <v>70</v>
      </c>
      <c r="H60" s="16" t="s">
        <v>71</v>
      </c>
      <c r="I60" s="23" t="s">
        <v>166</v>
      </c>
      <c r="J60" s="17"/>
      <c r="K60" s="16" t="s">
        <v>71</v>
      </c>
      <c r="L60" s="18" t="str">
        <f>IFNA( VLOOKUP(LEFT(E60, IFERROR(FIND(" ", E60, 1),1) - 1), lists!$A$31:$B$37, 2, FALSE),"")</f>
        <v/>
      </c>
      <c r="M60" s="18" t="str">
        <f>IFERROR(__xludf.DUMMYFUNCTION("IFNA(VLOOKUP(IFNA(REGEXEXTRACT(E60, ""(Пасхи|50-ці|посту)""),""""),lists!$A$39:$B$41,2,FALSE),"""")"),"")</f>
        <v/>
      </c>
      <c r="N60" s="19" t="str">
        <f>IFERROR(__xludf.DUMMYFUNCTION("IFNA(REGEXEXTRACT(E60, ""\d{1,2}""),"""")"),"1")</f>
        <v>1</v>
      </c>
      <c r="O60" s="20" t="b">
        <f t="shared" si="3"/>
        <v>0</v>
      </c>
    </row>
    <row r="61">
      <c r="A61" s="9" t="s">
        <v>711</v>
      </c>
      <c r="B61" s="9" t="str">
        <f t="shared" si="1"/>
        <v>1 Тим.</v>
      </c>
      <c r="C61" s="11" t="str">
        <f t="shared" si="2"/>
        <v>284</v>
      </c>
      <c r="D61" s="9"/>
      <c r="E61" s="27" t="s">
        <v>712</v>
      </c>
      <c r="F61" s="14"/>
      <c r="G61" s="15" t="s">
        <v>70</v>
      </c>
      <c r="H61" s="16" t="s">
        <v>71</v>
      </c>
      <c r="I61" s="23" t="s">
        <v>71</v>
      </c>
      <c r="J61" s="17"/>
      <c r="K61" s="16">
        <v>6.0</v>
      </c>
      <c r="L61" s="18">
        <f>IFNA( VLOOKUP(LEFT(E61, IFERROR(FIND(" ", E61, 1),1) - 1), lists!$A$31:$B$37, 2, FALSE),"")</f>
        <v>6</v>
      </c>
      <c r="M61" s="18" t="str">
        <f>IFERROR(__xludf.DUMMYFUNCTION("IFNA(VLOOKUP(IFNA(REGEXEXTRACT(E61, ""(Пасхи|50-ці|посту)""),""""),lists!$A$39:$B$41,2,FALSE),"""")"),"")</f>
        <v/>
      </c>
      <c r="N61" s="19" t="str">
        <f>IFERROR(__xludf.DUMMYFUNCTION("IFNA(REGEXEXTRACT(E61, ""\d{1,2}""),"""")"),"")</f>
        <v/>
      </c>
      <c r="O61" s="20" t="b">
        <f t="shared" si="3"/>
        <v>0</v>
      </c>
    </row>
    <row r="62">
      <c r="A62" s="9" t="s">
        <v>723</v>
      </c>
      <c r="B62" s="9" t="str">
        <f t="shared" si="1"/>
        <v>1 Тим.</v>
      </c>
      <c r="C62" s="11" t="str">
        <f t="shared" si="2"/>
        <v>288</v>
      </c>
      <c r="D62" s="9"/>
      <c r="E62" s="13" t="s">
        <v>724</v>
      </c>
      <c r="F62" s="14"/>
      <c r="G62" s="15" t="s">
        <v>70</v>
      </c>
      <c r="H62" s="16" t="s">
        <v>71</v>
      </c>
      <c r="I62" s="23" t="s">
        <v>71</v>
      </c>
      <c r="J62" s="17"/>
      <c r="K62" s="16">
        <v>6.0</v>
      </c>
      <c r="L62" s="18">
        <f>IFNA( VLOOKUP(LEFT(E62, IFERROR(FIND(" ", E62, 1),1) - 1), lists!$A$31:$B$37, 2, FALSE),"")</f>
        <v>6</v>
      </c>
      <c r="M62" s="18" t="str">
        <f>IFERROR(__xludf.DUMMYFUNCTION("IFNA(VLOOKUP(IFNA(REGEXEXTRACT(E62, ""(Пасхи|50-ці|посту)""),""""),lists!$A$39:$B$41,2,FALSE),"""")"),"")</f>
        <v/>
      </c>
      <c r="N62" s="19" t="str">
        <f>IFERROR(__xludf.DUMMYFUNCTION("IFNA(REGEXEXTRACT(E62, ""\d{1,2}""),"""")"),"")</f>
        <v/>
      </c>
      <c r="O62" s="20" t="b">
        <f t="shared" si="3"/>
        <v>0</v>
      </c>
    </row>
    <row r="63">
      <c r="A63" s="9" t="s">
        <v>730</v>
      </c>
      <c r="B63" s="9" t="str">
        <f t="shared" si="1"/>
        <v>2 Тим.</v>
      </c>
      <c r="C63" s="11" t="str">
        <f t="shared" si="2"/>
        <v>290</v>
      </c>
      <c r="D63" s="26" t="s">
        <v>22</v>
      </c>
      <c r="E63" s="21" t="s">
        <v>731</v>
      </c>
      <c r="F63" s="14"/>
      <c r="G63" s="15" t="s">
        <v>70</v>
      </c>
      <c r="H63" s="16" t="s">
        <v>71</v>
      </c>
      <c r="I63" s="23" t="s">
        <v>71</v>
      </c>
      <c r="J63" s="17"/>
      <c r="K63" s="16" t="s">
        <v>71</v>
      </c>
      <c r="L63" s="18" t="str">
        <f>IFNA( VLOOKUP(LEFT(E63, IFERROR(FIND(" ", E63, 1),1) - 1), lists!$A$31:$B$37, 2, FALSE),"")</f>
        <v/>
      </c>
      <c r="M63" s="18" t="str">
        <f>IFERROR(__xludf.DUMMYFUNCTION("IFNA(VLOOKUP(IFNA(REGEXEXTRACT(E63, ""(Пасхи|50-ці|посту)""),""""),lists!$A$39:$B$41,2,FALSE),"""")"),"")</f>
        <v/>
      </c>
      <c r="N63" s="19" t="str">
        <f>IFERROR(__xludf.DUMMYFUNCTION("IFNA(REGEXEXTRACT(E63, ""\d{1,2}""),"""")"),"")</f>
        <v/>
      </c>
      <c r="O63" s="20" t="b">
        <f t="shared" si="3"/>
        <v>0</v>
      </c>
    </row>
    <row r="64">
      <c r="A64" s="12" t="s">
        <v>732</v>
      </c>
      <c r="B64" s="9" t="str">
        <f t="shared" si="1"/>
        <v>2 Тим.</v>
      </c>
      <c r="C64" s="11" t="str">
        <f t="shared" si="2"/>
        <v>291</v>
      </c>
      <c r="D64" s="9"/>
      <c r="E64" s="21" t="s">
        <v>733</v>
      </c>
      <c r="F64" s="14"/>
      <c r="G64" s="15" t="s">
        <v>70</v>
      </c>
      <c r="H64" s="16" t="s">
        <v>71</v>
      </c>
      <c r="I64" s="23" t="s">
        <v>278</v>
      </c>
      <c r="J64" s="17"/>
      <c r="K64" s="16" t="s">
        <v>71</v>
      </c>
      <c r="L64" s="18" t="str">
        <f>IFNA( VLOOKUP(LEFT(E64, IFERROR(FIND(" ", E64, 1),1) - 1), lists!$A$31:$B$37, 2, FALSE),"")</f>
        <v/>
      </c>
      <c r="M64" s="18" t="str">
        <f>IFERROR(__xludf.DUMMYFUNCTION("IFNA(VLOOKUP(IFNA(REGEXEXTRACT(E64, ""(Пасхи|50-ці|посту)""),""""),lists!$A$39:$B$41,2,FALSE),"""")"),"")</f>
        <v/>
      </c>
      <c r="N64" s="19" t="str">
        <f>IFERROR(__xludf.DUMMYFUNCTION("IFNA(REGEXEXTRACT(E64, ""\d{1,2}""),"""")"),"28")</f>
        <v>28</v>
      </c>
      <c r="O64" s="20" t="b">
        <f t="shared" si="3"/>
        <v>0</v>
      </c>
    </row>
    <row r="65">
      <c r="A65" s="9" t="s">
        <v>734</v>
      </c>
      <c r="B65" s="9" t="str">
        <f t="shared" si="1"/>
        <v>2 Тим.</v>
      </c>
      <c r="C65" s="11" t="str">
        <f t="shared" si="2"/>
        <v>292</v>
      </c>
      <c r="D65" s="9"/>
      <c r="E65" s="21" t="s">
        <v>735</v>
      </c>
      <c r="F65" s="14"/>
      <c r="G65" s="15" t="s">
        <v>70</v>
      </c>
      <c r="H65" s="16" t="s">
        <v>71</v>
      </c>
      <c r="I65" s="23" t="s">
        <v>71</v>
      </c>
      <c r="J65" s="17"/>
      <c r="K65" s="16" t="s">
        <v>71</v>
      </c>
      <c r="L65" s="18" t="str">
        <f>IFNA( VLOOKUP(LEFT(E65, IFERROR(FIND(" ", E65, 1),1) - 1), lists!$A$31:$B$37, 2, FALSE),"")</f>
        <v/>
      </c>
      <c r="M65" s="18" t="str">
        <f>IFERROR(__xludf.DUMMYFUNCTION("IFNA(VLOOKUP(IFNA(REGEXEXTRACT(E65, ""(Пасхи|50-ці|посту)""),""""),lists!$A$39:$B$41,2,FALSE),"""")"),"")</f>
        <v/>
      </c>
      <c r="N65" s="19" t="str">
        <f>IFERROR(__xludf.DUMMYFUNCTION("IFNA(REGEXEXTRACT(E65, ""\d{1,2}""),"""")"),"")</f>
        <v/>
      </c>
      <c r="O65" s="20" t="b">
        <f t="shared" si="3"/>
        <v>0</v>
      </c>
    </row>
    <row r="66">
      <c r="A66" s="9" t="s">
        <v>746</v>
      </c>
      <c r="B66" s="9" t="str">
        <f t="shared" si="1"/>
        <v>2 Тим.</v>
      </c>
      <c r="C66" s="11" t="str">
        <f t="shared" si="2"/>
        <v>298</v>
      </c>
      <c r="D66" s="9"/>
      <c r="E66" s="27" t="s">
        <v>747</v>
      </c>
      <c r="F66" s="14"/>
      <c r="G66" s="15" t="s">
        <v>70</v>
      </c>
      <c r="H66" s="16" t="s">
        <v>71</v>
      </c>
      <c r="I66" s="23" t="s">
        <v>71</v>
      </c>
      <c r="J66" s="17"/>
      <c r="K66" s="16">
        <v>7.0</v>
      </c>
      <c r="L66" s="18">
        <f>IFNA( VLOOKUP(LEFT(E66, IFERROR(FIND(" ", E66, 1),1) - 1), lists!$A$31:$B$37, 2, FALSE),"")</f>
        <v>7</v>
      </c>
      <c r="M66" s="18" t="str">
        <f>IFERROR(__xludf.DUMMYFUNCTION("IFNA(VLOOKUP(IFNA(REGEXEXTRACT(E66, ""(Пасхи|50-ці|посту)""),""""),lists!$A$39:$B$41,2,FALSE),"""")"),"")</f>
        <v/>
      </c>
      <c r="N66" s="19" t="str">
        <f>IFERROR(__xludf.DUMMYFUNCTION("IFNA(REGEXEXTRACT(E66, ""\d{1,2}""),"""")"),"")</f>
        <v/>
      </c>
      <c r="O66" s="20" t="b">
        <f t="shared" si="3"/>
        <v>0</v>
      </c>
    </row>
    <row r="67">
      <c r="A67" s="12" t="s">
        <v>752</v>
      </c>
      <c r="B67" s="9" t="str">
        <f t="shared" si="1"/>
        <v>Тит.</v>
      </c>
      <c r="C67" s="11" t="str">
        <f t="shared" si="2"/>
        <v>300</v>
      </c>
      <c r="D67" s="26" t="s">
        <v>22</v>
      </c>
      <c r="E67" s="27" t="s">
        <v>753</v>
      </c>
      <c r="F67" s="25"/>
      <c r="G67" s="15" t="s">
        <v>70</v>
      </c>
      <c r="H67" s="16" t="s">
        <v>71</v>
      </c>
      <c r="I67" s="23" t="s">
        <v>517</v>
      </c>
      <c r="J67" s="17"/>
      <c r="K67" s="16" t="s">
        <v>71</v>
      </c>
      <c r="L67" s="18" t="str">
        <f>IFNA( VLOOKUP(LEFT(E67, IFERROR(FIND(" ", E67, 1),1) - 1), lists!$A$31:$B$37, 2, FALSE),"")</f>
        <v/>
      </c>
      <c r="M67" s="18" t="str">
        <f>IFERROR(__xludf.DUMMYFUNCTION("IFNA(VLOOKUP(IFNA(REGEXEXTRACT(E67, ""(Пасхи|50-ці|посту)""),""""),lists!$A$39:$B$41,2,FALSE),"""")"),"")</f>
        <v/>
      </c>
      <c r="N67" s="19" t="str">
        <f>IFERROR(__xludf.DUMMYFUNCTION("IFNA(REGEXEXTRACT(E67, ""\d{1,2}""),"""")"),"25")</f>
        <v>25</v>
      </c>
      <c r="O67" s="20" t="b">
        <f t="shared" si="3"/>
        <v>0</v>
      </c>
    </row>
    <row r="68">
      <c r="A68" s="9" t="s">
        <v>756</v>
      </c>
      <c r="B68" s="9" t="str">
        <f t="shared" si="1"/>
        <v>Тит.</v>
      </c>
      <c r="C68" s="11" t="str">
        <f t="shared" si="2"/>
        <v>302</v>
      </c>
      <c r="D68" s="26" t="s">
        <v>18</v>
      </c>
      <c r="E68" s="27" t="s">
        <v>757</v>
      </c>
      <c r="F68" s="14"/>
      <c r="G68" s="15" t="s">
        <v>70</v>
      </c>
      <c r="H68" s="16" t="s">
        <v>71</v>
      </c>
      <c r="I68" s="23" t="s">
        <v>71</v>
      </c>
      <c r="J68" s="17"/>
      <c r="K68" s="16" t="s">
        <v>71</v>
      </c>
      <c r="L68" s="18" t="str">
        <f>IFNA( VLOOKUP(LEFT(E68, IFERROR(FIND(" ", E68, 1),1) - 1), lists!$A$31:$B$37, 2, FALSE),"")</f>
        <v/>
      </c>
      <c r="M68" s="18" t="str">
        <f>IFERROR(__xludf.DUMMYFUNCTION("IFNA(VLOOKUP(IFNA(REGEXEXTRACT(E68, ""(Пасхи|50-ці|посту)""),""""),lists!$A$39:$B$41,2,FALSE),"""")"),"")</f>
        <v/>
      </c>
      <c r="N68" s="19" t="str">
        <f>IFERROR(__xludf.DUMMYFUNCTION("IFNA(REGEXEXTRACT(E68, ""\d{1,2}""),"""")"),"")</f>
        <v/>
      </c>
      <c r="O68" s="20" t="b">
        <f t="shared" si="3"/>
        <v>0</v>
      </c>
    </row>
    <row r="69">
      <c r="A69" s="12" t="s">
        <v>758</v>
      </c>
      <c r="B69" s="9" t="str">
        <f t="shared" si="1"/>
        <v>Тит.</v>
      </c>
      <c r="C69" s="11" t="str">
        <f t="shared" si="2"/>
        <v>302</v>
      </c>
      <c r="D69" s="26" t="s">
        <v>22</v>
      </c>
      <c r="E69" s="21" t="s">
        <v>759</v>
      </c>
      <c r="F69" s="14"/>
      <c r="G69" s="15" t="s">
        <v>70</v>
      </c>
      <c r="H69" s="16" t="s">
        <v>71</v>
      </c>
      <c r="I69" s="23" t="s">
        <v>91</v>
      </c>
      <c r="J69" s="17"/>
      <c r="K69" s="16" t="s">
        <v>71</v>
      </c>
      <c r="L69" s="18" t="str">
        <f>IFNA( VLOOKUP(LEFT(E69, IFERROR(FIND(" ", E69, 1),1) - 1), lists!$A$31:$B$37, 2, FALSE),"")</f>
        <v/>
      </c>
      <c r="M69" s="18" t="str">
        <f>IFERROR(__xludf.DUMMYFUNCTION("IFNA(VLOOKUP(IFNA(REGEXEXTRACT(E69, ""(Пасхи|50-ці|посту)""),""""),lists!$A$39:$B$41,2,FALSE),"""")"),"")</f>
        <v/>
      </c>
      <c r="N69" s="19" t="str">
        <f>IFERROR(__xludf.DUMMYFUNCTION("IFNA(REGEXEXTRACT(E69, ""\d{1,2}""),"""")"),"5")</f>
        <v>5</v>
      </c>
      <c r="O69" s="20" t="b">
        <f t="shared" si="3"/>
        <v>0</v>
      </c>
    </row>
    <row r="70">
      <c r="A70" s="12" t="s">
        <v>760</v>
      </c>
      <c r="B70" s="38" t="str">
        <f t="shared" si="1"/>
        <v>Фил.</v>
      </c>
      <c r="C70" s="39" t="str">
        <f t="shared" si="2"/>
        <v>302</v>
      </c>
      <c r="D70" s="26" t="s">
        <v>116</v>
      </c>
      <c r="E70" s="21" t="s">
        <v>761</v>
      </c>
      <c r="F70" s="14"/>
      <c r="G70" s="15" t="s">
        <v>70</v>
      </c>
      <c r="H70" s="16" t="s">
        <v>71</v>
      </c>
      <c r="I70" s="23" t="s">
        <v>470</v>
      </c>
      <c r="J70" s="17"/>
      <c r="K70" s="16" t="s">
        <v>71</v>
      </c>
      <c r="L70" s="18" t="str">
        <f>IFNA( VLOOKUP(LEFT(E70, IFERROR(FIND(" ", E70, 1),1) - 1), lists!$A$31:$B$37, 2, FALSE),"")</f>
        <v/>
      </c>
      <c r="M70" s="18" t="str">
        <f>IFERROR(__xludf.DUMMYFUNCTION("IFNA(VLOOKUP(IFNA(REGEXEXTRACT(E70, ""(Пасхи|50-ці|посту)""),""""),lists!$A$39:$B$41,2,FALSE),"""")"),"")</f>
        <v/>
      </c>
      <c r="N70" s="19" t="str">
        <f>IFERROR(__xludf.DUMMYFUNCTION("IFNA(REGEXEXTRACT(E70, ""\d{1,2}""),"""")"),"22")</f>
        <v>22</v>
      </c>
      <c r="O70" s="20" t="b">
        <f t="shared" si="3"/>
        <v>0</v>
      </c>
    </row>
    <row r="71">
      <c r="A71" s="9" t="s">
        <v>762</v>
      </c>
      <c r="B71" s="38" t="str">
        <f t="shared" si="1"/>
        <v>Євр.</v>
      </c>
      <c r="C71" s="39" t="str">
        <f t="shared" si="2"/>
        <v>303</v>
      </c>
      <c r="D71" s="9"/>
      <c r="E71" s="21" t="s">
        <v>763</v>
      </c>
      <c r="F71" s="14"/>
      <c r="G71" s="15" t="s">
        <v>532</v>
      </c>
      <c r="H71" s="16" t="s">
        <v>20</v>
      </c>
      <c r="I71" s="23">
        <v>1.0</v>
      </c>
      <c r="J71" s="17"/>
      <c r="K71" s="16">
        <v>6.0</v>
      </c>
      <c r="L71" s="18" t="str">
        <f>IFNA( VLOOKUP(LEFT(E71, IFERROR(FIND(" ", E71, 1),1) - 1), lists!$A$31:$B$37, 2, FALSE),"")</f>
        <v/>
      </c>
      <c r="M71" s="18" t="str">
        <f>IFERROR(__xludf.DUMMYFUNCTION("IFNA(VLOOKUP(IFNA(REGEXEXTRACT(E71, ""(Пасхи|50-ці|посту)""),""""),lists!$A$39:$B$41,2,FALSE),"""")"),"lent")</f>
        <v>lent</v>
      </c>
      <c r="N71" s="19" t="str">
        <f>IFERROR(__xludf.DUMMYFUNCTION("IFNA(REGEXEXTRACT(E71, ""\d{1,2}""),"""")"),"")</f>
        <v/>
      </c>
      <c r="O71" s="20" t="b">
        <f t="shared" si="3"/>
        <v>0</v>
      </c>
    </row>
    <row r="72">
      <c r="A72" s="9" t="s">
        <v>766</v>
      </c>
      <c r="B72" s="9" t="str">
        <f t="shared" si="1"/>
        <v>Євр.</v>
      </c>
      <c r="C72" s="11" t="str">
        <f t="shared" si="2"/>
        <v>305</v>
      </c>
      <c r="D72" s="9"/>
      <c r="E72" s="21" t="s">
        <v>767</v>
      </c>
      <c r="F72" s="14"/>
      <c r="G72" s="15" t="s">
        <v>70</v>
      </c>
      <c r="H72" s="16" t="s">
        <v>71</v>
      </c>
      <c r="I72" s="23" t="s">
        <v>196</v>
      </c>
      <c r="J72" s="17"/>
      <c r="K72" s="16" t="s">
        <v>71</v>
      </c>
      <c r="L72" s="18" t="str">
        <f>IFNA( VLOOKUP(LEFT(E72, IFERROR(FIND(" ", E72, 1),1) - 1), lists!$A$31:$B$37, 2, FALSE),"")</f>
        <v/>
      </c>
      <c r="M72" s="18" t="str">
        <f>IFERROR(__xludf.DUMMYFUNCTION("IFNA(VLOOKUP(IFNA(REGEXEXTRACT(E72, ""(Пасхи|50-ці|посту)""),""""),lists!$A$39:$B$41,2,FALSE),"""")"),"")</f>
        <v/>
      </c>
      <c r="N72" s="19" t="str">
        <f>IFERROR(__xludf.DUMMYFUNCTION("IFNA(REGEXEXTRACT(E72, ""\d{1,2}""),"""")"),"8")</f>
        <v>8</v>
      </c>
      <c r="O72" s="20" t="b">
        <f t="shared" si="3"/>
        <v>0</v>
      </c>
    </row>
    <row r="73">
      <c r="A73" s="9" t="s">
        <v>768</v>
      </c>
      <c r="B73" s="9" t="str">
        <f t="shared" si="1"/>
        <v>Євр.</v>
      </c>
      <c r="C73" s="11" t="str">
        <f t="shared" si="2"/>
        <v>306</v>
      </c>
      <c r="D73" s="9"/>
      <c r="E73" s="13" t="s">
        <v>1732</v>
      </c>
      <c r="F73" s="14"/>
      <c r="G73" s="15" t="s">
        <v>70</v>
      </c>
      <c r="H73" s="16" t="s">
        <v>71</v>
      </c>
      <c r="I73" s="23" t="s">
        <v>110</v>
      </c>
      <c r="J73" s="17"/>
      <c r="K73" s="16" t="s">
        <v>71</v>
      </c>
      <c r="L73" s="18" t="str">
        <f>IFNA( VLOOKUP(LEFT(E73, IFERROR(FIND(" ", E73, 1),1) - 1), lists!$A$31:$B$37, 2, FALSE),"")</f>
        <v/>
      </c>
      <c r="M73" s="18" t="str">
        <f>IFERROR(__xludf.DUMMYFUNCTION("IFNA(VLOOKUP(IFNA(REGEXEXTRACT(E73, ""(Пасхи|50-ці|посту)""),""""),lists!$A$39:$B$41,2,FALSE),"""")"),"")</f>
        <v/>
      </c>
      <c r="N73" s="19" t="str">
        <f>IFERROR(__xludf.DUMMYFUNCTION("IFNA(REGEXEXTRACT(E73, ""\d{1,2}""),"""")"),"6")</f>
        <v>6</v>
      </c>
      <c r="O73" s="20" t="b">
        <f t="shared" si="3"/>
        <v>0</v>
      </c>
    </row>
    <row r="74">
      <c r="A74" s="9" t="s">
        <v>770</v>
      </c>
      <c r="B74" s="9" t="str">
        <f t="shared" si="1"/>
        <v>Євр.</v>
      </c>
      <c r="C74" s="11" t="str">
        <f t="shared" si="2"/>
        <v>307</v>
      </c>
      <c r="D74" s="9"/>
      <c r="E74" s="13" t="s">
        <v>771</v>
      </c>
      <c r="F74" s="14"/>
      <c r="G74" s="15" t="s">
        <v>70</v>
      </c>
      <c r="H74" s="16" t="s">
        <v>71</v>
      </c>
      <c r="I74" s="23" t="s">
        <v>71</v>
      </c>
      <c r="J74" s="17"/>
      <c r="K74" s="16" t="s">
        <v>71</v>
      </c>
      <c r="L74" s="18" t="str">
        <f>IFNA( VLOOKUP(LEFT(E74, IFERROR(FIND(" ", E74, 1),1) - 1), lists!$A$31:$B$37, 2, FALSE),"")</f>
        <v/>
      </c>
      <c r="M74" s="18" t="str">
        <f>IFERROR(__xludf.DUMMYFUNCTION("IFNA(VLOOKUP(IFNA(REGEXEXTRACT(E74, ""(Пасхи|50-ці|посту)""),""""),lists!$A$39:$B$41,2,FALSE),"""")"),"")</f>
        <v/>
      </c>
      <c r="N74" s="19" t="str">
        <f>IFERROR(__xludf.DUMMYFUNCTION("IFNA(REGEXEXTRACT(E74, ""\d{1,2}""),"""")"),"")</f>
        <v/>
      </c>
      <c r="O74" s="20" t="b">
        <f t="shared" si="3"/>
        <v>0</v>
      </c>
    </row>
    <row r="75">
      <c r="A75" s="9" t="s">
        <v>780</v>
      </c>
      <c r="B75" s="9" t="str">
        <f t="shared" si="1"/>
        <v>Євр.</v>
      </c>
      <c r="C75" s="11" t="str">
        <f t="shared" si="2"/>
        <v>311</v>
      </c>
      <c r="D75" s="26" t="s">
        <v>22</v>
      </c>
      <c r="E75" s="13" t="s">
        <v>781</v>
      </c>
      <c r="F75" s="14"/>
      <c r="G75" s="15" t="s">
        <v>70</v>
      </c>
      <c r="H75" s="16" t="s">
        <v>71</v>
      </c>
      <c r="I75" s="23" t="s">
        <v>71</v>
      </c>
      <c r="J75" s="17"/>
      <c r="K75" s="16" t="s">
        <v>71</v>
      </c>
      <c r="L75" s="18" t="str">
        <f>IFNA( VLOOKUP(LEFT(E75, IFERROR(FIND(" ", E75, 1),1) - 1), lists!$A$31:$B$37, 2, FALSE),"")</f>
        <v/>
      </c>
      <c r="M75" s="18" t="str">
        <f>IFERROR(__xludf.DUMMYFUNCTION("IFNA(VLOOKUP(IFNA(REGEXEXTRACT(E75, ""(Пасхи|50-ці|посту)""),""""),lists!$A$39:$B$41,2,FALSE),"""")"),"")</f>
        <v/>
      </c>
      <c r="N75" s="19" t="str">
        <f>IFERROR(__xludf.DUMMYFUNCTION("IFNA(REGEXEXTRACT(E75, ""\d{1,2}""),"""")"),"")</f>
        <v/>
      </c>
      <c r="O75" s="20" t="b">
        <f t="shared" si="3"/>
        <v>0</v>
      </c>
    </row>
    <row r="76">
      <c r="A76" s="9" t="s">
        <v>793</v>
      </c>
      <c r="B76" s="9" t="str">
        <f t="shared" si="1"/>
        <v>Євр.</v>
      </c>
      <c r="C76" s="11" t="str">
        <f t="shared" si="2"/>
        <v>316</v>
      </c>
      <c r="D76" s="9"/>
      <c r="E76" s="27" t="s">
        <v>794</v>
      </c>
      <c r="F76" s="14"/>
      <c r="G76" s="15" t="s">
        <v>70</v>
      </c>
      <c r="H76" s="16" t="s">
        <v>71</v>
      </c>
      <c r="I76" s="23" t="s">
        <v>71</v>
      </c>
      <c r="J76" s="17"/>
      <c r="K76" s="16" t="s">
        <v>71</v>
      </c>
      <c r="L76" s="18" t="str">
        <f>IFNA( VLOOKUP(LEFT(E76, IFERROR(FIND(" ", E76, 1),1) - 1), lists!$A$31:$B$37, 2, FALSE),"")</f>
        <v/>
      </c>
      <c r="M76" s="18" t="str">
        <f>IFERROR(__xludf.DUMMYFUNCTION("IFNA(VLOOKUP(IFNA(REGEXEXTRACT(E76, ""(Пасхи|50-ці|посту)""),""""),lists!$A$39:$B$41,2,FALSE),"""")"),"")</f>
        <v/>
      </c>
      <c r="N76" s="19" t="str">
        <f>IFERROR(__xludf.DUMMYFUNCTION("IFNA(REGEXEXTRACT(E76, ""\d{1,2}""),"""")"),"")</f>
        <v/>
      </c>
      <c r="O76" s="20" t="b">
        <f t="shared" si="3"/>
        <v>0</v>
      </c>
    </row>
    <row r="77">
      <c r="A77" s="9" t="s">
        <v>797</v>
      </c>
      <c r="B77" s="9" t="str">
        <f t="shared" si="1"/>
        <v>Євр.</v>
      </c>
      <c r="C77" s="11" t="str">
        <f t="shared" si="2"/>
        <v>318</v>
      </c>
      <c r="D77" s="26" t="s">
        <v>18</v>
      </c>
      <c r="E77" s="21" t="s">
        <v>798</v>
      </c>
      <c r="F77" s="14"/>
      <c r="G77" s="15" t="s">
        <v>70</v>
      </c>
      <c r="H77" s="16" t="s">
        <v>71</v>
      </c>
      <c r="I77" s="23" t="s">
        <v>71</v>
      </c>
      <c r="J77" s="17"/>
      <c r="K77" s="16" t="s">
        <v>71</v>
      </c>
      <c r="L77" s="18" t="str">
        <f>IFNA( VLOOKUP(LEFT(E77, IFERROR(FIND(" ", E77, 1),1) - 1), lists!$A$31:$B$37, 2, FALSE),"")</f>
        <v/>
      </c>
      <c r="M77" s="18" t="str">
        <f>IFERROR(__xludf.DUMMYFUNCTION("IFNA(VLOOKUP(IFNA(REGEXEXTRACT(E77, ""(Пасхи|50-ці|посту)""),""""),lists!$A$39:$B$41,2,FALSE),"""")"),"")</f>
        <v/>
      </c>
      <c r="N77" s="19" t="str">
        <f>IFERROR(__xludf.DUMMYFUNCTION("IFNA(REGEXEXTRACT(E77, ""\d{1,2}""),"""")"),"")</f>
        <v/>
      </c>
      <c r="O77" s="20" t="b">
        <f t="shared" si="3"/>
        <v>0</v>
      </c>
    </row>
    <row r="78">
      <c r="A78" s="12" t="s">
        <v>799</v>
      </c>
      <c r="B78" s="9" t="str">
        <f t="shared" si="1"/>
        <v>Євр.</v>
      </c>
      <c r="C78" s="11" t="str">
        <f t="shared" si="2"/>
        <v>318</v>
      </c>
      <c r="D78" s="26" t="s">
        <v>22</v>
      </c>
      <c r="E78" s="21" t="s">
        <v>800</v>
      </c>
      <c r="F78" s="14"/>
      <c r="G78" s="15" t="s">
        <v>70</v>
      </c>
      <c r="H78" s="16" t="s">
        <v>71</v>
      </c>
      <c r="I78" s="23" t="s">
        <v>71</v>
      </c>
      <c r="J78" s="17"/>
      <c r="K78" s="16" t="s">
        <v>71</v>
      </c>
      <c r="L78" s="18" t="str">
        <f>IFNA( VLOOKUP(LEFT(E78, IFERROR(FIND(" ", E78, 1),1) - 1), lists!$A$31:$B$37, 2, FALSE),"")</f>
        <v/>
      </c>
      <c r="M78" s="18" t="str">
        <f>IFERROR(__xludf.DUMMYFUNCTION("IFNA(VLOOKUP(IFNA(REGEXEXTRACT(E78, ""(Пасхи|50-ці|посту)""),""""),lists!$A$39:$B$41,2,FALSE),"""")"),"")</f>
        <v/>
      </c>
      <c r="N78" s="19" t="str">
        <f>IFERROR(__xludf.DUMMYFUNCTION("IFNA(REGEXEXTRACT(E78, ""\d{1,2}""),"""")"),"")</f>
        <v/>
      </c>
      <c r="O78" s="20" t="b">
        <f t="shared" si="3"/>
        <v>0</v>
      </c>
    </row>
    <row r="79">
      <c r="A79" s="9" t="s">
        <v>803</v>
      </c>
      <c r="B79" s="9" t="str">
        <f t="shared" si="1"/>
        <v>Євр.</v>
      </c>
      <c r="C79" s="11" t="str">
        <f t="shared" si="2"/>
        <v>320</v>
      </c>
      <c r="D79" s="9"/>
      <c r="E79" s="21" t="s">
        <v>804</v>
      </c>
      <c r="F79" s="14"/>
      <c r="G79" s="15" t="s">
        <v>70</v>
      </c>
      <c r="H79" s="16" t="s">
        <v>71</v>
      </c>
      <c r="I79" s="23" t="s">
        <v>71</v>
      </c>
      <c r="J79" s="17"/>
      <c r="K79" s="16" t="s">
        <v>71</v>
      </c>
      <c r="L79" s="18" t="str">
        <f>IFNA( VLOOKUP(LEFT(E79, IFERROR(FIND(" ", E79, 1),1) - 1), lists!$A$31:$B$37, 2, FALSE),"")</f>
        <v/>
      </c>
      <c r="M79" s="18" t="str">
        <f>IFERROR(__xludf.DUMMYFUNCTION("IFNA(VLOOKUP(IFNA(REGEXEXTRACT(E79, ""(Пасхи|50-ці|посту)""),""""),lists!$A$39:$B$41,2,FALSE),"""")"),"")</f>
        <v/>
      </c>
      <c r="N79" s="19" t="str">
        <f>IFERROR(__xludf.DUMMYFUNCTION("IFNA(REGEXEXTRACT(E79, ""\d{1,2}""),"""")"),"")</f>
        <v/>
      </c>
      <c r="O79" s="20" t="b">
        <f t="shared" si="3"/>
        <v>0</v>
      </c>
    </row>
    <row r="80">
      <c r="A80" s="9" t="s">
        <v>807</v>
      </c>
      <c r="B80" s="9" t="str">
        <f t="shared" si="1"/>
        <v>Євр.</v>
      </c>
      <c r="C80" s="11" t="str">
        <f t="shared" si="2"/>
        <v>321</v>
      </c>
      <c r="D80" s="12" t="s">
        <v>22</v>
      </c>
      <c r="E80" s="13" t="s">
        <v>808</v>
      </c>
      <c r="F80" s="14"/>
      <c r="G80" s="15" t="s">
        <v>70</v>
      </c>
      <c r="H80" s="16" t="s">
        <v>20</v>
      </c>
      <c r="I80" s="23">
        <v>5.0</v>
      </c>
      <c r="J80" s="17"/>
      <c r="K80" s="16">
        <v>7.0</v>
      </c>
      <c r="L80" s="18" t="str">
        <f>IFNA( VLOOKUP(LEFT(E80, IFERROR(FIND(" ", E80, 1),1) - 1), lists!$A$31:$B$37, 2, FALSE),"")</f>
        <v/>
      </c>
      <c r="M80" s="18" t="str">
        <f>IFERROR(__xludf.DUMMYFUNCTION("IFNA(VLOOKUP(IFNA(REGEXEXTRACT(E80, ""(Пасхи|50-ці|посту)""),""""),lists!$A$39:$B$41,2,FALSE),"""")"),"lent")</f>
        <v>lent</v>
      </c>
      <c r="N80" s="19" t="str">
        <f>IFERROR(__xludf.DUMMYFUNCTION("IFNA(REGEXEXTRACT(E80, ""\d{1,2}""),"""")"),"")</f>
        <v/>
      </c>
      <c r="O80" s="20" t="b">
        <f t="shared" si="3"/>
        <v>0</v>
      </c>
    </row>
    <row r="81">
      <c r="A81" s="9" t="s">
        <v>813</v>
      </c>
      <c r="B81" s="9" t="str">
        <f t="shared" si="1"/>
        <v>Євр.</v>
      </c>
      <c r="C81" s="11" t="str">
        <f t="shared" si="2"/>
        <v>324</v>
      </c>
      <c r="D81" s="9"/>
      <c r="E81" s="13" t="s">
        <v>814</v>
      </c>
      <c r="F81" s="14"/>
      <c r="G81" s="15" t="s">
        <v>70</v>
      </c>
      <c r="H81" s="16" t="s">
        <v>71</v>
      </c>
      <c r="I81" s="23" t="s">
        <v>315</v>
      </c>
      <c r="J81" s="17"/>
      <c r="K81" s="16" t="s">
        <v>71</v>
      </c>
      <c r="L81" s="18" t="str">
        <f>IFNA( VLOOKUP(LEFT(E81, IFERROR(FIND(" ", E81, 1),1) - 1), lists!$A$31:$B$37, 2, FALSE),"")</f>
        <v/>
      </c>
      <c r="M81" s="18" t="str">
        <f>IFERROR(__xludf.DUMMYFUNCTION("IFNA(VLOOKUP(IFNA(REGEXEXTRACT(E81, ""(Пасхи|50-ці|посту)""),""""),lists!$A$39:$B$41,2,FALSE),"""")"),"")</f>
        <v/>
      </c>
      <c r="N81" s="19" t="str">
        <f>IFERROR(__xludf.DUMMYFUNCTION("IFNA(REGEXEXTRACT(E81, ""\d{1,2}""),"""")"),"9")</f>
        <v>9</v>
      </c>
      <c r="O81" s="20" t="b">
        <f t="shared" si="3"/>
        <v>0</v>
      </c>
    </row>
    <row r="82">
      <c r="A82" s="9" t="s">
        <v>821</v>
      </c>
      <c r="B82" s="9" t="str">
        <f t="shared" si="1"/>
        <v>Євр.</v>
      </c>
      <c r="C82" s="11" t="str">
        <f t="shared" si="2"/>
        <v>328</v>
      </c>
      <c r="D82" s="9"/>
      <c r="E82" s="13" t="s">
        <v>822</v>
      </c>
      <c r="F82" s="14"/>
      <c r="G82" s="15" t="s">
        <v>70</v>
      </c>
      <c r="H82" s="16" t="s">
        <v>71</v>
      </c>
      <c r="I82" s="23" t="s">
        <v>71</v>
      </c>
      <c r="J82" s="17"/>
      <c r="K82" s="16">
        <v>7.0</v>
      </c>
      <c r="L82" s="18">
        <f>IFNA( VLOOKUP(LEFT(E82, IFERROR(FIND(" ", E82, 1),1) - 1), lists!$A$31:$B$37, 2, FALSE),"")</f>
        <v>7</v>
      </c>
      <c r="M82" s="18" t="str">
        <f>IFERROR(__xludf.DUMMYFUNCTION("IFNA(VLOOKUP(IFNA(REGEXEXTRACT(E82, ""(Пасхи|50-ці|посту)""),""""),lists!$A$39:$B$41,2,FALSE),"""")"),"")</f>
        <v/>
      </c>
      <c r="N82" s="19" t="str">
        <f>IFERROR(__xludf.DUMMYFUNCTION("IFNA(REGEXEXTRACT(E82, ""\d{1,2}""),"""")"),"")</f>
        <v/>
      </c>
      <c r="O82" s="20" t="b">
        <f t="shared" si="3"/>
        <v>0</v>
      </c>
    </row>
    <row r="83">
      <c r="A83" s="9" t="s">
        <v>829</v>
      </c>
      <c r="B83" s="9" t="str">
        <f t="shared" si="1"/>
        <v>Євр.</v>
      </c>
      <c r="C83" s="11" t="str">
        <f t="shared" si="2"/>
        <v>331</v>
      </c>
      <c r="D83" s="26" t="s">
        <v>18</v>
      </c>
      <c r="E83" s="13" t="s">
        <v>830</v>
      </c>
      <c r="F83" s="14"/>
      <c r="G83" s="15" t="s">
        <v>70</v>
      </c>
      <c r="H83" s="16" t="s">
        <v>71</v>
      </c>
      <c r="I83" s="23" t="s">
        <v>315</v>
      </c>
      <c r="J83" s="17"/>
      <c r="K83" s="16" t="s">
        <v>71</v>
      </c>
      <c r="L83" s="18" t="str">
        <f>IFNA( VLOOKUP(LEFT(E83, IFERROR(FIND(" ", E83, 1),1) - 1), lists!$A$31:$B$37, 2, FALSE),"")</f>
        <v/>
      </c>
      <c r="M83" s="18" t="str">
        <f>IFERROR(__xludf.DUMMYFUNCTION("IFNA(VLOOKUP(IFNA(REGEXEXTRACT(E83, ""(Пасхи|50-ці|посту)""),""""),lists!$A$39:$B$41,2,FALSE),"""")"),"")</f>
        <v/>
      </c>
      <c r="N83" s="19" t="str">
        <f>IFERROR(__xludf.DUMMYFUNCTION("IFNA(REGEXEXTRACT(E83, ""\d{1,2}""),"""")"),"9")</f>
        <v>9</v>
      </c>
      <c r="O83" s="20" t="b">
        <f t="shared" si="3"/>
        <v>0</v>
      </c>
    </row>
    <row r="84">
      <c r="A84" s="9" t="s">
        <v>831</v>
      </c>
      <c r="B84" s="9" t="str">
        <f t="shared" si="1"/>
        <v>Євр.</v>
      </c>
      <c r="C84" s="11" t="str">
        <f t="shared" si="2"/>
        <v>331</v>
      </c>
      <c r="D84" s="26" t="s">
        <v>22</v>
      </c>
      <c r="E84" s="13" t="s">
        <v>832</v>
      </c>
      <c r="F84" s="14"/>
      <c r="G84" s="15" t="s">
        <v>70</v>
      </c>
      <c r="H84" s="16" t="s">
        <v>71</v>
      </c>
      <c r="I84" s="23" t="s">
        <v>71</v>
      </c>
      <c r="J84" s="17"/>
      <c r="K84" s="16" t="s">
        <v>71</v>
      </c>
      <c r="L84" s="18" t="str">
        <f>IFNA( VLOOKUP(LEFT(E84, IFERROR(FIND(" ", E84, 1),1) - 1), lists!$A$31:$B$37, 2, FALSE),"")</f>
        <v/>
      </c>
      <c r="M84" s="18" t="str">
        <f>IFERROR(__xludf.DUMMYFUNCTION("IFNA(VLOOKUP(IFNA(REGEXEXTRACT(E84, ""(Пасхи|50-ці|посту)""),""""),lists!$A$39:$B$41,2,FALSE),"""")"),"")</f>
        <v/>
      </c>
      <c r="N84" s="19" t="str">
        <f>IFERROR(__xludf.DUMMYFUNCTION("IFNA(REGEXEXTRACT(E84, ""\d{1,2}""),"""")"),"")</f>
        <v/>
      </c>
      <c r="O84" s="20" t="b">
        <f t="shared" si="3"/>
        <v>0</v>
      </c>
    </row>
    <row r="85">
      <c r="A85" s="9" t="s">
        <v>833</v>
      </c>
      <c r="B85" s="9" t="str">
        <f t="shared" si="1"/>
        <v>Євр.</v>
      </c>
      <c r="C85" s="11" t="str">
        <f t="shared" si="2"/>
        <v>332</v>
      </c>
      <c r="D85" s="9"/>
      <c r="E85" s="13" t="s">
        <v>834</v>
      </c>
      <c r="F85" s="14"/>
      <c r="G85" s="15" t="s">
        <v>70</v>
      </c>
      <c r="H85" s="16" t="s">
        <v>71</v>
      </c>
      <c r="I85" s="23" t="s">
        <v>71</v>
      </c>
      <c r="J85" s="17"/>
      <c r="K85" s="16" t="s">
        <v>71</v>
      </c>
      <c r="L85" s="18" t="str">
        <f>IFNA( VLOOKUP(LEFT(E85, IFERROR(FIND(" ", E85, 1),1) - 1), lists!$A$31:$B$37, 2, FALSE),"")</f>
        <v/>
      </c>
      <c r="M85" s="18" t="str">
        <f>IFERROR(__xludf.DUMMYFUNCTION("IFNA(VLOOKUP(IFNA(REGEXEXTRACT(E85, ""(Пасхи|50-ці|посту)""),""""),lists!$A$39:$B$41,2,FALSE),"""")"),"")</f>
        <v/>
      </c>
      <c r="N85" s="19" t="str">
        <f>IFERROR(__xludf.DUMMYFUNCTION("IFNA(REGEXEXTRACT(E85, ""\d{1,2}""),"""")"),"")</f>
        <v/>
      </c>
      <c r="O85" s="20" t="b">
        <f t="shared" si="3"/>
        <v>0</v>
      </c>
    </row>
    <row r="86">
      <c r="A86" s="9" t="s">
        <v>839</v>
      </c>
      <c r="B86" s="9" t="str">
        <f t="shared" si="1"/>
        <v>Євр.</v>
      </c>
      <c r="C86" s="11" t="str">
        <f t="shared" si="2"/>
        <v>334</v>
      </c>
      <c r="D86" s="9"/>
      <c r="E86" s="13" t="s">
        <v>1733</v>
      </c>
      <c r="F86" s="14"/>
      <c r="G86" s="15" t="s">
        <v>70</v>
      </c>
      <c r="H86" s="16" t="s">
        <v>71</v>
      </c>
      <c r="I86" s="23" t="s">
        <v>71</v>
      </c>
      <c r="J86" s="17"/>
      <c r="K86" s="16" t="s">
        <v>71</v>
      </c>
      <c r="L86" s="18" t="str">
        <f>IFNA( VLOOKUP(LEFT(E86, IFERROR(FIND(" ", E86, 1),1) - 1), lists!$A$31:$B$37, 2, FALSE),"")</f>
        <v/>
      </c>
      <c r="M86" s="18" t="str">
        <f>IFERROR(__xludf.DUMMYFUNCTION("IFNA(VLOOKUP(IFNA(REGEXEXTRACT(E86, ""(Пасхи|50-ці|посту)""),""""),lists!$A$39:$B$41,2,FALSE),"""")"),"")</f>
        <v/>
      </c>
      <c r="N86" s="19" t="str">
        <f>IFERROR(__xludf.DUMMYFUNCTION("IFNA(REGEXEXTRACT(E86, ""\d{1,2}""),"""")"),"")</f>
        <v/>
      </c>
      <c r="O86" s="20" t="b">
        <f t="shared" si="3"/>
        <v>0</v>
      </c>
    </row>
    <row r="87">
      <c r="A87" s="9" t="s">
        <v>841</v>
      </c>
      <c r="B87" s="9" t="str">
        <f t="shared" si="1"/>
        <v>Євр.</v>
      </c>
      <c r="C87" s="11" t="str">
        <f t="shared" si="2"/>
        <v>335</v>
      </c>
      <c r="D87" s="9"/>
      <c r="E87" s="21" t="s">
        <v>1734</v>
      </c>
      <c r="F87" s="14"/>
      <c r="G87" s="15" t="s">
        <v>70</v>
      </c>
      <c r="H87" s="16" t="s">
        <v>71</v>
      </c>
      <c r="I87" s="23" t="s">
        <v>71</v>
      </c>
      <c r="J87" s="17"/>
      <c r="K87" s="16" t="s">
        <v>71</v>
      </c>
      <c r="L87" s="18" t="str">
        <f>IFNA( VLOOKUP(LEFT(E87, IFERROR(FIND(" ", E87, 1),1) - 1), lists!$A$31:$B$37, 2, FALSE),"")</f>
        <v/>
      </c>
      <c r="M87" s="18" t="str">
        <f>IFERROR(__xludf.DUMMYFUNCTION("IFNA(VLOOKUP(IFNA(REGEXEXTRACT(E87, ""(Пасхи|50-ці|посту)""),""""),lists!$A$39:$B$41,2,FALSE),"""")"),"")</f>
        <v/>
      </c>
      <c r="N87" s="19" t="str">
        <f>IFERROR(__xludf.DUMMYFUNCTION("IFNA(REGEXEXTRACT(E87, ""\d{1,2}""),"""")"),"")</f>
        <v/>
      </c>
      <c r="O87" s="20" t="b">
        <f t="shared" si="3"/>
        <v>0</v>
      </c>
    </row>
    <row r="88" ht="15.75" customHeight="1">
      <c r="E88" s="49"/>
      <c r="G88" s="50"/>
      <c r="H88" s="51"/>
      <c r="I88" s="51"/>
      <c r="J88" s="51"/>
      <c r="K88" s="51"/>
      <c r="L88" s="52"/>
      <c r="M88" s="52"/>
      <c r="N88" s="52"/>
    </row>
    <row r="89" ht="15.75" customHeight="1">
      <c r="E89" s="49"/>
      <c r="G89" s="50"/>
      <c r="H89" s="51"/>
      <c r="I89" s="51"/>
      <c r="J89" s="51"/>
      <c r="K89" s="51"/>
      <c r="L89" s="52"/>
      <c r="M89" s="52"/>
      <c r="N89" s="52"/>
    </row>
    <row r="90" ht="15.75" customHeight="1">
      <c r="E90" s="49"/>
      <c r="G90" s="50"/>
      <c r="H90" s="51"/>
      <c r="I90" s="51"/>
      <c r="J90" s="51"/>
      <c r="K90" s="51"/>
      <c r="L90" s="52"/>
      <c r="M90" s="52"/>
      <c r="N90" s="52"/>
    </row>
    <row r="91" ht="15.75" customHeight="1">
      <c r="E91" s="49"/>
      <c r="G91" s="50"/>
      <c r="H91" s="51"/>
      <c r="I91" s="51"/>
      <c r="J91" s="51"/>
      <c r="K91" s="51"/>
      <c r="L91" s="52"/>
      <c r="M91" s="52"/>
      <c r="N91" s="52"/>
    </row>
    <row r="92" ht="15.75" customHeight="1">
      <c r="E92" s="49"/>
      <c r="G92" s="50"/>
      <c r="H92" s="51"/>
      <c r="I92" s="51"/>
      <c r="J92" s="51"/>
      <c r="K92" s="51"/>
      <c r="L92" s="52"/>
      <c r="M92" s="52"/>
      <c r="N92" s="52"/>
    </row>
    <row r="93" ht="15.75" customHeight="1">
      <c r="E93" s="49"/>
      <c r="G93" s="50"/>
      <c r="H93" s="51"/>
      <c r="I93" s="51"/>
      <c r="J93" s="51"/>
      <c r="K93" s="51"/>
      <c r="L93" s="52"/>
      <c r="M93" s="52"/>
      <c r="N93" s="52"/>
    </row>
    <row r="94" ht="15.75" customHeight="1">
      <c r="E94" s="49"/>
      <c r="G94" s="50"/>
      <c r="H94" s="51"/>
      <c r="I94" s="51"/>
      <c r="J94" s="51"/>
      <c r="K94" s="51"/>
      <c r="L94" s="52"/>
      <c r="M94" s="52"/>
      <c r="N94" s="52"/>
    </row>
    <row r="95" ht="15.75" customHeight="1">
      <c r="E95" s="49"/>
      <c r="G95" s="50"/>
      <c r="H95" s="51"/>
      <c r="I95" s="51"/>
      <c r="J95" s="51"/>
      <c r="K95" s="51"/>
      <c r="L95" s="52"/>
      <c r="M95" s="52"/>
      <c r="N95" s="52"/>
    </row>
    <row r="96" ht="15.75" customHeight="1">
      <c r="E96" s="49"/>
      <c r="G96" s="50"/>
      <c r="H96" s="51"/>
      <c r="I96" s="51"/>
      <c r="J96" s="51"/>
      <c r="K96" s="51"/>
      <c r="L96" s="52"/>
      <c r="M96" s="52"/>
      <c r="N96" s="52"/>
    </row>
    <row r="97" ht="15.75" customHeight="1">
      <c r="E97" s="49"/>
      <c r="G97" s="50"/>
      <c r="H97" s="51"/>
      <c r="I97" s="51"/>
      <c r="J97" s="51"/>
      <c r="K97" s="51"/>
      <c r="L97" s="52"/>
      <c r="M97" s="52"/>
      <c r="N97" s="52"/>
    </row>
    <row r="98" ht="15.75" customHeight="1">
      <c r="E98" s="49"/>
      <c r="G98" s="50"/>
      <c r="H98" s="51"/>
      <c r="I98" s="51"/>
      <c r="J98" s="51"/>
      <c r="K98" s="51"/>
      <c r="L98" s="52"/>
      <c r="M98" s="52"/>
      <c r="N98" s="52"/>
    </row>
    <row r="99" ht="15.75" customHeight="1">
      <c r="E99" s="49"/>
      <c r="G99" s="50"/>
      <c r="H99" s="51"/>
      <c r="I99" s="51"/>
      <c r="J99" s="51"/>
      <c r="K99" s="51"/>
      <c r="L99" s="52"/>
      <c r="M99" s="52"/>
      <c r="N99" s="52"/>
    </row>
    <row r="100" ht="15.75" customHeight="1">
      <c r="E100" s="49"/>
      <c r="G100" s="50"/>
      <c r="H100" s="51"/>
      <c r="I100" s="51"/>
      <c r="J100" s="51"/>
      <c r="K100" s="51"/>
      <c r="L100" s="52"/>
      <c r="M100" s="52"/>
      <c r="N100" s="52"/>
    </row>
    <row r="101" ht="15.75" customHeight="1">
      <c r="E101" s="49"/>
      <c r="G101" s="50"/>
      <c r="H101" s="51"/>
      <c r="I101" s="51"/>
      <c r="J101" s="51"/>
      <c r="K101" s="51"/>
      <c r="L101" s="52"/>
      <c r="M101" s="52"/>
      <c r="N101" s="52"/>
    </row>
    <row r="102" ht="15.75" customHeight="1">
      <c r="E102" s="49"/>
      <c r="G102" s="50"/>
      <c r="H102" s="51"/>
      <c r="I102" s="51"/>
      <c r="J102" s="51"/>
      <c r="K102" s="51"/>
      <c r="L102" s="52"/>
      <c r="M102" s="52"/>
      <c r="N102" s="52"/>
    </row>
    <row r="103" ht="15.75" customHeight="1">
      <c r="E103" s="49"/>
      <c r="G103" s="50"/>
      <c r="H103" s="51"/>
      <c r="I103" s="51"/>
      <c r="J103" s="51"/>
      <c r="K103" s="51"/>
      <c r="L103" s="52"/>
      <c r="M103" s="52"/>
      <c r="N103" s="52"/>
    </row>
    <row r="104" ht="15.75" customHeight="1">
      <c r="E104" s="49"/>
      <c r="G104" s="50"/>
      <c r="H104" s="51"/>
      <c r="I104" s="51"/>
      <c r="J104" s="51"/>
      <c r="K104" s="51"/>
      <c r="L104" s="52"/>
      <c r="M104" s="52"/>
      <c r="N104" s="52"/>
    </row>
    <row r="105" ht="15.75" customHeight="1">
      <c r="E105" s="49"/>
      <c r="G105" s="50"/>
      <c r="H105" s="51"/>
      <c r="I105" s="51"/>
      <c r="J105" s="51"/>
      <c r="K105" s="51"/>
      <c r="L105" s="52"/>
      <c r="M105" s="52"/>
      <c r="N105" s="52"/>
    </row>
    <row r="106" ht="15.75" customHeight="1">
      <c r="E106" s="49"/>
      <c r="G106" s="50"/>
      <c r="H106" s="51"/>
      <c r="I106" s="51"/>
      <c r="J106" s="51"/>
      <c r="K106" s="51"/>
      <c r="L106" s="52"/>
      <c r="M106" s="52"/>
      <c r="N106" s="52"/>
    </row>
    <row r="107" ht="15.75" customHeight="1">
      <c r="E107" s="49"/>
      <c r="G107" s="50"/>
      <c r="H107" s="51"/>
      <c r="I107" s="51"/>
      <c r="J107" s="51"/>
      <c r="K107" s="51"/>
      <c r="L107" s="52"/>
      <c r="M107" s="52"/>
      <c r="N107" s="52"/>
    </row>
    <row r="108" ht="15.75" customHeight="1">
      <c r="E108" s="49"/>
      <c r="G108" s="50"/>
      <c r="H108" s="51"/>
      <c r="I108" s="51"/>
      <c r="J108" s="51"/>
      <c r="K108" s="51"/>
      <c r="L108" s="52"/>
      <c r="M108" s="52"/>
      <c r="N108" s="52"/>
    </row>
    <row r="109" ht="15.75" customHeight="1">
      <c r="E109" s="49"/>
      <c r="G109" s="50"/>
      <c r="H109" s="51"/>
      <c r="I109" s="51"/>
      <c r="J109" s="51"/>
      <c r="K109" s="51"/>
      <c r="L109" s="52"/>
      <c r="M109" s="52"/>
      <c r="N109" s="52"/>
    </row>
    <row r="110" ht="15.75" customHeight="1">
      <c r="E110" s="49"/>
      <c r="G110" s="50"/>
      <c r="H110" s="51"/>
      <c r="I110" s="51"/>
      <c r="J110" s="51"/>
      <c r="K110" s="51"/>
      <c r="L110" s="52"/>
      <c r="M110" s="52"/>
      <c r="N110" s="52"/>
    </row>
    <row r="111" ht="15.75" customHeight="1">
      <c r="E111" s="49"/>
      <c r="G111" s="50"/>
      <c r="H111" s="51"/>
      <c r="I111" s="51"/>
      <c r="J111" s="51"/>
      <c r="K111" s="51"/>
      <c r="L111" s="52"/>
      <c r="M111" s="52"/>
      <c r="N111" s="52"/>
    </row>
    <row r="112" ht="15.75" customHeight="1">
      <c r="E112" s="49"/>
      <c r="G112" s="50"/>
      <c r="H112" s="51"/>
      <c r="I112" s="51"/>
      <c r="J112" s="51"/>
      <c r="K112" s="51"/>
      <c r="L112" s="52"/>
      <c r="M112" s="52"/>
      <c r="N112" s="52"/>
    </row>
    <row r="113" ht="15.75" customHeight="1">
      <c r="E113" s="49"/>
      <c r="G113" s="50"/>
      <c r="H113" s="51"/>
      <c r="I113" s="51"/>
      <c r="J113" s="51"/>
      <c r="K113" s="51"/>
      <c r="L113" s="52"/>
      <c r="M113" s="52"/>
      <c r="N113" s="52"/>
    </row>
    <row r="114" ht="15.75" customHeight="1">
      <c r="E114" s="49"/>
      <c r="G114" s="50"/>
      <c r="H114" s="51"/>
      <c r="I114" s="51"/>
      <c r="J114" s="51"/>
      <c r="K114" s="51"/>
      <c r="L114" s="52"/>
      <c r="M114" s="52"/>
      <c r="N114" s="52"/>
    </row>
    <row r="115" ht="15.75" customHeight="1">
      <c r="E115" s="49"/>
      <c r="G115" s="50"/>
      <c r="H115" s="51"/>
      <c r="I115" s="51"/>
      <c r="J115" s="51"/>
      <c r="K115" s="51"/>
      <c r="L115" s="52"/>
      <c r="M115" s="52"/>
      <c r="N115" s="52"/>
    </row>
    <row r="116" ht="15.75" customHeight="1">
      <c r="E116" s="49"/>
      <c r="G116" s="50"/>
      <c r="H116" s="51"/>
      <c r="I116" s="51"/>
      <c r="J116" s="51"/>
      <c r="K116" s="51"/>
      <c r="L116" s="52"/>
      <c r="M116" s="52"/>
      <c r="N116" s="52"/>
    </row>
    <row r="117" ht="15.75" customHeight="1">
      <c r="E117" s="49"/>
      <c r="G117" s="50"/>
      <c r="H117" s="51"/>
      <c r="I117" s="51"/>
      <c r="J117" s="51"/>
      <c r="K117" s="51"/>
      <c r="L117" s="52"/>
      <c r="M117" s="52"/>
      <c r="N117" s="52"/>
    </row>
    <row r="118" ht="15.75" customHeight="1">
      <c r="E118" s="49"/>
      <c r="G118" s="50"/>
      <c r="H118" s="51"/>
      <c r="I118" s="51"/>
      <c r="J118" s="51"/>
      <c r="K118" s="51"/>
      <c r="L118" s="52"/>
      <c r="M118" s="52"/>
      <c r="N118" s="52"/>
    </row>
    <row r="119" ht="15.75" customHeight="1">
      <c r="E119" s="49"/>
      <c r="G119" s="50"/>
      <c r="H119" s="51"/>
      <c r="I119" s="51"/>
      <c r="J119" s="51"/>
      <c r="K119" s="51"/>
      <c r="L119" s="52"/>
      <c r="M119" s="52"/>
      <c r="N119" s="52"/>
    </row>
    <row r="120" ht="15.75" customHeight="1">
      <c r="E120" s="49"/>
      <c r="G120" s="50"/>
      <c r="H120" s="51"/>
      <c r="I120" s="51"/>
      <c r="J120" s="51"/>
      <c r="K120" s="51"/>
      <c r="L120" s="52"/>
      <c r="M120" s="52"/>
      <c r="N120" s="52"/>
    </row>
    <row r="121" ht="15.75" customHeight="1">
      <c r="E121" s="49"/>
      <c r="G121" s="50"/>
      <c r="H121" s="51"/>
      <c r="I121" s="51"/>
      <c r="J121" s="51"/>
      <c r="K121" s="51"/>
      <c r="L121" s="52"/>
      <c r="M121" s="52"/>
      <c r="N121" s="52"/>
    </row>
    <row r="122" ht="15.75" customHeight="1">
      <c r="E122" s="49"/>
      <c r="G122" s="50"/>
      <c r="H122" s="51"/>
      <c r="I122" s="51"/>
      <c r="J122" s="51"/>
      <c r="K122" s="51"/>
      <c r="L122" s="52"/>
      <c r="M122" s="52"/>
      <c r="N122" s="52"/>
    </row>
    <row r="123" ht="15.75" customHeight="1">
      <c r="E123" s="49"/>
      <c r="G123" s="50"/>
      <c r="H123" s="51"/>
      <c r="I123" s="51"/>
      <c r="J123" s="51"/>
      <c r="K123" s="51"/>
      <c r="L123" s="52"/>
      <c r="M123" s="52"/>
      <c r="N123" s="52"/>
    </row>
    <row r="124" ht="15.75" customHeight="1">
      <c r="E124" s="49"/>
      <c r="G124" s="50"/>
      <c r="H124" s="51"/>
      <c r="I124" s="51"/>
      <c r="J124" s="51"/>
      <c r="K124" s="51"/>
      <c r="L124" s="52"/>
      <c r="M124" s="52"/>
      <c r="N124" s="52"/>
    </row>
    <row r="125" ht="15.75" customHeight="1">
      <c r="E125" s="49"/>
      <c r="G125" s="50"/>
      <c r="H125" s="51"/>
      <c r="I125" s="51"/>
      <c r="J125" s="51"/>
      <c r="K125" s="51"/>
      <c r="L125" s="52"/>
      <c r="M125" s="52"/>
      <c r="N125" s="52"/>
    </row>
    <row r="126" ht="15.75" customHeight="1">
      <c r="E126" s="49"/>
      <c r="G126" s="50"/>
      <c r="H126" s="51"/>
      <c r="I126" s="51"/>
      <c r="J126" s="51"/>
      <c r="K126" s="51"/>
      <c r="L126" s="52"/>
      <c r="M126" s="52"/>
      <c r="N126" s="52"/>
    </row>
    <row r="127" ht="15.75" customHeight="1">
      <c r="E127" s="49"/>
      <c r="G127" s="50"/>
      <c r="H127" s="51"/>
      <c r="I127" s="51"/>
      <c r="J127" s="51"/>
      <c r="K127" s="51"/>
      <c r="L127" s="52"/>
      <c r="M127" s="52"/>
      <c r="N127" s="52"/>
    </row>
    <row r="128" ht="15.75" customHeight="1">
      <c r="E128" s="49"/>
      <c r="G128" s="50"/>
      <c r="H128" s="51"/>
      <c r="I128" s="51"/>
      <c r="J128" s="51"/>
      <c r="K128" s="51"/>
      <c r="L128" s="52"/>
      <c r="M128" s="52"/>
      <c r="N128" s="52"/>
    </row>
    <row r="129" ht="15.75" customHeight="1">
      <c r="E129" s="49"/>
      <c r="G129" s="50"/>
      <c r="H129" s="51"/>
      <c r="I129" s="51"/>
      <c r="J129" s="51"/>
      <c r="K129" s="51"/>
      <c r="L129" s="52"/>
      <c r="M129" s="52"/>
      <c r="N129" s="52"/>
    </row>
    <row r="130" ht="15.75" customHeight="1">
      <c r="E130" s="49"/>
      <c r="G130" s="50"/>
      <c r="H130" s="51"/>
      <c r="I130" s="51"/>
      <c r="J130" s="51"/>
      <c r="K130" s="51"/>
      <c r="L130" s="52"/>
      <c r="M130" s="52"/>
      <c r="N130" s="52"/>
    </row>
    <row r="131" ht="15.75" customHeight="1">
      <c r="E131" s="49"/>
      <c r="G131" s="50"/>
      <c r="H131" s="51"/>
      <c r="I131" s="51"/>
      <c r="J131" s="51"/>
      <c r="K131" s="51"/>
      <c r="L131" s="52"/>
      <c r="M131" s="52"/>
      <c r="N131" s="52"/>
    </row>
    <row r="132" ht="15.75" customHeight="1">
      <c r="E132" s="49"/>
      <c r="G132" s="50"/>
      <c r="H132" s="51"/>
      <c r="I132" s="51"/>
      <c r="J132" s="51"/>
      <c r="K132" s="51"/>
      <c r="L132" s="52"/>
      <c r="M132" s="52"/>
      <c r="N132" s="52"/>
    </row>
    <row r="133" ht="15.75" customHeight="1">
      <c r="E133" s="49"/>
      <c r="G133" s="50"/>
      <c r="H133" s="51"/>
      <c r="I133" s="51"/>
      <c r="J133" s="51"/>
      <c r="K133" s="51"/>
      <c r="L133" s="52"/>
      <c r="M133" s="52"/>
      <c r="N133" s="52"/>
    </row>
    <row r="134" ht="15.75" customHeight="1">
      <c r="E134" s="49"/>
      <c r="G134" s="50"/>
      <c r="H134" s="51"/>
      <c r="I134" s="51"/>
      <c r="J134" s="51"/>
      <c r="K134" s="51"/>
      <c r="L134" s="52"/>
      <c r="M134" s="52"/>
      <c r="N134" s="52"/>
    </row>
    <row r="135" ht="15.75" customHeight="1">
      <c r="E135" s="49"/>
      <c r="G135" s="50"/>
      <c r="H135" s="51"/>
      <c r="I135" s="51"/>
      <c r="J135" s="51"/>
      <c r="K135" s="51"/>
      <c r="L135" s="52"/>
      <c r="M135" s="52"/>
      <c r="N135" s="52"/>
    </row>
    <row r="136" ht="15.75" customHeight="1">
      <c r="E136" s="49"/>
      <c r="G136" s="50"/>
      <c r="H136" s="51"/>
      <c r="I136" s="51"/>
      <c r="J136" s="51"/>
      <c r="K136" s="51"/>
      <c r="L136" s="52"/>
      <c r="M136" s="52"/>
      <c r="N136" s="52"/>
    </row>
    <row r="137" ht="15.75" customHeight="1">
      <c r="E137" s="49"/>
      <c r="G137" s="50"/>
      <c r="H137" s="51"/>
      <c r="I137" s="51"/>
      <c r="J137" s="51"/>
      <c r="K137" s="51"/>
      <c r="L137" s="52"/>
      <c r="M137" s="52"/>
      <c r="N137" s="52"/>
    </row>
    <row r="138" ht="15.75" customHeight="1">
      <c r="E138" s="49"/>
      <c r="G138" s="50"/>
      <c r="H138" s="51"/>
      <c r="I138" s="51"/>
      <c r="J138" s="51"/>
      <c r="K138" s="51"/>
      <c r="L138" s="52"/>
      <c r="M138" s="52"/>
      <c r="N138" s="52"/>
    </row>
    <row r="139" ht="15.75" customHeight="1">
      <c r="E139" s="49"/>
      <c r="G139" s="50"/>
      <c r="H139" s="51"/>
      <c r="I139" s="51"/>
      <c r="J139" s="51"/>
      <c r="K139" s="51"/>
      <c r="L139" s="52"/>
      <c r="M139" s="52"/>
      <c r="N139" s="52"/>
    </row>
    <row r="140" ht="15.75" customHeight="1">
      <c r="E140" s="49"/>
      <c r="G140" s="50"/>
      <c r="H140" s="51"/>
      <c r="I140" s="51"/>
      <c r="J140" s="51"/>
      <c r="K140" s="51"/>
      <c r="L140" s="52"/>
      <c r="M140" s="52"/>
      <c r="N140" s="52"/>
    </row>
    <row r="141" ht="15.75" customHeight="1">
      <c r="E141" s="49"/>
      <c r="G141" s="50"/>
      <c r="H141" s="51"/>
      <c r="I141" s="51"/>
      <c r="J141" s="51"/>
      <c r="K141" s="51"/>
      <c r="L141" s="52"/>
      <c r="M141" s="52"/>
      <c r="N141" s="52"/>
    </row>
    <row r="142" ht="15.75" customHeight="1">
      <c r="E142" s="49"/>
      <c r="G142" s="50"/>
      <c r="H142" s="51"/>
      <c r="I142" s="51"/>
      <c r="J142" s="51"/>
      <c r="K142" s="51"/>
      <c r="L142" s="52"/>
      <c r="M142" s="52"/>
      <c r="N142" s="52"/>
    </row>
    <row r="143" ht="15.75" customHeight="1">
      <c r="E143" s="49"/>
      <c r="G143" s="50"/>
      <c r="H143" s="51"/>
      <c r="I143" s="51"/>
      <c r="J143" s="51"/>
      <c r="K143" s="51"/>
      <c r="L143" s="52"/>
      <c r="M143" s="52"/>
      <c r="N143" s="52"/>
    </row>
    <row r="144" ht="15.75" customHeight="1">
      <c r="E144" s="49"/>
      <c r="G144" s="50"/>
      <c r="H144" s="51"/>
      <c r="I144" s="51"/>
      <c r="J144" s="51"/>
      <c r="K144" s="51"/>
      <c r="L144" s="52"/>
      <c r="M144" s="52"/>
      <c r="N144" s="52"/>
    </row>
    <row r="145" ht="15.75" customHeight="1">
      <c r="E145" s="49"/>
      <c r="G145" s="50"/>
      <c r="H145" s="51"/>
      <c r="I145" s="51"/>
      <c r="J145" s="51"/>
      <c r="K145" s="51"/>
      <c r="L145" s="52"/>
      <c r="M145" s="52"/>
      <c r="N145" s="52"/>
    </row>
    <row r="146" ht="15.75" customHeight="1">
      <c r="E146" s="49"/>
      <c r="G146" s="50"/>
      <c r="H146" s="51"/>
      <c r="I146" s="51"/>
      <c r="J146" s="51"/>
      <c r="K146" s="51"/>
      <c r="L146" s="52"/>
      <c r="M146" s="52"/>
      <c r="N146" s="52"/>
    </row>
    <row r="147" ht="15.75" customHeight="1">
      <c r="E147" s="49"/>
      <c r="G147" s="50"/>
      <c r="H147" s="51"/>
      <c r="I147" s="51"/>
      <c r="J147" s="51"/>
      <c r="K147" s="51"/>
      <c r="L147" s="52"/>
      <c r="M147" s="52"/>
      <c r="N147" s="52"/>
    </row>
    <row r="148" ht="15.75" customHeight="1">
      <c r="E148" s="49"/>
      <c r="G148" s="50"/>
      <c r="H148" s="51"/>
      <c r="I148" s="51"/>
      <c r="J148" s="51"/>
      <c r="K148" s="51"/>
      <c r="L148" s="52"/>
      <c r="M148" s="52"/>
      <c r="N148" s="52"/>
    </row>
    <row r="149" ht="15.75" customHeight="1">
      <c r="E149" s="49"/>
      <c r="G149" s="50"/>
      <c r="H149" s="51"/>
      <c r="I149" s="51"/>
      <c r="J149" s="51"/>
      <c r="K149" s="51"/>
      <c r="L149" s="52"/>
      <c r="M149" s="52"/>
      <c r="N149" s="52"/>
    </row>
    <row r="150" ht="15.75" customHeight="1">
      <c r="E150" s="49"/>
      <c r="G150" s="50"/>
      <c r="H150" s="51"/>
      <c r="I150" s="51"/>
      <c r="J150" s="51"/>
      <c r="K150" s="51"/>
      <c r="L150" s="52"/>
      <c r="M150" s="52"/>
      <c r="N150" s="52"/>
    </row>
    <row r="151" ht="15.75" customHeight="1">
      <c r="E151" s="49"/>
      <c r="G151" s="50"/>
      <c r="H151" s="51"/>
      <c r="I151" s="51"/>
      <c r="J151" s="51"/>
      <c r="K151" s="51"/>
      <c r="L151" s="52"/>
      <c r="M151" s="52"/>
      <c r="N151" s="52"/>
    </row>
    <row r="152" ht="15.75" customHeight="1">
      <c r="E152" s="49"/>
      <c r="G152" s="50"/>
      <c r="H152" s="51"/>
      <c r="I152" s="51"/>
      <c r="J152" s="51"/>
      <c r="K152" s="51"/>
      <c r="L152" s="52"/>
      <c r="M152" s="52"/>
      <c r="N152" s="52"/>
    </row>
    <row r="153" ht="15.75" customHeight="1">
      <c r="E153" s="49"/>
      <c r="G153" s="50"/>
      <c r="H153" s="51"/>
      <c r="I153" s="51"/>
      <c r="J153" s="51"/>
      <c r="K153" s="51"/>
      <c r="L153" s="52"/>
      <c r="M153" s="52"/>
      <c r="N153" s="52"/>
    </row>
    <row r="154" ht="15.75" customHeight="1">
      <c r="E154" s="49"/>
      <c r="G154" s="50"/>
      <c r="H154" s="51"/>
      <c r="I154" s="51"/>
      <c r="J154" s="51"/>
      <c r="K154" s="51"/>
      <c r="L154" s="52"/>
      <c r="M154" s="52"/>
      <c r="N154" s="52"/>
    </row>
    <row r="155" ht="15.75" customHeight="1">
      <c r="E155" s="49"/>
      <c r="G155" s="50"/>
      <c r="H155" s="51"/>
      <c r="I155" s="51"/>
      <c r="J155" s="51"/>
      <c r="K155" s="51"/>
      <c r="L155" s="52"/>
      <c r="M155" s="52"/>
      <c r="N155" s="52"/>
    </row>
    <row r="156" ht="15.75" customHeight="1">
      <c r="E156" s="49"/>
      <c r="G156" s="50"/>
      <c r="H156" s="51"/>
      <c r="I156" s="51"/>
      <c r="J156" s="51"/>
      <c r="K156" s="51"/>
      <c r="L156" s="52"/>
      <c r="M156" s="52"/>
      <c r="N156" s="52"/>
    </row>
    <row r="157" ht="15.75" customHeight="1">
      <c r="E157" s="49"/>
      <c r="G157" s="50"/>
      <c r="H157" s="51"/>
      <c r="I157" s="51"/>
      <c r="J157" s="51"/>
      <c r="K157" s="51"/>
      <c r="L157" s="52"/>
      <c r="M157" s="52"/>
      <c r="N157" s="52"/>
    </row>
    <row r="158" ht="15.75" customHeight="1">
      <c r="E158" s="49"/>
      <c r="G158" s="50"/>
      <c r="H158" s="51"/>
      <c r="I158" s="51"/>
      <c r="J158" s="51"/>
      <c r="K158" s="51"/>
      <c r="L158" s="52"/>
      <c r="M158" s="52"/>
      <c r="N158" s="52"/>
    </row>
    <row r="159" ht="15.75" customHeight="1">
      <c r="E159" s="49"/>
      <c r="G159" s="50"/>
      <c r="H159" s="51"/>
      <c r="I159" s="51"/>
      <c r="J159" s="51"/>
      <c r="K159" s="51"/>
      <c r="L159" s="52"/>
      <c r="M159" s="52"/>
      <c r="N159" s="52"/>
    </row>
    <row r="160" ht="15.75" customHeight="1">
      <c r="E160" s="49"/>
      <c r="G160" s="50"/>
      <c r="H160" s="51"/>
      <c r="I160" s="51"/>
      <c r="J160" s="51"/>
      <c r="K160" s="51"/>
      <c r="L160" s="52"/>
      <c r="M160" s="52"/>
      <c r="N160" s="52"/>
    </row>
    <row r="161" ht="15.75" customHeight="1">
      <c r="E161" s="49"/>
      <c r="G161" s="50"/>
      <c r="H161" s="51"/>
      <c r="I161" s="51"/>
      <c r="J161" s="51"/>
      <c r="K161" s="51"/>
      <c r="L161" s="52"/>
      <c r="M161" s="52"/>
      <c r="N161" s="52"/>
    </row>
    <row r="162" ht="15.75" customHeight="1">
      <c r="E162" s="49"/>
      <c r="G162" s="50"/>
      <c r="H162" s="51"/>
      <c r="I162" s="51"/>
      <c r="J162" s="51"/>
      <c r="K162" s="51"/>
      <c r="L162" s="52"/>
      <c r="M162" s="52"/>
      <c r="N162" s="52"/>
    </row>
    <row r="163" ht="15.75" customHeight="1">
      <c r="E163" s="49"/>
      <c r="G163" s="50"/>
      <c r="H163" s="51"/>
      <c r="I163" s="51"/>
      <c r="J163" s="51"/>
      <c r="K163" s="51"/>
      <c r="L163" s="52"/>
      <c r="M163" s="52"/>
      <c r="N163" s="52"/>
    </row>
    <row r="164" ht="15.75" customHeight="1">
      <c r="E164" s="49"/>
      <c r="G164" s="50"/>
      <c r="H164" s="51"/>
      <c r="I164" s="51"/>
      <c r="J164" s="51"/>
      <c r="K164" s="51"/>
      <c r="L164" s="52"/>
      <c r="M164" s="52"/>
      <c r="N164" s="52"/>
    </row>
    <row r="165" ht="15.75" customHeight="1">
      <c r="E165" s="49"/>
      <c r="G165" s="50"/>
      <c r="H165" s="51"/>
      <c r="I165" s="51"/>
      <c r="J165" s="51"/>
      <c r="K165" s="51"/>
      <c r="L165" s="52"/>
      <c r="M165" s="52"/>
      <c r="N165" s="52"/>
    </row>
    <row r="166" ht="15.75" customHeight="1">
      <c r="E166" s="49"/>
      <c r="G166" s="50"/>
      <c r="H166" s="51"/>
      <c r="I166" s="51"/>
      <c r="J166" s="51"/>
      <c r="K166" s="51"/>
      <c r="L166" s="52"/>
      <c r="M166" s="52"/>
      <c r="N166" s="52"/>
    </row>
    <row r="167" ht="15.75" customHeight="1">
      <c r="E167" s="49"/>
      <c r="G167" s="50"/>
      <c r="H167" s="51"/>
      <c r="I167" s="51"/>
      <c r="J167" s="51"/>
      <c r="K167" s="51"/>
      <c r="L167" s="52"/>
      <c r="M167" s="52"/>
      <c r="N167" s="52"/>
    </row>
    <row r="168" ht="15.75" customHeight="1">
      <c r="E168" s="49"/>
      <c r="G168" s="50"/>
      <c r="H168" s="51"/>
      <c r="I168" s="51"/>
      <c r="J168" s="51"/>
      <c r="K168" s="51"/>
      <c r="L168" s="52"/>
      <c r="M168" s="52"/>
      <c r="N168" s="52"/>
    </row>
    <row r="169" ht="15.75" customHeight="1">
      <c r="E169" s="49"/>
      <c r="G169" s="50"/>
      <c r="H169" s="51"/>
      <c r="I169" s="51"/>
      <c r="J169" s="51"/>
      <c r="K169" s="51"/>
      <c r="L169" s="52"/>
      <c r="M169" s="52"/>
      <c r="N169" s="52"/>
    </row>
    <row r="170" ht="15.75" customHeight="1">
      <c r="E170" s="49"/>
      <c r="G170" s="50"/>
      <c r="H170" s="51"/>
      <c r="I170" s="51"/>
      <c r="J170" s="51"/>
      <c r="K170" s="51"/>
      <c r="L170" s="52"/>
      <c r="M170" s="52"/>
      <c r="N170" s="52"/>
    </row>
    <row r="171" ht="15.75" customHeight="1">
      <c r="E171" s="49"/>
      <c r="G171" s="50"/>
      <c r="H171" s="51"/>
      <c r="I171" s="51"/>
      <c r="J171" s="51"/>
      <c r="K171" s="51"/>
      <c r="L171" s="52"/>
      <c r="M171" s="52"/>
      <c r="N171" s="52"/>
    </row>
    <row r="172" ht="15.75" customHeight="1">
      <c r="E172" s="49"/>
      <c r="G172" s="50"/>
      <c r="H172" s="51"/>
      <c r="I172" s="51"/>
      <c r="J172" s="51"/>
      <c r="K172" s="51"/>
      <c r="L172" s="52"/>
      <c r="M172" s="52"/>
      <c r="N172" s="52"/>
    </row>
    <row r="173" ht="15.75" customHeight="1">
      <c r="E173" s="49"/>
      <c r="G173" s="50"/>
      <c r="H173" s="51"/>
      <c r="I173" s="51"/>
      <c r="J173" s="51"/>
      <c r="K173" s="51"/>
      <c r="L173" s="52"/>
      <c r="M173" s="52"/>
      <c r="N173" s="52"/>
    </row>
    <row r="174" ht="15.75" customHeight="1">
      <c r="E174" s="49"/>
      <c r="G174" s="50"/>
      <c r="H174" s="51"/>
      <c r="I174" s="51"/>
      <c r="J174" s="51"/>
      <c r="K174" s="51"/>
      <c r="L174" s="52"/>
      <c r="M174" s="52"/>
      <c r="N174" s="52"/>
    </row>
    <row r="175" ht="15.75" customHeight="1">
      <c r="E175" s="49"/>
      <c r="G175" s="50"/>
      <c r="H175" s="51"/>
      <c r="I175" s="51"/>
      <c r="J175" s="51"/>
      <c r="K175" s="51"/>
      <c r="L175" s="52"/>
      <c r="M175" s="52"/>
      <c r="N175" s="52"/>
    </row>
    <row r="176" ht="15.75" customHeight="1">
      <c r="E176" s="49"/>
      <c r="G176" s="50"/>
      <c r="H176" s="51"/>
      <c r="I176" s="51"/>
      <c r="J176" s="51"/>
      <c r="K176" s="51"/>
      <c r="L176" s="52"/>
      <c r="M176" s="52"/>
      <c r="N176" s="52"/>
    </row>
    <row r="177" ht="15.75" customHeight="1">
      <c r="E177" s="49"/>
      <c r="G177" s="50"/>
      <c r="H177" s="51"/>
      <c r="I177" s="51"/>
      <c r="J177" s="51"/>
      <c r="K177" s="51"/>
      <c r="L177" s="52"/>
      <c r="M177" s="52"/>
      <c r="N177" s="52"/>
    </row>
    <row r="178" ht="15.75" customHeight="1">
      <c r="E178" s="49"/>
      <c r="G178" s="50"/>
      <c r="H178" s="51"/>
      <c r="I178" s="51"/>
      <c r="J178" s="51"/>
      <c r="K178" s="51"/>
      <c r="L178" s="52"/>
      <c r="M178" s="52"/>
      <c r="N178" s="52"/>
    </row>
    <row r="179" ht="15.75" customHeight="1">
      <c r="E179" s="49"/>
      <c r="G179" s="50"/>
      <c r="H179" s="51"/>
      <c r="I179" s="51"/>
      <c r="J179" s="51"/>
      <c r="K179" s="51"/>
      <c r="L179" s="52"/>
      <c r="M179" s="52"/>
      <c r="N179" s="52"/>
    </row>
    <row r="180" ht="15.75" customHeight="1">
      <c r="E180" s="49"/>
      <c r="G180" s="50"/>
      <c r="H180" s="51"/>
      <c r="I180" s="51"/>
      <c r="J180" s="51"/>
      <c r="K180" s="51"/>
      <c r="L180" s="52"/>
      <c r="M180" s="52"/>
      <c r="N180" s="52"/>
    </row>
    <row r="181" ht="15.75" customHeight="1">
      <c r="E181" s="49"/>
      <c r="G181" s="50"/>
      <c r="H181" s="51"/>
      <c r="I181" s="51"/>
      <c r="J181" s="51"/>
      <c r="K181" s="51"/>
      <c r="L181" s="52"/>
      <c r="M181" s="52"/>
      <c r="N181" s="52"/>
    </row>
    <row r="182" ht="15.75" customHeight="1">
      <c r="E182" s="49"/>
      <c r="G182" s="50"/>
      <c r="H182" s="51"/>
      <c r="I182" s="51"/>
      <c r="J182" s="51"/>
      <c r="K182" s="51"/>
      <c r="L182" s="52"/>
      <c r="M182" s="52"/>
      <c r="N182" s="52"/>
    </row>
    <row r="183" ht="15.75" customHeight="1">
      <c r="E183" s="49"/>
      <c r="G183" s="50"/>
      <c r="H183" s="51"/>
      <c r="I183" s="51"/>
      <c r="J183" s="51"/>
      <c r="K183" s="51"/>
      <c r="L183" s="52"/>
      <c r="M183" s="52"/>
      <c r="N183" s="52"/>
    </row>
    <row r="184" ht="15.75" customHeight="1">
      <c r="E184" s="49"/>
      <c r="G184" s="50"/>
      <c r="H184" s="51"/>
      <c r="I184" s="51"/>
      <c r="J184" s="51"/>
      <c r="K184" s="51"/>
      <c r="L184" s="52"/>
      <c r="M184" s="52"/>
      <c r="N184" s="52"/>
    </row>
    <row r="185" ht="15.75" customHeight="1">
      <c r="E185" s="49"/>
      <c r="G185" s="50"/>
      <c r="H185" s="51"/>
      <c r="I185" s="51"/>
      <c r="J185" s="51"/>
      <c r="K185" s="51"/>
      <c r="L185" s="52"/>
      <c r="M185" s="52"/>
      <c r="N185" s="52"/>
    </row>
    <row r="186" ht="15.75" customHeight="1">
      <c r="E186" s="49"/>
      <c r="G186" s="50"/>
      <c r="H186" s="51"/>
      <c r="I186" s="51"/>
      <c r="J186" s="51"/>
      <c r="K186" s="51"/>
      <c r="L186" s="52"/>
      <c r="M186" s="52"/>
      <c r="N186" s="52"/>
    </row>
    <row r="187" ht="15.75" customHeight="1">
      <c r="E187" s="49"/>
      <c r="G187" s="50"/>
      <c r="H187" s="51"/>
      <c r="I187" s="51"/>
      <c r="J187" s="51"/>
      <c r="K187" s="51"/>
      <c r="L187" s="52"/>
      <c r="M187" s="52"/>
      <c r="N187" s="52"/>
    </row>
    <row r="188" ht="15.75" customHeight="1">
      <c r="E188" s="49"/>
      <c r="G188" s="50"/>
      <c r="H188" s="51"/>
      <c r="I188" s="51"/>
      <c r="J188" s="51"/>
      <c r="K188" s="51"/>
      <c r="L188" s="52"/>
      <c r="M188" s="52"/>
      <c r="N188" s="52"/>
    </row>
    <row r="189" ht="15.75" customHeight="1">
      <c r="E189" s="49"/>
      <c r="G189" s="50"/>
      <c r="H189" s="51"/>
      <c r="I189" s="51"/>
      <c r="J189" s="51"/>
      <c r="K189" s="51"/>
      <c r="L189" s="52"/>
      <c r="M189" s="52"/>
      <c r="N189" s="52"/>
    </row>
    <row r="190" ht="15.75" customHeight="1">
      <c r="E190" s="49"/>
      <c r="G190" s="50"/>
      <c r="H190" s="51"/>
      <c r="I190" s="51"/>
      <c r="J190" s="51"/>
      <c r="K190" s="51"/>
      <c r="L190" s="52"/>
      <c r="M190" s="52"/>
      <c r="N190" s="52"/>
    </row>
    <row r="191" ht="15.75" customHeight="1">
      <c r="E191" s="49"/>
      <c r="G191" s="50"/>
      <c r="H191" s="51"/>
      <c r="I191" s="51"/>
      <c r="J191" s="51"/>
      <c r="K191" s="51"/>
      <c r="L191" s="52"/>
      <c r="M191" s="52"/>
      <c r="N191" s="52"/>
    </row>
    <row r="192" ht="15.75" customHeight="1">
      <c r="E192" s="49"/>
      <c r="G192" s="50"/>
      <c r="H192" s="51"/>
      <c r="I192" s="51"/>
      <c r="J192" s="51"/>
      <c r="K192" s="51"/>
      <c r="L192" s="52"/>
      <c r="M192" s="52"/>
      <c r="N192" s="52"/>
    </row>
    <row r="193" ht="15.75" customHeight="1">
      <c r="E193" s="49"/>
      <c r="G193" s="50"/>
      <c r="H193" s="51"/>
      <c r="I193" s="51"/>
      <c r="J193" s="51"/>
      <c r="K193" s="51"/>
      <c r="L193" s="52"/>
      <c r="M193" s="52"/>
      <c r="N193" s="52"/>
    </row>
    <row r="194" ht="15.75" customHeight="1">
      <c r="E194" s="49"/>
      <c r="G194" s="50"/>
      <c r="H194" s="51"/>
      <c r="I194" s="51"/>
      <c r="J194" s="51"/>
      <c r="K194" s="51"/>
      <c r="L194" s="52"/>
      <c r="M194" s="52"/>
      <c r="N194" s="52"/>
    </row>
    <row r="195" ht="15.75" customHeight="1">
      <c r="E195" s="49"/>
      <c r="G195" s="50"/>
      <c r="H195" s="51"/>
      <c r="I195" s="51"/>
      <c r="J195" s="51"/>
      <c r="K195" s="51"/>
      <c r="L195" s="52"/>
      <c r="M195" s="52"/>
      <c r="N195" s="52"/>
    </row>
    <row r="196" ht="15.75" customHeight="1">
      <c r="E196" s="49"/>
      <c r="G196" s="50"/>
      <c r="H196" s="51"/>
      <c r="I196" s="51"/>
      <c r="J196" s="51"/>
      <c r="K196" s="51"/>
      <c r="L196" s="52"/>
      <c r="M196" s="52"/>
      <c r="N196" s="52"/>
    </row>
    <row r="197" ht="15.75" customHeight="1">
      <c r="E197" s="49"/>
      <c r="G197" s="50"/>
      <c r="H197" s="51"/>
      <c r="I197" s="51"/>
      <c r="J197" s="51"/>
      <c r="K197" s="51"/>
      <c r="L197" s="52"/>
      <c r="M197" s="52"/>
      <c r="N197" s="52"/>
    </row>
    <row r="198" ht="15.75" customHeight="1">
      <c r="E198" s="49"/>
      <c r="G198" s="50"/>
      <c r="H198" s="51"/>
      <c r="I198" s="51"/>
      <c r="J198" s="51"/>
      <c r="K198" s="51"/>
      <c r="L198" s="52"/>
      <c r="M198" s="52"/>
      <c r="N198" s="52"/>
    </row>
    <row r="199" ht="15.75" customHeight="1">
      <c r="E199" s="49"/>
      <c r="G199" s="50"/>
      <c r="H199" s="51"/>
      <c r="I199" s="51"/>
      <c r="J199" s="51"/>
      <c r="K199" s="51"/>
      <c r="L199" s="52"/>
      <c r="M199" s="52"/>
      <c r="N199" s="52"/>
    </row>
    <row r="200" ht="15.75" customHeight="1">
      <c r="E200" s="49"/>
      <c r="G200" s="50"/>
      <c r="H200" s="51"/>
      <c r="I200" s="51"/>
      <c r="J200" s="51"/>
      <c r="K200" s="51"/>
      <c r="L200" s="52"/>
      <c r="M200" s="52"/>
      <c r="N200" s="52"/>
    </row>
    <row r="201" ht="15.75" customHeight="1">
      <c r="E201" s="49"/>
      <c r="G201" s="50"/>
      <c r="H201" s="51"/>
      <c r="I201" s="51"/>
      <c r="J201" s="51"/>
      <c r="K201" s="51"/>
      <c r="L201" s="52"/>
      <c r="M201" s="52"/>
      <c r="N201" s="52"/>
    </row>
    <row r="202" ht="15.75" customHeight="1">
      <c r="E202" s="49"/>
      <c r="G202" s="50"/>
      <c r="H202" s="51"/>
      <c r="I202" s="51"/>
      <c r="J202" s="51"/>
      <c r="K202" s="51"/>
      <c r="L202" s="52"/>
      <c r="M202" s="52"/>
      <c r="N202" s="52"/>
    </row>
    <row r="203" ht="15.75" customHeight="1">
      <c r="E203" s="49"/>
      <c r="G203" s="50"/>
      <c r="H203" s="51"/>
      <c r="I203" s="51"/>
      <c r="J203" s="51"/>
      <c r="K203" s="51"/>
      <c r="L203" s="52"/>
      <c r="M203" s="52"/>
      <c r="N203" s="52"/>
    </row>
    <row r="204" ht="15.75" customHeight="1">
      <c r="E204" s="49"/>
      <c r="G204" s="50"/>
      <c r="H204" s="51"/>
      <c r="I204" s="51"/>
      <c r="J204" s="51"/>
      <c r="K204" s="51"/>
      <c r="L204" s="52"/>
      <c r="M204" s="52"/>
      <c r="N204" s="52"/>
    </row>
    <row r="205" ht="15.75" customHeight="1">
      <c r="E205" s="49"/>
      <c r="G205" s="50"/>
      <c r="H205" s="51"/>
      <c r="I205" s="51"/>
      <c r="J205" s="51"/>
      <c r="K205" s="51"/>
      <c r="L205" s="52"/>
      <c r="M205" s="52"/>
      <c r="N205" s="52"/>
    </row>
    <row r="206" ht="15.75" customHeight="1">
      <c r="E206" s="49"/>
      <c r="G206" s="50"/>
      <c r="H206" s="51"/>
      <c r="I206" s="51"/>
      <c r="J206" s="51"/>
      <c r="K206" s="51"/>
      <c r="L206" s="52"/>
      <c r="M206" s="52"/>
      <c r="N206" s="52"/>
    </row>
    <row r="207" ht="15.75" customHeight="1">
      <c r="E207" s="49"/>
      <c r="G207" s="50"/>
      <c r="H207" s="51"/>
      <c r="I207" s="51"/>
      <c r="J207" s="51"/>
      <c r="K207" s="51"/>
      <c r="L207" s="52"/>
      <c r="M207" s="52"/>
      <c r="N207" s="52"/>
    </row>
    <row r="208" ht="15.75" customHeight="1">
      <c r="E208" s="49"/>
      <c r="G208" s="50"/>
      <c r="H208" s="51"/>
      <c r="I208" s="51"/>
      <c r="J208" s="51"/>
      <c r="K208" s="51"/>
      <c r="L208" s="52"/>
      <c r="M208" s="52"/>
      <c r="N208" s="52"/>
    </row>
    <row r="209" ht="15.75" customHeight="1">
      <c r="E209" s="49"/>
      <c r="G209" s="50"/>
      <c r="H209" s="51"/>
      <c r="I209" s="51"/>
      <c r="J209" s="51"/>
      <c r="K209" s="51"/>
      <c r="L209" s="52"/>
      <c r="M209" s="52"/>
      <c r="N209" s="52"/>
    </row>
    <row r="210" ht="15.75" customHeight="1">
      <c r="E210" s="49"/>
      <c r="G210" s="50"/>
      <c r="H210" s="51"/>
      <c r="I210" s="51"/>
      <c r="J210" s="51"/>
      <c r="K210" s="51"/>
      <c r="L210" s="52"/>
      <c r="M210" s="52"/>
      <c r="N210" s="52"/>
    </row>
    <row r="211" ht="15.75" customHeight="1">
      <c r="E211" s="49"/>
      <c r="G211" s="50"/>
      <c r="H211" s="51"/>
      <c r="I211" s="51"/>
      <c r="J211" s="51"/>
      <c r="K211" s="51"/>
      <c r="L211" s="52"/>
      <c r="M211" s="52"/>
      <c r="N211" s="52"/>
    </row>
    <row r="212" ht="15.75" customHeight="1">
      <c r="E212" s="49"/>
      <c r="G212" s="50"/>
      <c r="H212" s="51"/>
      <c r="I212" s="51"/>
      <c r="J212" s="51"/>
      <c r="K212" s="51"/>
      <c r="L212" s="52"/>
      <c r="M212" s="52"/>
      <c r="N212" s="52"/>
    </row>
    <row r="213" ht="15.75" customHeight="1">
      <c r="E213" s="49"/>
      <c r="G213" s="50"/>
      <c r="H213" s="51"/>
      <c r="I213" s="51"/>
      <c r="J213" s="51"/>
      <c r="K213" s="51"/>
      <c r="L213" s="52"/>
      <c r="M213" s="52"/>
      <c r="N213" s="52"/>
    </row>
    <row r="214" ht="15.75" customHeight="1">
      <c r="E214" s="49"/>
      <c r="G214" s="50"/>
      <c r="H214" s="51"/>
      <c r="I214" s="51"/>
      <c r="J214" s="51"/>
      <c r="K214" s="51"/>
      <c r="L214" s="52"/>
      <c r="M214" s="52"/>
      <c r="N214" s="52"/>
    </row>
    <row r="215" ht="15.75" customHeight="1">
      <c r="E215" s="49"/>
      <c r="G215" s="50"/>
      <c r="H215" s="51"/>
      <c r="I215" s="51"/>
      <c r="J215" s="51"/>
      <c r="K215" s="51"/>
      <c r="L215" s="52"/>
      <c r="M215" s="52"/>
      <c r="N215" s="52"/>
    </row>
    <row r="216" ht="15.75" customHeight="1">
      <c r="E216" s="49"/>
      <c r="G216" s="50"/>
      <c r="H216" s="51"/>
      <c r="I216" s="51"/>
      <c r="J216" s="51"/>
      <c r="K216" s="51"/>
      <c r="L216" s="52"/>
      <c r="M216" s="52"/>
      <c r="N216" s="52"/>
    </row>
    <row r="217" ht="15.75" customHeight="1">
      <c r="E217" s="49"/>
      <c r="G217" s="50"/>
      <c r="H217" s="51"/>
      <c r="I217" s="51"/>
      <c r="J217" s="51"/>
      <c r="K217" s="51"/>
      <c r="L217" s="52"/>
      <c r="M217" s="52"/>
      <c r="N217" s="52"/>
    </row>
    <row r="218" ht="15.75" customHeight="1">
      <c r="E218" s="49"/>
      <c r="G218" s="50"/>
      <c r="H218" s="51"/>
      <c r="I218" s="51"/>
      <c r="J218" s="51"/>
      <c r="K218" s="51"/>
      <c r="L218" s="52"/>
      <c r="M218" s="52"/>
      <c r="N218" s="52"/>
    </row>
    <row r="219" ht="15.75" customHeight="1">
      <c r="E219" s="49"/>
      <c r="G219" s="50"/>
      <c r="H219" s="51"/>
      <c r="I219" s="51"/>
      <c r="J219" s="51"/>
      <c r="K219" s="51"/>
      <c r="L219" s="52"/>
      <c r="M219" s="52"/>
      <c r="N219" s="52"/>
    </row>
    <row r="220" ht="15.75" customHeight="1">
      <c r="E220" s="49"/>
      <c r="G220" s="50"/>
      <c r="H220" s="51"/>
      <c r="I220" s="51"/>
      <c r="J220" s="51"/>
      <c r="K220" s="51"/>
      <c r="L220" s="52"/>
      <c r="M220" s="52"/>
      <c r="N220" s="52"/>
    </row>
    <row r="221" ht="15.75" customHeight="1">
      <c r="E221" s="49"/>
      <c r="G221" s="50"/>
      <c r="H221" s="51"/>
      <c r="I221" s="51"/>
      <c r="J221" s="51"/>
      <c r="K221" s="51"/>
      <c r="L221" s="52"/>
      <c r="M221" s="52"/>
      <c r="N221" s="52"/>
    </row>
    <row r="222" ht="15.75" customHeight="1">
      <c r="E222" s="49"/>
      <c r="G222" s="50"/>
      <c r="H222" s="51"/>
      <c r="I222" s="51"/>
      <c r="J222" s="51"/>
      <c r="K222" s="51"/>
      <c r="L222" s="52"/>
      <c r="M222" s="52"/>
      <c r="N222" s="52"/>
    </row>
    <row r="223" ht="15.75" customHeight="1">
      <c r="E223" s="49"/>
      <c r="G223" s="50"/>
      <c r="H223" s="51"/>
      <c r="I223" s="51"/>
      <c r="J223" s="51"/>
      <c r="K223" s="51"/>
      <c r="L223" s="52"/>
      <c r="M223" s="52"/>
      <c r="N223" s="52"/>
    </row>
    <row r="224" ht="15.75" customHeight="1">
      <c r="E224" s="49"/>
      <c r="G224" s="50"/>
      <c r="H224" s="51"/>
      <c r="I224" s="51"/>
      <c r="J224" s="51"/>
      <c r="K224" s="51"/>
      <c r="L224" s="52"/>
      <c r="M224" s="52"/>
      <c r="N224" s="52"/>
    </row>
    <row r="225" ht="15.75" customHeight="1">
      <c r="E225" s="49"/>
      <c r="G225" s="50"/>
      <c r="H225" s="51"/>
      <c r="I225" s="51"/>
      <c r="J225" s="51"/>
      <c r="K225" s="51"/>
      <c r="L225" s="52"/>
      <c r="M225" s="52"/>
      <c r="N225" s="52"/>
    </row>
    <row r="226" ht="15.75" customHeight="1">
      <c r="E226" s="49"/>
      <c r="G226" s="50"/>
      <c r="H226" s="51"/>
      <c r="I226" s="51"/>
      <c r="J226" s="51"/>
      <c r="K226" s="51"/>
      <c r="L226" s="52"/>
      <c r="M226" s="52"/>
      <c r="N226" s="52"/>
    </row>
    <row r="227" ht="15.75" customHeight="1">
      <c r="E227" s="49"/>
      <c r="G227" s="50"/>
      <c r="H227" s="51"/>
      <c r="I227" s="51"/>
      <c r="J227" s="51"/>
      <c r="K227" s="51"/>
      <c r="L227" s="52"/>
      <c r="M227" s="52"/>
      <c r="N227" s="52"/>
    </row>
    <row r="228" ht="15.75" customHeight="1">
      <c r="E228" s="49"/>
      <c r="G228" s="50"/>
      <c r="H228" s="51"/>
      <c r="I228" s="51"/>
      <c r="J228" s="51"/>
      <c r="K228" s="51"/>
      <c r="L228" s="52"/>
      <c r="M228" s="52"/>
      <c r="N228" s="52"/>
    </row>
    <row r="229" ht="15.75" customHeight="1">
      <c r="E229" s="49"/>
      <c r="G229" s="50"/>
      <c r="H229" s="51"/>
      <c r="I229" s="51"/>
      <c r="J229" s="51"/>
      <c r="K229" s="51"/>
      <c r="L229" s="52"/>
      <c r="M229" s="52"/>
      <c r="N229" s="52"/>
    </row>
    <row r="230" ht="15.75" customHeight="1">
      <c r="E230" s="49"/>
      <c r="G230" s="50"/>
      <c r="H230" s="51"/>
      <c r="I230" s="51"/>
      <c r="J230" s="51"/>
      <c r="K230" s="51"/>
      <c r="L230" s="52"/>
      <c r="M230" s="52"/>
      <c r="N230" s="52"/>
    </row>
    <row r="231" ht="15.75" customHeight="1">
      <c r="E231" s="49"/>
      <c r="G231" s="50"/>
      <c r="H231" s="51"/>
      <c r="I231" s="51"/>
      <c r="J231" s="51"/>
      <c r="K231" s="51"/>
      <c r="L231" s="52"/>
      <c r="M231" s="52"/>
      <c r="N231" s="52"/>
    </row>
    <row r="232" ht="15.75" customHeight="1">
      <c r="E232" s="49"/>
      <c r="G232" s="50"/>
      <c r="H232" s="51"/>
      <c r="I232" s="51"/>
      <c r="J232" s="51"/>
      <c r="K232" s="51"/>
      <c r="L232" s="52"/>
      <c r="M232" s="52"/>
      <c r="N232" s="52"/>
    </row>
    <row r="233" ht="15.75" customHeight="1">
      <c r="E233" s="49"/>
      <c r="G233" s="50"/>
      <c r="H233" s="51"/>
      <c r="I233" s="51"/>
      <c r="J233" s="51"/>
      <c r="K233" s="51"/>
      <c r="L233" s="52"/>
      <c r="M233" s="52"/>
      <c r="N233" s="52"/>
    </row>
    <row r="234" ht="15.75" customHeight="1">
      <c r="E234" s="49"/>
      <c r="G234" s="50"/>
      <c r="H234" s="51"/>
      <c r="I234" s="51"/>
      <c r="J234" s="51"/>
      <c r="K234" s="51"/>
      <c r="L234" s="52"/>
      <c r="M234" s="52"/>
      <c r="N234" s="52"/>
    </row>
    <row r="235" ht="15.75" customHeight="1">
      <c r="E235" s="49"/>
      <c r="G235" s="50"/>
      <c r="H235" s="51"/>
      <c r="I235" s="51"/>
      <c r="J235" s="51"/>
      <c r="K235" s="51"/>
      <c r="L235" s="52"/>
      <c r="M235" s="52"/>
      <c r="N235" s="52"/>
    </row>
    <row r="236" ht="15.75" customHeight="1">
      <c r="E236" s="49"/>
      <c r="G236" s="50"/>
      <c r="H236" s="51"/>
      <c r="I236" s="51"/>
      <c r="J236" s="51"/>
      <c r="K236" s="51"/>
      <c r="L236" s="52"/>
      <c r="M236" s="52"/>
      <c r="N236" s="52"/>
    </row>
    <row r="237" ht="15.75" customHeight="1">
      <c r="E237" s="49"/>
      <c r="G237" s="50"/>
      <c r="H237" s="51"/>
      <c r="I237" s="51"/>
      <c r="J237" s="51"/>
      <c r="K237" s="51"/>
      <c r="L237" s="52"/>
      <c r="M237" s="52"/>
      <c r="N237" s="52"/>
    </row>
    <row r="238" ht="15.75" customHeight="1">
      <c r="E238" s="49"/>
      <c r="G238" s="50"/>
      <c r="H238" s="51"/>
      <c r="I238" s="51"/>
      <c r="J238" s="51"/>
      <c r="K238" s="51"/>
      <c r="L238" s="52"/>
      <c r="M238" s="52"/>
      <c r="N238" s="52"/>
    </row>
    <row r="239" ht="15.75" customHeight="1">
      <c r="E239" s="49"/>
      <c r="G239" s="50"/>
      <c r="H239" s="51"/>
      <c r="I239" s="51"/>
      <c r="J239" s="51"/>
      <c r="K239" s="51"/>
      <c r="L239" s="52"/>
      <c r="M239" s="52"/>
      <c r="N239" s="52"/>
    </row>
    <row r="240" ht="15.75" customHeight="1">
      <c r="E240" s="49"/>
      <c r="G240" s="50"/>
      <c r="H240" s="51"/>
      <c r="I240" s="51"/>
      <c r="J240" s="51"/>
      <c r="K240" s="51"/>
      <c r="L240" s="52"/>
      <c r="M240" s="52"/>
      <c r="N240" s="52"/>
    </row>
    <row r="241" ht="15.75" customHeight="1">
      <c r="E241" s="49"/>
      <c r="G241" s="50"/>
      <c r="H241" s="51"/>
      <c r="I241" s="51"/>
      <c r="J241" s="51"/>
      <c r="K241" s="51"/>
      <c r="L241" s="52"/>
      <c r="M241" s="52"/>
      <c r="N241" s="52"/>
    </row>
    <row r="242" ht="15.75" customHeight="1">
      <c r="E242" s="49"/>
      <c r="G242" s="50"/>
      <c r="H242" s="51"/>
      <c r="I242" s="51"/>
      <c r="J242" s="51"/>
      <c r="K242" s="51"/>
      <c r="L242" s="52"/>
      <c r="M242" s="52"/>
      <c r="N242" s="52"/>
    </row>
    <row r="243" ht="15.75" customHeight="1">
      <c r="E243" s="49"/>
      <c r="G243" s="50"/>
      <c r="H243" s="51"/>
      <c r="I243" s="51"/>
      <c r="J243" s="51"/>
      <c r="K243" s="51"/>
      <c r="L243" s="52"/>
      <c r="M243" s="52"/>
      <c r="N243" s="52"/>
    </row>
    <row r="244" ht="15.75" customHeight="1">
      <c r="E244" s="49"/>
      <c r="G244" s="50"/>
      <c r="H244" s="51"/>
      <c r="I244" s="51"/>
      <c r="J244" s="51"/>
      <c r="K244" s="51"/>
      <c r="L244" s="52"/>
      <c r="M244" s="52"/>
      <c r="N244" s="52"/>
    </row>
    <row r="245" ht="15.75" customHeight="1">
      <c r="E245" s="49"/>
      <c r="G245" s="50"/>
      <c r="H245" s="51"/>
      <c r="I245" s="51"/>
      <c r="J245" s="51"/>
      <c r="K245" s="51"/>
      <c r="L245" s="52"/>
      <c r="M245" s="52"/>
      <c r="N245" s="52"/>
    </row>
    <row r="246" ht="15.75" customHeight="1">
      <c r="E246" s="49"/>
      <c r="G246" s="50"/>
      <c r="H246" s="51"/>
      <c r="I246" s="51"/>
      <c r="J246" s="51"/>
      <c r="K246" s="51"/>
      <c r="L246" s="52"/>
      <c r="M246" s="52"/>
      <c r="N246" s="52"/>
    </row>
    <row r="247" ht="15.75" customHeight="1">
      <c r="E247" s="49"/>
      <c r="G247" s="50"/>
      <c r="H247" s="51"/>
      <c r="I247" s="51"/>
      <c r="J247" s="51"/>
      <c r="K247" s="51"/>
      <c r="L247" s="52"/>
      <c r="M247" s="52"/>
      <c r="N247" s="52"/>
    </row>
    <row r="248" ht="15.75" customHeight="1">
      <c r="E248" s="49"/>
      <c r="G248" s="50"/>
      <c r="H248" s="51"/>
      <c r="I248" s="51"/>
      <c r="J248" s="51"/>
      <c r="K248" s="51"/>
      <c r="L248" s="52"/>
      <c r="M248" s="52"/>
      <c r="N248" s="52"/>
    </row>
    <row r="249" ht="15.75" customHeight="1">
      <c r="E249" s="49"/>
      <c r="G249" s="50"/>
      <c r="H249" s="51"/>
      <c r="I249" s="51"/>
      <c r="J249" s="51"/>
      <c r="K249" s="51"/>
      <c r="L249" s="52"/>
      <c r="M249" s="52"/>
      <c r="N249" s="52"/>
    </row>
    <row r="250" ht="15.75" customHeight="1">
      <c r="E250" s="49"/>
      <c r="G250" s="50"/>
      <c r="H250" s="51"/>
      <c r="I250" s="51"/>
      <c r="J250" s="51"/>
      <c r="K250" s="51"/>
      <c r="L250" s="52"/>
      <c r="M250" s="52"/>
      <c r="N250" s="52"/>
    </row>
    <row r="251" ht="15.75" customHeight="1">
      <c r="E251" s="49"/>
      <c r="G251" s="50"/>
      <c r="H251" s="51"/>
      <c r="I251" s="51"/>
      <c r="J251" s="51"/>
      <c r="K251" s="51"/>
      <c r="L251" s="52"/>
      <c r="M251" s="52"/>
      <c r="N251" s="52"/>
    </row>
    <row r="252" ht="15.75" customHeight="1">
      <c r="E252" s="49"/>
      <c r="G252" s="50"/>
      <c r="H252" s="51"/>
      <c r="I252" s="51"/>
      <c r="J252" s="51"/>
      <c r="K252" s="51"/>
      <c r="L252" s="52"/>
      <c r="M252" s="52"/>
      <c r="N252" s="52"/>
    </row>
    <row r="253" ht="15.75" customHeight="1">
      <c r="E253" s="49"/>
      <c r="G253" s="50"/>
      <c r="H253" s="51"/>
      <c r="I253" s="51"/>
      <c r="J253" s="51"/>
      <c r="K253" s="51"/>
      <c r="L253" s="52"/>
      <c r="M253" s="52"/>
      <c r="N253" s="52"/>
    </row>
    <row r="254" ht="15.75" customHeight="1">
      <c r="E254" s="49"/>
      <c r="G254" s="50"/>
      <c r="H254" s="51"/>
      <c r="I254" s="51"/>
      <c r="J254" s="51"/>
      <c r="K254" s="51"/>
      <c r="L254" s="52"/>
      <c r="M254" s="52"/>
      <c r="N254" s="52"/>
    </row>
    <row r="255" ht="15.75" customHeight="1">
      <c r="E255" s="49"/>
      <c r="G255" s="50"/>
      <c r="H255" s="51"/>
      <c r="I255" s="51"/>
      <c r="J255" s="51"/>
      <c r="K255" s="51"/>
      <c r="L255" s="52"/>
      <c r="M255" s="52"/>
      <c r="N255" s="52"/>
    </row>
    <row r="256" ht="15.75" customHeight="1">
      <c r="E256" s="49"/>
      <c r="G256" s="50"/>
      <c r="H256" s="51"/>
      <c r="I256" s="51"/>
      <c r="J256" s="51"/>
      <c r="K256" s="51"/>
      <c r="L256" s="52"/>
      <c r="M256" s="52"/>
      <c r="N256" s="52"/>
    </row>
    <row r="257" ht="15.75" customHeight="1">
      <c r="E257" s="49"/>
      <c r="G257" s="50"/>
      <c r="H257" s="51"/>
      <c r="I257" s="51"/>
      <c r="J257" s="51"/>
      <c r="K257" s="51"/>
      <c r="L257" s="52"/>
      <c r="M257" s="52"/>
      <c r="N257" s="52"/>
    </row>
    <row r="258" ht="15.75" customHeight="1">
      <c r="E258" s="49"/>
      <c r="G258" s="50"/>
      <c r="H258" s="51"/>
      <c r="I258" s="51"/>
      <c r="J258" s="51"/>
      <c r="K258" s="51"/>
      <c r="L258" s="52"/>
      <c r="M258" s="52"/>
      <c r="N258" s="52"/>
    </row>
    <row r="259" ht="15.75" customHeight="1">
      <c r="E259" s="49"/>
      <c r="G259" s="50"/>
      <c r="H259" s="51"/>
      <c r="I259" s="51"/>
      <c r="J259" s="51"/>
      <c r="K259" s="51"/>
      <c r="L259" s="52"/>
      <c r="M259" s="52"/>
      <c r="N259" s="52"/>
    </row>
    <row r="260" ht="15.75" customHeight="1">
      <c r="E260" s="49"/>
      <c r="G260" s="50"/>
      <c r="H260" s="51"/>
      <c r="I260" s="51"/>
      <c r="J260" s="51"/>
      <c r="K260" s="51"/>
      <c r="L260" s="52"/>
      <c r="M260" s="52"/>
      <c r="N260" s="52"/>
    </row>
    <row r="261" ht="15.75" customHeight="1">
      <c r="E261" s="49"/>
      <c r="G261" s="50"/>
      <c r="H261" s="51"/>
      <c r="I261" s="51"/>
      <c r="J261" s="51"/>
      <c r="K261" s="51"/>
      <c r="L261" s="52"/>
      <c r="M261" s="52"/>
      <c r="N261" s="52"/>
    </row>
    <row r="262" ht="15.75" customHeight="1">
      <c r="E262" s="49"/>
      <c r="G262" s="50"/>
      <c r="H262" s="51"/>
      <c r="I262" s="51"/>
      <c r="J262" s="51"/>
      <c r="K262" s="51"/>
      <c r="L262" s="52"/>
      <c r="M262" s="52"/>
      <c r="N262" s="52"/>
    </row>
    <row r="263" ht="15.75" customHeight="1">
      <c r="E263" s="49"/>
      <c r="G263" s="50"/>
      <c r="H263" s="51"/>
      <c r="I263" s="51"/>
      <c r="J263" s="51"/>
      <c r="K263" s="51"/>
      <c r="L263" s="52"/>
      <c r="M263" s="52"/>
      <c r="N263" s="52"/>
    </row>
    <row r="264" ht="15.75" customHeight="1">
      <c r="E264" s="49"/>
      <c r="G264" s="50"/>
      <c r="H264" s="51"/>
      <c r="I264" s="51"/>
      <c r="J264" s="51"/>
      <c r="K264" s="51"/>
      <c r="L264" s="52"/>
      <c r="M264" s="52"/>
      <c r="N264" s="52"/>
    </row>
    <row r="265" ht="15.75" customHeight="1">
      <c r="E265" s="49"/>
      <c r="G265" s="50"/>
      <c r="H265" s="51"/>
      <c r="I265" s="51"/>
      <c r="J265" s="51"/>
      <c r="K265" s="51"/>
      <c r="L265" s="52"/>
      <c r="M265" s="52"/>
      <c r="N265" s="52"/>
    </row>
    <row r="266" ht="15.75" customHeight="1">
      <c r="E266" s="49"/>
      <c r="G266" s="50"/>
      <c r="H266" s="51"/>
      <c r="I266" s="51"/>
      <c r="J266" s="51"/>
      <c r="K266" s="51"/>
      <c r="L266" s="52"/>
      <c r="M266" s="52"/>
      <c r="N266" s="52"/>
    </row>
    <row r="267" ht="15.75" customHeight="1">
      <c r="E267" s="49"/>
      <c r="G267" s="50"/>
      <c r="H267" s="51"/>
      <c r="I267" s="51"/>
      <c r="J267" s="51"/>
      <c r="K267" s="51"/>
      <c r="L267" s="52"/>
      <c r="M267" s="52"/>
      <c r="N267" s="52"/>
    </row>
    <row r="268" ht="15.75" customHeight="1">
      <c r="E268" s="49"/>
      <c r="G268" s="50"/>
      <c r="H268" s="51"/>
      <c r="I268" s="51"/>
      <c r="J268" s="51"/>
      <c r="K268" s="51"/>
      <c r="L268" s="52"/>
      <c r="M268" s="52"/>
      <c r="N268" s="52"/>
    </row>
    <row r="269" ht="15.75" customHeight="1">
      <c r="E269" s="49"/>
      <c r="G269" s="50"/>
      <c r="H269" s="51"/>
      <c r="I269" s="51"/>
      <c r="J269" s="51"/>
      <c r="K269" s="51"/>
      <c r="L269" s="52"/>
      <c r="M269" s="52"/>
      <c r="N269" s="52"/>
    </row>
    <row r="270" ht="15.75" customHeight="1">
      <c r="E270" s="49"/>
      <c r="G270" s="50"/>
      <c r="H270" s="51"/>
      <c r="I270" s="51"/>
      <c r="J270" s="51"/>
      <c r="K270" s="51"/>
      <c r="L270" s="52"/>
      <c r="M270" s="52"/>
      <c r="N270" s="52"/>
    </row>
    <row r="271" ht="15.75" customHeight="1">
      <c r="E271" s="49"/>
      <c r="G271" s="50"/>
      <c r="H271" s="51"/>
      <c r="I271" s="51"/>
      <c r="J271" s="51"/>
      <c r="K271" s="51"/>
      <c r="L271" s="52"/>
      <c r="M271" s="52"/>
      <c r="N271" s="52"/>
    </row>
    <row r="272" ht="15.75" customHeight="1">
      <c r="E272" s="49"/>
      <c r="G272" s="50"/>
      <c r="H272" s="51"/>
      <c r="I272" s="51"/>
      <c r="J272" s="51"/>
      <c r="K272" s="51"/>
      <c r="L272" s="52"/>
      <c r="M272" s="52"/>
      <c r="N272" s="52"/>
    </row>
    <row r="273" ht="15.75" customHeight="1">
      <c r="E273" s="49"/>
      <c r="G273" s="50"/>
      <c r="H273" s="51"/>
      <c r="I273" s="51"/>
      <c r="J273" s="51"/>
      <c r="K273" s="51"/>
      <c r="L273" s="52"/>
      <c r="M273" s="52"/>
      <c r="N273" s="52"/>
    </row>
    <row r="274" ht="15.75" customHeight="1">
      <c r="E274" s="49"/>
      <c r="G274" s="50"/>
      <c r="H274" s="51"/>
      <c r="I274" s="51"/>
      <c r="J274" s="51"/>
      <c r="K274" s="51"/>
      <c r="L274" s="52"/>
      <c r="M274" s="52"/>
      <c r="N274" s="52"/>
    </row>
    <row r="275" ht="15.75" customHeight="1">
      <c r="E275" s="49"/>
      <c r="G275" s="50"/>
      <c r="H275" s="51"/>
      <c r="I275" s="51"/>
      <c r="J275" s="51"/>
      <c r="K275" s="51"/>
      <c r="L275" s="52"/>
      <c r="M275" s="52"/>
      <c r="N275" s="52"/>
    </row>
    <row r="276" ht="15.75" customHeight="1">
      <c r="E276" s="49"/>
      <c r="G276" s="50"/>
      <c r="H276" s="51"/>
      <c r="I276" s="51"/>
      <c r="J276" s="51"/>
      <c r="K276" s="51"/>
      <c r="L276" s="52"/>
      <c r="M276" s="52"/>
      <c r="N276" s="52"/>
    </row>
    <row r="277" ht="15.75" customHeight="1">
      <c r="E277" s="49"/>
      <c r="G277" s="50"/>
      <c r="H277" s="51"/>
      <c r="I277" s="51"/>
      <c r="J277" s="51"/>
      <c r="K277" s="51"/>
      <c r="L277" s="52"/>
      <c r="M277" s="52"/>
      <c r="N277" s="52"/>
    </row>
    <row r="278" ht="15.75" customHeight="1">
      <c r="E278" s="49"/>
      <c r="G278" s="50"/>
      <c r="H278" s="51"/>
      <c r="I278" s="51"/>
      <c r="J278" s="51"/>
      <c r="K278" s="51"/>
      <c r="L278" s="52"/>
      <c r="M278" s="52"/>
      <c r="N278" s="52"/>
    </row>
    <row r="279" ht="15.75" customHeight="1">
      <c r="E279" s="49"/>
      <c r="G279" s="50"/>
      <c r="H279" s="51"/>
      <c r="I279" s="51"/>
      <c r="J279" s="51"/>
      <c r="K279" s="51"/>
      <c r="L279" s="52"/>
      <c r="M279" s="52"/>
      <c r="N279" s="52"/>
    </row>
    <row r="280" ht="15.75" customHeight="1">
      <c r="E280" s="49"/>
      <c r="G280" s="50"/>
      <c r="H280" s="51"/>
      <c r="I280" s="51"/>
      <c r="J280" s="51"/>
      <c r="K280" s="51"/>
      <c r="L280" s="52"/>
      <c r="M280" s="52"/>
      <c r="N280" s="52"/>
    </row>
    <row r="281" ht="15.75" customHeight="1">
      <c r="E281" s="49"/>
      <c r="G281" s="50"/>
      <c r="H281" s="51"/>
      <c r="I281" s="51"/>
      <c r="J281" s="51"/>
      <c r="K281" s="51"/>
      <c r="L281" s="52"/>
      <c r="M281" s="52"/>
      <c r="N281" s="52"/>
    </row>
    <row r="282" ht="15.75" customHeight="1">
      <c r="E282" s="49"/>
      <c r="G282" s="50"/>
      <c r="H282" s="51"/>
      <c r="I282" s="51"/>
      <c r="J282" s="51"/>
      <c r="K282" s="51"/>
      <c r="L282" s="52"/>
      <c r="M282" s="52"/>
      <c r="N282" s="52"/>
    </row>
    <row r="283" ht="15.75" customHeight="1">
      <c r="E283" s="49"/>
      <c r="G283" s="50"/>
      <c r="H283" s="51"/>
      <c r="I283" s="51"/>
      <c r="J283" s="51"/>
      <c r="K283" s="51"/>
      <c r="L283" s="52"/>
      <c r="M283" s="52"/>
      <c r="N283" s="52"/>
    </row>
    <row r="284" ht="15.75" customHeight="1">
      <c r="E284" s="49"/>
      <c r="G284" s="50"/>
      <c r="H284" s="51"/>
      <c r="I284" s="51"/>
      <c r="J284" s="51"/>
      <c r="K284" s="51"/>
      <c r="L284" s="52"/>
      <c r="M284" s="52"/>
      <c r="N284" s="52"/>
    </row>
    <row r="285" ht="15.75" customHeight="1">
      <c r="E285" s="49"/>
      <c r="G285" s="50"/>
      <c r="H285" s="51"/>
      <c r="I285" s="51"/>
      <c r="J285" s="51"/>
      <c r="K285" s="51"/>
      <c r="L285" s="52"/>
      <c r="M285" s="52"/>
      <c r="N285" s="52"/>
    </row>
    <row r="286" ht="15.75" customHeight="1">
      <c r="E286" s="49"/>
      <c r="G286" s="50"/>
      <c r="H286" s="51"/>
      <c r="I286" s="51"/>
      <c r="J286" s="51"/>
      <c r="K286" s="51"/>
      <c r="L286" s="52"/>
      <c r="M286" s="52"/>
      <c r="N286" s="52"/>
    </row>
    <row r="287" ht="15.75" customHeight="1">
      <c r="E287" s="49"/>
      <c r="G287" s="50"/>
      <c r="H287" s="51"/>
      <c r="I287" s="51"/>
      <c r="J287" s="51"/>
      <c r="K287" s="51"/>
      <c r="L287" s="52"/>
      <c r="M287" s="52"/>
      <c r="N287" s="52"/>
    </row>
    <row r="288" ht="15.75" customHeight="1">
      <c r="E288" s="49"/>
      <c r="G288" s="50"/>
      <c r="H288" s="51"/>
      <c r="I288" s="51"/>
      <c r="J288" s="51"/>
      <c r="K288" s="51"/>
      <c r="L288" s="52"/>
      <c r="M288" s="52"/>
      <c r="N288" s="52"/>
    </row>
    <row r="289" ht="15.75" customHeight="1">
      <c r="E289" s="49"/>
      <c r="G289" s="50"/>
      <c r="H289" s="51"/>
      <c r="I289" s="51"/>
      <c r="J289" s="51"/>
      <c r="K289" s="51"/>
      <c r="L289" s="52"/>
      <c r="M289" s="52"/>
      <c r="N289" s="52"/>
    </row>
    <row r="290" ht="15.75" customHeight="1">
      <c r="E290" s="49"/>
      <c r="G290" s="50"/>
      <c r="H290" s="51"/>
      <c r="I290" s="51"/>
      <c r="J290" s="51"/>
      <c r="K290" s="51"/>
      <c r="L290" s="52"/>
      <c r="M290" s="52"/>
      <c r="N290" s="52"/>
    </row>
    <row r="291" ht="15.75" customHeight="1">
      <c r="E291" s="49"/>
      <c r="G291" s="50"/>
      <c r="H291" s="51"/>
      <c r="I291" s="51"/>
      <c r="J291" s="51"/>
      <c r="K291" s="51"/>
      <c r="L291" s="52"/>
      <c r="M291" s="52"/>
      <c r="N291" s="52"/>
    </row>
    <row r="292" ht="15.75" customHeight="1">
      <c r="E292" s="49"/>
      <c r="G292" s="50"/>
      <c r="H292" s="51"/>
      <c r="I292" s="51"/>
      <c r="J292" s="51"/>
      <c r="K292" s="51"/>
      <c r="L292" s="52"/>
      <c r="M292" s="52"/>
      <c r="N292" s="52"/>
    </row>
    <row r="293" ht="15.75" customHeight="1">
      <c r="E293" s="49"/>
      <c r="G293" s="50"/>
      <c r="H293" s="51"/>
      <c r="I293" s="51"/>
      <c r="J293" s="51"/>
      <c r="K293" s="51"/>
      <c r="L293" s="52"/>
      <c r="M293" s="52"/>
      <c r="N293" s="52"/>
    </row>
    <row r="294" ht="15.75" customHeight="1">
      <c r="E294" s="49"/>
      <c r="G294" s="50"/>
      <c r="H294" s="51"/>
      <c r="I294" s="51"/>
      <c r="J294" s="51"/>
      <c r="K294" s="51"/>
      <c r="L294" s="52"/>
      <c r="M294" s="52"/>
      <c r="N294" s="52"/>
    </row>
    <row r="295" ht="15.75" customHeight="1">
      <c r="E295" s="49"/>
      <c r="G295" s="50"/>
      <c r="H295" s="51"/>
      <c r="I295" s="51"/>
      <c r="J295" s="51"/>
      <c r="K295" s="51"/>
      <c r="L295" s="52"/>
      <c r="M295" s="52"/>
      <c r="N295" s="52"/>
    </row>
    <row r="296" ht="15.75" customHeight="1">
      <c r="E296" s="49"/>
      <c r="G296" s="50"/>
      <c r="H296" s="51"/>
      <c r="I296" s="51"/>
      <c r="J296" s="51"/>
      <c r="K296" s="51"/>
      <c r="L296" s="52"/>
      <c r="M296" s="52"/>
      <c r="N296" s="52"/>
    </row>
    <row r="297" ht="15.75" customHeight="1">
      <c r="E297" s="49"/>
      <c r="G297" s="50"/>
      <c r="H297" s="51"/>
      <c r="I297" s="51"/>
      <c r="J297" s="51"/>
      <c r="K297" s="51"/>
      <c r="L297" s="52"/>
      <c r="M297" s="52"/>
      <c r="N297" s="52"/>
    </row>
    <row r="298" ht="15.75" customHeight="1">
      <c r="E298" s="49"/>
      <c r="G298" s="50"/>
      <c r="H298" s="51"/>
      <c r="I298" s="51"/>
      <c r="J298" s="51"/>
      <c r="K298" s="51"/>
      <c r="L298" s="52"/>
      <c r="M298" s="52"/>
      <c r="N298" s="52"/>
    </row>
    <row r="299" ht="15.75" customHeight="1">
      <c r="E299" s="49"/>
      <c r="G299" s="50"/>
      <c r="H299" s="51"/>
      <c r="I299" s="51"/>
      <c r="J299" s="51"/>
      <c r="K299" s="51"/>
      <c r="L299" s="52"/>
      <c r="M299" s="52"/>
      <c r="N299" s="52"/>
    </row>
    <row r="300" ht="15.75" customHeight="1">
      <c r="E300" s="49"/>
      <c r="G300" s="50"/>
      <c r="H300" s="51"/>
      <c r="I300" s="51"/>
      <c r="J300" s="51"/>
      <c r="K300" s="51"/>
      <c r="L300" s="52"/>
      <c r="M300" s="52"/>
      <c r="N300" s="52"/>
    </row>
    <row r="301" ht="15.75" customHeight="1">
      <c r="E301" s="49"/>
      <c r="G301" s="50"/>
      <c r="H301" s="51"/>
      <c r="I301" s="51"/>
      <c r="J301" s="51"/>
      <c r="K301" s="51"/>
      <c r="L301" s="52"/>
      <c r="M301" s="52"/>
      <c r="N301" s="52"/>
    </row>
    <row r="302" ht="15.75" customHeight="1">
      <c r="E302" s="49"/>
      <c r="G302" s="50"/>
      <c r="H302" s="51"/>
      <c r="I302" s="51"/>
      <c r="J302" s="51"/>
      <c r="K302" s="51"/>
      <c r="L302" s="52"/>
      <c r="M302" s="52"/>
      <c r="N302" s="52"/>
    </row>
    <row r="303" ht="15.75" customHeight="1">
      <c r="E303" s="49"/>
      <c r="G303" s="50"/>
      <c r="H303" s="51"/>
      <c r="I303" s="51"/>
      <c r="J303" s="51"/>
      <c r="K303" s="51"/>
      <c r="L303" s="52"/>
      <c r="M303" s="52"/>
      <c r="N303" s="52"/>
    </row>
    <row r="304" ht="15.75" customHeight="1">
      <c r="E304" s="49"/>
      <c r="G304" s="50"/>
      <c r="H304" s="51"/>
      <c r="I304" s="51"/>
      <c r="J304" s="51"/>
      <c r="K304" s="51"/>
      <c r="L304" s="52"/>
      <c r="M304" s="52"/>
      <c r="N304" s="52"/>
    </row>
    <row r="305" ht="15.75" customHeight="1">
      <c r="E305" s="49"/>
      <c r="G305" s="50"/>
      <c r="H305" s="51"/>
      <c r="I305" s="51"/>
      <c r="J305" s="51"/>
      <c r="K305" s="51"/>
      <c r="L305" s="52"/>
      <c r="M305" s="52"/>
      <c r="N305" s="52"/>
    </row>
    <row r="306" ht="15.75" customHeight="1">
      <c r="E306" s="49"/>
      <c r="G306" s="50"/>
      <c r="H306" s="51"/>
      <c r="I306" s="51"/>
      <c r="J306" s="51"/>
      <c r="K306" s="51"/>
      <c r="L306" s="52"/>
      <c r="M306" s="52"/>
      <c r="N306" s="52"/>
    </row>
    <row r="307" ht="15.75" customHeight="1">
      <c r="E307" s="49"/>
      <c r="G307" s="50"/>
      <c r="H307" s="51"/>
      <c r="I307" s="51"/>
      <c r="J307" s="51"/>
      <c r="K307" s="51"/>
      <c r="L307" s="52"/>
      <c r="M307" s="52"/>
      <c r="N307" s="52"/>
    </row>
    <row r="308" ht="15.75" customHeight="1">
      <c r="E308" s="49"/>
      <c r="G308" s="50"/>
      <c r="H308" s="51"/>
      <c r="I308" s="51"/>
      <c r="J308" s="51"/>
      <c r="K308" s="51"/>
      <c r="L308" s="52"/>
      <c r="M308" s="52"/>
      <c r="N308" s="52"/>
    </row>
    <row r="309" ht="15.75" customHeight="1">
      <c r="E309" s="49"/>
      <c r="G309" s="50"/>
      <c r="H309" s="51"/>
      <c r="I309" s="51"/>
      <c r="J309" s="51"/>
      <c r="K309" s="51"/>
      <c r="L309" s="52"/>
      <c r="M309" s="52"/>
      <c r="N309" s="52"/>
    </row>
    <row r="310" ht="15.75" customHeight="1">
      <c r="E310" s="49"/>
      <c r="G310" s="50"/>
      <c r="H310" s="51"/>
      <c r="I310" s="51"/>
      <c r="J310" s="51"/>
      <c r="K310" s="51"/>
      <c r="L310" s="52"/>
      <c r="M310" s="52"/>
      <c r="N310" s="52"/>
    </row>
    <row r="311" ht="15.75" customHeight="1">
      <c r="E311" s="49"/>
      <c r="G311" s="50"/>
      <c r="H311" s="51"/>
      <c r="I311" s="51"/>
      <c r="J311" s="51"/>
      <c r="K311" s="51"/>
      <c r="L311" s="52"/>
      <c r="M311" s="52"/>
      <c r="N311" s="52"/>
    </row>
    <row r="312" ht="15.75" customHeight="1">
      <c r="E312" s="49"/>
      <c r="G312" s="50"/>
      <c r="H312" s="51"/>
      <c r="I312" s="51"/>
      <c r="J312" s="51"/>
      <c r="K312" s="51"/>
      <c r="L312" s="52"/>
      <c r="M312" s="52"/>
      <c r="N312" s="52"/>
    </row>
    <row r="313" ht="15.75" customHeight="1">
      <c r="E313" s="49"/>
      <c r="G313" s="50"/>
      <c r="H313" s="51"/>
      <c r="I313" s="51"/>
      <c r="J313" s="51"/>
      <c r="K313" s="51"/>
      <c r="L313" s="52"/>
      <c r="M313" s="52"/>
      <c r="N313" s="52"/>
    </row>
    <row r="314" ht="15.75" customHeight="1">
      <c r="E314" s="49"/>
      <c r="G314" s="50"/>
      <c r="H314" s="51"/>
      <c r="I314" s="51"/>
      <c r="J314" s="51"/>
      <c r="K314" s="51"/>
      <c r="L314" s="52"/>
      <c r="M314" s="52"/>
      <c r="N314" s="52"/>
    </row>
    <row r="315" ht="15.75" customHeight="1">
      <c r="E315" s="49"/>
      <c r="G315" s="50"/>
      <c r="H315" s="51"/>
      <c r="I315" s="51"/>
      <c r="J315" s="51"/>
      <c r="K315" s="51"/>
      <c r="L315" s="52"/>
      <c r="M315" s="52"/>
      <c r="N315" s="52"/>
    </row>
    <row r="316" ht="15.75" customHeight="1">
      <c r="E316" s="49"/>
      <c r="G316" s="50"/>
      <c r="H316" s="51"/>
      <c r="I316" s="51"/>
      <c r="J316" s="51"/>
      <c r="K316" s="51"/>
      <c r="L316" s="52"/>
      <c r="M316" s="52"/>
      <c r="N316" s="52"/>
    </row>
    <row r="317" ht="15.75" customHeight="1">
      <c r="E317" s="49"/>
      <c r="G317" s="50"/>
      <c r="H317" s="51"/>
      <c r="I317" s="51"/>
      <c r="J317" s="51"/>
      <c r="K317" s="51"/>
      <c r="L317" s="52"/>
      <c r="M317" s="52"/>
      <c r="N317" s="52"/>
    </row>
    <row r="318" ht="15.75" customHeight="1">
      <c r="E318" s="49"/>
      <c r="G318" s="50"/>
      <c r="H318" s="51"/>
      <c r="I318" s="51"/>
      <c r="J318" s="51"/>
      <c r="K318" s="51"/>
      <c r="L318" s="52"/>
      <c r="M318" s="52"/>
      <c r="N318" s="52"/>
    </row>
    <row r="319" ht="15.75" customHeight="1">
      <c r="E319" s="49"/>
      <c r="G319" s="50"/>
      <c r="H319" s="51"/>
      <c r="I319" s="51"/>
      <c r="J319" s="51"/>
      <c r="K319" s="51"/>
      <c r="L319" s="52"/>
      <c r="M319" s="52"/>
      <c r="N319" s="52"/>
    </row>
    <row r="320" ht="15.75" customHeight="1">
      <c r="E320" s="49"/>
      <c r="G320" s="50"/>
      <c r="H320" s="51"/>
      <c r="I320" s="51"/>
      <c r="J320" s="51"/>
      <c r="K320" s="51"/>
      <c r="L320" s="52"/>
      <c r="M320" s="52"/>
      <c r="N320" s="52"/>
    </row>
    <row r="321" ht="15.75" customHeight="1">
      <c r="E321" s="49"/>
      <c r="G321" s="50"/>
      <c r="H321" s="51"/>
      <c r="I321" s="51"/>
      <c r="J321" s="51"/>
      <c r="K321" s="51"/>
      <c r="L321" s="52"/>
      <c r="M321" s="52"/>
      <c r="N321" s="52"/>
    </row>
    <row r="322" ht="15.75" customHeight="1">
      <c r="E322" s="49"/>
      <c r="G322" s="50"/>
      <c r="H322" s="51"/>
      <c r="I322" s="51"/>
      <c r="J322" s="51"/>
      <c r="K322" s="51"/>
      <c r="L322" s="52"/>
      <c r="M322" s="52"/>
      <c r="N322" s="52"/>
    </row>
    <row r="323" ht="15.75" customHeight="1">
      <c r="E323" s="49"/>
      <c r="G323" s="50"/>
      <c r="H323" s="51"/>
      <c r="I323" s="51"/>
      <c r="J323" s="51"/>
      <c r="K323" s="51"/>
      <c r="L323" s="52"/>
      <c r="M323" s="52"/>
      <c r="N323" s="52"/>
    </row>
    <row r="324" ht="15.75" customHeight="1">
      <c r="E324" s="49"/>
      <c r="G324" s="50"/>
      <c r="H324" s="51"/>
      <c r="I324" s="51"/>
      <c r="J324" s="51"/>
      <c r="K324" s="51"/>
      <c r="L324" s="52"/>
      <c r="M324" s="52"/>
      <c r="N324" s="52"/>
    </row>
    <row r="325" ht="15.75" customHeight="1">
      <c r="E325" s="49"/>
      <c r="G325" s="50"/>
      <c r="H325" s="51"/>
      <c r="I325" s="51"/>
      <c r="J325" s="51"/>
      <c r="K325" s="51"/>
      <c r="L325" s="52"/>
      <c r="M325" s="52"/>
      <c r="N325" s="52"/>
    </row>
    <row r="326" ht="15.75" customHeight="1">
      <c r="E326" s="49"/>
      <c r="G326" s="50"/>
      <c r="H326" s="51"/>
      <c r="I326" s="51"/>
      <c r="J326" s="51"/>
      <c r="K326" s="51"/>
      <c r="L326" s="52"/>
      <c r="M326" s="52"/>
      <c r="N326" s="52"/>
    </row>
    <row r="327" ht="15.75" customHeight="1">
      <c r="E327" s="49"/>
      <c r="G327" s="50"/>
      <c r="H327" s="51"/>
      <c r="I327" s="51"/>
      <c r="J327" s="51"/>
      <c r="K327" s="51"/>
      <c r="L327" s="52"/>
      <c r="M327" s="52"/>
      <c r="N327" s="52"/>
    </row>
    <row r="328" ht="15.75" customHeight="1">
      <c r="E328" s="49"/>
      <c r="G328" s="50"/>
      <c r="H328" s="51"/>
      <c r="I328" s="51"/>
      <c r="J328" s="51"/>
      <c r="K328" s="51"/>
      <c r="L328" s="52"/>
      <c r="M328" s="52"/>
      <c r="N328" s="52"/>
    </row>
    <row r="329" ht="15.75" customHeight="1">
      <c r="E329" s="49"/>
      <c r="G329" s="50"/>
      <c r="H329" s="51"/>
      <c r="I329" s="51"/>
      <c r="J329" s="51"/>
      <c r="K329" s="51"/>
      <c r="L329" s="52"/>
      <c r="M329" s="52"/>
      <c r="N329" s="52"/>
    </row>
    <row r="330" ht="15.75" customHeight="1">
      <c r="E330" s="49"/>
      <c r="G330" s="50"/>
      <c r="H330" s="51"/>
      <c r="I330" s="51"/>
      <c r="J330" s="51"/>
      <c r="K330" s="51"/>
      <c r="L330" s="52"/>
      <c r="M330" s="52"/>
      <c r="N330" s="52"/>
    </row>
    <row r="331" ht="15.75" customHeight="1">
      <c r="E331" s="49"/>
      <c r="G331" s="50"/>
      <c r="H331" s="51"/>
      <c r="I331" s="51"/>
      <c r="J331" s="51"/>
      <c r="K331" s="51"/>
      <c r="L331" s="52"/>
      <c r="M331" s="52"/>
      <c r="N331" s="52"/>
    </row>
    <row r="332" ht="15.75" customHeight="1">
      <c r="E332" s="49"/>
      <c r="G332" s="50"/>
      <c r="H332" s="51"/>
      <c r="I332" s="51"/>
      <c r="J332" s="51"/>
      <c r="K332" s="51"/>
      <c r="L332" s="52"/>
      <c r="M332" s="52"/>
      <c r="N332" s="52"/>
    </row>
    <row r="333" ht="15.75" customHeight="1">
      <c r="E333" s="49"/>
      <c r="G333" s="50"/>
      <c r="H333" s="51"/>
      <c r="I333" s="51"/>
      <c r="J333" s="51"/>
      <c r="K333" s="51"/>
      <c r="L333" s="52"/>
      <c r="M333" s="52"/>
      <c r="N333" s="52"/>
    </row>
    <row r="334" ht="15.75" customHeight="1">
      <c r="E334" s="49"/>
      <c r="G334" s="50"/>
      <c r="H334" s="51"/>
      <c r="I334" s="51"/>
      <c r="J334" s="51"/>
      <c r="K334" s="51"/>
      <c r="L334" s="52"/>
      <c r="M334" s="52"/>
      <c r="N334" s="52"/>
    </row>
    <row r="335" ht="15.75" customHeight="1">
      <c r="E335" s="49"/>
      <c r="G335" s="50"/>
      <c r="H335" s="51"/>
      <c r="I335" s="51"/>
      <c r="J335" s="51"/>
      <c r="K335" s="51"/>
      <c r="L335" s="52"/>
      <c r="M335" s="52"/>
      <c r="N335" s="52"/>
    </row>
    <row r="336" ht="15.75" customHeight="1">
      <c r="E336" s="49"/>
      <c r="G336" s="50"/>
      <c r="H336" s="51"/>
      <c r="I336" s="51"/>
      <c r="J336" s="51"/>
      <c r="K336" s="51"/>
      <c r="L336" s="52"/>
      <c r="M336" s="52"/>
      <c r="N336" s="52"/>
    </row>
    <row r="337" ht="15.75" customHeight="1">
      <c r="E337" s="49"/>
      <c r="G337" s="50"/>
      <c r="H337" s="51"/>
      <c r="I337" s="51"/>
      <c r="J337" s="51"/>
      <c r="K337" s="51"/>
      <c r="L337" s="52"/>
      <c r="M337" s="52"/>
      <c r="N337" s="52"/>
    </row>
    <row r="338" ht="15.75" customHeight="1">
      <c r="E338" s="49"/>
      <c r="G338" s="50"/>
      <c r="H338" s="51"/>
      <c r="I338" s="51"/>
      <c r="J338" s="51"/>
      <c r="K338" s="51"/>
      <c r="L338" s="52"/>
      <c r="M338" s="52"/>
      <c r="N338" s="52"/>
    </row>
    <row r="339" ht="15.75" customHeight="1">
      <c r="E339" s="49"/>
      <c r="G339" s="50"/>
      <c r="H339" s="51"/>
      <c r="I339" s="51"/>
      <c r="J339" s="51"/>
      <c r="K339" s="51"/>
      <c r="L339" s="52"/>
      <c r="M339" s="52"/>
      <c r="N339" s="52"/>
    </row>
    <row r="340" ht="15.75" customHeight="1">
      <c r="E340" s="49"/>
      <c r="G340" s="50"/>
      <c r="H340" s="51"/>
      <c r="I340" s="51"/>
      <c r="J340" s="51"/>
      <c r="K340" s="51"/>
      <c r="L340" s="52"/>
      <c r="M340" s="52"/>
      <c r="N340" s="52"/>
    </row>
    <row r="341" ht="15.75" customHeight="1">
      <c r="E341" s="49"/>
      <c r="G341" s="50"/>
      <c r="H341" s="51"/>
      <c r="I341" s="51"/>
      <c r="J341" s="51"/>
      <c r="K341" s="51"/>
      <c r="L341" s="52"/>
      <c r="M341" s="52"/>
      <c r="N341" s="52"/>
    </row>
    <row r="342" ht="15.75" customHeight="1">
      <c r="E342" s="49"/>
      <c r="G342" s="50"/>
      <c r="H342" s="51"/>
      <c r="I342" s="51"/>
      <c r="J342" s="51"/>
      <c r="K342" s="51"/>
      <c r="L342" s="52"/>
      <c r="M342" s="52"/>
      <c r="N342" s="52"/>
    </row>
    <row r="343" ht="15.75" customHeight="1">
      <c r="E343" s="49"/>
      <c r="G343" s="50"/>
      <c r="H343" s="51"/>
      <c r="I343" s="51"/>
      <c r="J343" s="51"/>
      <c r="K343" s="51"/>
      <c r="L343" s="52"/>
      <c r="M343" s="52"/>
      <c r="N343" s="52"/>
    </row>
    <row r="344" ht="15.75" customHeight="1">
      <c r="E344" s="49"/>
      <c r="G344" s="50"/>
      <c r="H344" s="51"/>
      <c r="I344" s="51"/>
      <c r="J344" s="51"/>
      <c r="K344" s="51"/>
      <c r="L344" s="52"/>
      <c r="M344" s="52"/>
      <c r="N344" s="52"/>
    </row>
    <row r="345" ht="15.75" customHeight="1">
      <c r="E345" s="49"/>
      <c r="G345" s="50"/>
      <c r="H345" s="51"/>
      <c r="I345" s="51"/>
      <c r="J345" s="51"/>
      <c r="K345" s="51"/>
      <c r="L345" s="52"/>
      <c r="M345" s="52"/>
      <c r="N345" s="52"/>
    </row>
    <row r="346" ht="15.75" customHeight="1">
      <c r="E346" s="49"/>
      <c r="G346" s="50"/>
      <c r="H346" s="51"/>
      <c r="I346" s="51"/>
      <c r="J346" s="51"/>
      <c r="K346" s="51"/>
      <c r="L346" s="52"/>
      <c r="M346" s="52"/>
      <c r="N346" s="52"/>
    </row>
    <row r="347" ht="15.75" customHeight="1">
      <c r="E347" s="49"/>
      <c r="G347" s="50"/>
      <c r="H347" s="51"/>
      <c r="I347" s="51"/>
      <c r="J347" s="51"/>
      <c r="K347" s="51"/>
      <c r="L347" s="52"/>
      <c r="M347" s="52"/>
      <c r="N347" s="52"/>
    </row>
    <row r="348" ht="15.75" customHeight="1">
      <c r="E348" s="49"/>
      <c r="G348" s="50"/>
      <c r="H348" s="51"/>
      <c r="I348" s="51"/>
      <c r="J348" s="51"/>
      <c r="K348" s="51"/>
      <c r="L348" s="52"/>
      <c r="M348" s="52"/>
      <c r="N348" s="52"/>
    </row>
    <row r="349" ht="15.75" customHeight="1">
      <c r="E349" s="49"/>
      <c r="G349" s="50"/>
      <c r="H349" s="51"/>
      <c r="I349" s="51"/>
      <c r="J349" s="51"/>
      <c r="K349" s="51"/>
      <c r="L349" s="52"/>
      <c r="M349" s="52"/>
      <c r="N349" s="52"/>
    </row>
    <row r="350" ht="15.75" customHeight="1">
      <c r="E350" s="49"/>
      <c r="G350" s="50"/>
      <c r="H350" s="51"/>
      <c r="I350" s="51"/>
      <c r="J350" s="51"/>
      <c r="K350" s="51"/>
      <c r="L350" s="52"/>
      <c r="M350" s="52"/>
      <c r="N350" s="52"/>
    </row>
    <row r="351" ht="15.75" customHeight="1">
      <c r="E351" s="49"/>
      <c r="G351" s="50"/>
      <c r="H351" s="51"/>
      <c r="I351" s="51"/>
      <c r="J351" s="51"/>
      <c r="K351" s="51"/>
      <c r="L351" s="52"/>
      <c r="M351" s="52"/>
      <c r="N351" s="52"/>
    </row>
    <row r="352" ht="15.75" customHeight="1">
      <c r="E352" s="49"/>
      <c r="G352" s="50"/>
      <c r="H352" s="51"/>
      <c r="I352" s="51"/>
      <c r="J352" s="51"/>
      <c r="K352" s="51"/>
      <c r="L352" s="52"/>
      <c r="M352" s="52"/>
      <c r="N352" s="52"/>
    </row>
    <row r="353" ht="15.75" customHeight="1">
      <c r="E353" s="49"/>
      <c r="G353" s="50"/>
      <c r="H353" s="51"/>
      <c r="I353" s="51"/>
      <c r="J353" s="51"/>
      <c r="K353" s="51"/>
      <c r="L353" s="52"/>
      <c r="M353" s="52"/>
      <c r="N353" s="52"/>
    </row>
    <row r="354" ht="15.75" customHeight="1">
      <c r="E354" s="49"/>
      <c r="G354" s="50"/>
      <c r="H354" s="51"/>
      <c r="I354" s="51"/>
      <c r="J354" s="51"/>
      <c r="K354" s="51"/>
      <c r="L354" s="52"/>
      <c r="M354" s="52"/>
      <c r="N354" s="52"/>
    </row>
    <row r="355" ht="15.75" customHeight="1">
      <c r="E355" s="49"/>
      <c r="G355" s="50"/>
      <c r="H355" s="51"/>
      <c r="I355" s="51"/>
      <c r="J355" s="51"/>
      <c r="K355" s="51"/>
      <c r="L355" s="52"/>
      <c r="M355" s="52"/>
      <c r="N355" s="52"/>
    </row>
    <row r="356" ht="15.75" customHeight="1">
      <c r="E356" s="49"/>
      <c r="G356" s="50"/>
      <c r="H356" s="51"/>
      <c r="I356" s="51"/>
      <c r="J356" s="51"/>
      <c r="K356" s="51"/>
      <c r="L356" s="52"/>
      <c r="M356" s="52"/>
      <c r="N356" s="52"/>
    </row>
    <row r="357" ht="15.75" customHeight="1">
      <c r="E357" s="49"/>
      <c r="G357" s="50"/>
      <c r="H357" s="51"/>
      <c r="I357" s="51"/>
      <c r="J357" s="51"/>
      <c r="K357" s="51"/>
      <c r="L357" s="52"/>
      <c r="M357" s="52"/>
      <c r="N357" s="52"/>
    </row>
    <row r="358" ht="15.75" customHeight="1">
      <c r="E358" s="49"/>
      <c r="G358" s="50"/>
      <c r="H358" s="51"/>
      <c r="I358" s="51"/>
      <c r="J358" s="51"/>
      <c r="K358" s="51"/>
      <c r="L358" s="52"/>
      <c r="M358" s="52"/>
      <c r="N358" s="52"/>
    </row>
    <row r="359" ht="15.75" customHeight="1">
      <c r="E359" s="49"/>
      <c r="G359" s="50"/>
      <c r="H359" s="51"/>
      <c r="I359" s="51"/>
      <c r="J359" s="51"/>
      <c r="K359" s="51"/>
      <c r="L359" s="52"/>
      <c r="M359" s="52"/>
      <c r="N359" s="52"/>
    </row>
    <row r="360" ht="15.75" customHeight="1">
      <c r="E360" s="49"/>
      <c r="G360" s="50"/>
      <c r="H360" s="51"/>
      <c r="I360" s="51"/>
      <c r="J360" s="51"/>
      <c r="K360" s="51"/>
      <c r="L360" s="52"/>
      <c r="M360" s="52"/>
      <c r="N360" s="52"/>
    </row>
    <row r="361" ht="15.75" customHeight="1">
      <c r="E361" s="49"/>
      <c r="G361" s="50"/>
      <c r="H361" s="51"/>
      <c r="I361" s="51"/>
      <c r="J361" s="51"/>
      <c r="K361" s="51"/>
      <c r="L361" s="52"/>
      <c r="M361" s="52"/>
      <c r="N361" s="52"/>
    </row>
    <row r="362" ht="15.75" customHeight="1">
      <c r="E362" s="49"/>
      <c r="G362" s="50"/>
      <c r="H362" s="51"/>
      <c r="I362" s="51"/>
      <c r="J362" s="51"/>
      <c r="K362" s="51"/>
      <c r="L362" s="52"/>
      <c r="M362" s="52"/>
      <c r="N362" s="52"/>
    </row>
    <row r="363" ht="15.75" customHeight="1">
      <c r="E363" s="49"/>
      <c r="G363" s="50"/>
      <c r="H363" s="51"/>
      <c r="I363" s="51"/>
      <c r="J363" s="51"/>
      <c r="K363" s="51"/>
      <c r="L363" s="52"/>
      <c r="M363" s="52"/>
      <c r="N363" s="52"/>
    </row>
    <row r="364" ht="15.75" customHeight="1">
      <c r="E364" s="49"/>
      <c r="G364" s="50"/>
      <c r="H364" s="51"/>
      <c r="I364" s="51"/>
      <c r="J364" s="51"/>
      <c r="K364" s="51"/>
      <c r="L364" s="52"/>
      <c r="M364" s="52"/>
      <c r="N364" s="52"/>
    </row>
    <row r="365" ht="15.75" customHeight="1">
      <c r="E365" s="49"/>
      <c r="G365" s="50"/>
      <c r="H365" s="51"/>
      <c r="I365" s="51"/>
      <c r="J365" s="51"/>
      <c r="K365" s="51"/>
      <c r="L365" s="52"/>
      <c r="M365" s="52"/>
      <c r="N365" s="52"/>
    </row>
    <row r="366" ht="15.75" customHeight="1">
      <c r="E366" s="49"/>
      <c r="G366" s="50"/>
      <c r="H366" s="51"/>
      <c r="I366" s="51"/>
      <c r="J366" s="51"/>
      <c r="K366" s="51"/>
      <c r="L366" s="52"/>
      <c r="M366" s="52"/>
      <c r="N366" s="52"/>
    </row>
    <row r="367" ht="15.75" customHeight="1">
      <c r="E367" s="49"/>
      <c r="G367" s="50"/>
      <c r="H367" s="51"/>
      <c r="I367" s="51"/>
      <c r="J367" s="51"/>
      <c r="K367" s="51"/>
      <c r="L367" s="52"/>
      <c r="M367" s="52"/>
      <c r="N367" s="52"/>
    </row>
    <row r="368" ht="15.75" customHeight="1">
      <c r="E368" s="49"/>
      <c r="G368" s="50"/>
      <c r="H368" s="51"/>
      <c r="I368" s="51"/>
      <c r="J368" s="51"/>
      <c r="K368" s="51"/>
      <c r="L368" s="52"/>
      <c r="M368" s="52"/>
      <c r="N368" s="52"/>
    </row>
    <row r="369" ht="15.75" customHeight="1">
      <c r="E369" s="49"/>
      <c r="G369" s="50"/>
      <c r="H369" s="51"/>
      <c r="I369" s="51"/>
      <c r="J369" s="51"/>
      <c r="K369" s="51"/>
      <c r="L369" s="52"/>
      <c r="M369" s="52"/>
      <c r="N369" s="52"/>
    </row>
    <row r="370" ht="15.75" customHeight="1">
      <c r="E370" s="49"/>
      <c r="G370" s="50"/>
      <c r="H370" s="51"/>
      <c r="I370" s="51"/>
      <c r="J370" s="51"/>
      <c r="K370" s="51"/>
      <c r="L370" s="52"/>
      <c r="M370" s="52"/>
      <c r="N370" s="52"/>
    </row>
    <row r="371" ht="15.75" customHeight="1">
      <c r="E371" s="49"/>
      <c r="G371" s="50"/>
      <c r="H371" s="51"/>
      <c r="I371" s="51"/>
      <c r="J371" s="51"/>
      <c r="K371" s="51"/>
      <c r="L371" s="52"/>
      <c r="M371" s="52"/>
      <c r="N371" s="52"/>
    </row>
    <row r="372" ht="15.75" customHeight="1">
      <c r="E372" s="49"/>
      <c r="G372" s="50"/>
      <c r="H372" s="51"/>
      <c r="I372" s="51"/>
      <c r="J372" s="51"/>
      <c r="K372" s="51"/>
      <c r="L372" s="52"/>
      <c r="M372" s="52"/>
      <c r="N372" s="52"/>
    </row>
    <row r="373" ht="15.75" customHeight="1">
      <c r="E373" s="49"/>
      <c r="G373" s="50"/>
      <c r="H373" s="51"/>
      <c r="I373" s="51"/>
      <c r="J373" s="51"/>
      <c r="K373" s="51"/>
      <c r="L373" s="52"/>
      <c r="M373" s="52"/>
      <c r="N373" s="52"/>
    </row>
    <row r="374" ht="15.75" customHeight="1">
      <c r="E374" s="49"/>
      <c r="G374" s="50"/>
      <c r="H374" s="51"/>
      <c r="I374" s="51"/>
      <c r="J374" s="51"/>
      <c r="K374" s="51"/>
      <c r="L374" s="52"/>
      <c r="M374" s="52"/>
      <c r="N374" s="52"/>
    </row>
    <row r="375" ht="15.75" customHeight="1">
      <c r="E375" s="49"/>
      <c r="G375" s="50"/>
      <c r="H375" s="51"/>
      <c r="I375" s="51"/>
      <c r="J375" s="51"/>
      <c r="K375" s="51"/>
      <c r="L375" s="52"/>
      <c r="M375" s="52"/>
      <c r="N375" s="52"/>
    </row>
    <row r="376" ht="15.75" customHeight="1">
      <c r="E376" s="49"/>
      <c r="G376" s="50"/>
      <c r="H376" s="51"/>
      <c r="I376" s="51"/>
      <c r="J376" s="51"/>
      <c r="K376" s="51"/>
      <c r="L376" s="52"/>
      <c r="M376" s="52"/>
      <c r="N376" s="52"/>
    </row>
    <row r="377" ht="15.75" customHeight="1">
      <c r="E377" s="49"/>
      <c r="G377" s="50"/>
      <c r="H377" s="51"/>
      <c r="I377" s="51"/>
      <c r="J377" s="51"/>
      <c r="K377" s="51"/>
      <c r="L377" s="52"/>
      <c r="M377" s="52"/>
      <c r="N377" s="52"/>
    </row>
    <row r="378" ht="15.75" customHeight="1">
      <c r="E378" s="49"/>
      <c r="G378" s="50"/>
      <c r="H378" s="51"/>
      <c r="I378" s="51"/>
      <c r="J378" s="51"/>
      <c r="K378" s="51"/>
      <c r="L378" s="52"/>
      <c r="M378" s="52"/>
      <c r="N378" s="52"/>
    </row>
    <row r="379" ht="15.75" customHeight="1">
      <c r="E379" s="49"/>
      <c r="G379" s="50"/>
      <c r="H379" s="51"/>
      <c r="I379" s="51"/>
      <c r="J379" s="51"/>
      <c r="K379" s="51"/>
      <c r="L379" s="52"/>
      <c r="M379" s="52"/>
      <c r="N379" s="52"/>
    </row>
    <row r="380" ht="15.75" customHeight="1">
      <c r="E380" s="49"/>
      <c r="G380" s="50"/>
      <c r="H380" s="51"/>
      <c r="I380" s="51"/>
      <c r="J380" s="51"/>
      <c r="K380" s="51"/>
      <c r="L380" s="52"/>
      <c r="M380" s="52"/>
      <c r="N380" s="52"/>
    </row>
    <row r="381" ht="15.75" customHeight="1">
      <c r="E381" s="49"/>
      <c r="G381" s="50"/>
      <c r="H381" s="51"/>
      <c r="I381" s="51"/>
      <c r="J381" s="51"/>
      <c r="K381" s="51"/>
      <c r="L381" s="52"/>
      <c r="M381" s="52"/>
      <c r="N381" s="52"/>
    </row>
    <row r="382" ht="15.75" customHeight="1">
      <c r="E382" s="49"/>
      <c r="G382" s="50"/>
      <c r="H382" s="51"/>
      <c r="I382" s="51"/>
      <c r="J382" s="51"/>
      <c r="K382" s="51"/>
      <c r="L382" s="52"/>
      <c r="M382" s="52"/>
      <c r="N382" s="52"/>
    </row>
    <row r="383" ht="15.75" customHeight="1">
      <c r="E383" s="49"/>
      <c r="G383" s="50"/>
      <c r="H383" s="51"/>
      <c r="I383" s="51"/>
      <c r="J383" s="51"/>
      <c r="K383" s="51"/>
      <c r="L383" s="52"/>
      <c r="M383" s="52"/>
      <c r="N383" s="52"/>
    </row>
    <row r="384" ht="15.75" customHeight="1">
      <c r="E384" s="49"/>
      <c r="G384" s="50"/>
      <c r="H384" s="51"/>
      <c r="I384" s="51"/>
      <c r="J384" s="51"/>
      <c r="K384" s="51"/>
      <c r="L384" s="52"/>
      <c r="M384" s="52"/>
      <c r="N384" s="52"/>
    </row>
    <row r="385" ht="15.75" customHeight="1">
      <c r="E385" s="49"/>
      <c r="G385" s="50"/>
      <c r="H385" s="51"/>
      <c r="I385" s="51"/>
      <c r="J385" s="51"/>
      <c r="K385" s="51"/>
      <c r="L385" s="52"/>
      <c r="M385" s="52"/>
      <c r="N385" s="52"/>
    </row>
    <row r="386" ht="15.75" customHeight="1">
      <c r="E386" s="49"/>
      <c r="G386" s="50"/>
      <c r="H386" s="51"/>
      <c r="I386" s="51"/>
      <c r="J386" s="51"/>
      <c r="K386" s="51"/>
      <c r="L386" s="52"/>
      <c r="M386" s="52"/>
      <c r="N386" s="52"/>
    </row>
    <row r="387" ht="15.75" customHeight="1">
      <c r="E387" s="49"/>
      <c r="G387" s="50"/>
      <c r="H387" s="51"/>
      <c r="I387" s="51"/>
      <c r="J387" s="51"/>
      <c r="K387" s="51"/>
      <c r="L387" s="52"/>
      <c r="M387" s="52"/>
      <c r="N387" s="52"/>
    </row>
    <row r="388" ht="15.75" customHeight="1">
      <c r="E388" s="49"/>
      <c r="G388" s="50"/>
      <c r="H388" s="51"/>
      <c r="I388" s="51"/>
      <c r="J388" s="51"/>
      <c r="K388" s="51"/>
      <c r="L388" s="52"/>
      <c r="M388" s="52"/>
      <c r="N388" s="52"/>
    </row>
    <row r="389" ht="15.75" customHeight="1">
      <c r="E389" s="49"/>
      <c r="G389" s="50"/>
      <c r="H389" s="51"/>
      <c r="I389" s="51"/>
      <c r="J389" s="51"/>
      <c r="K389" s="51"/>
      <c r="L389" s="52"/>
      <c r="M389" s="52"/>
      <c r="N389" s="52"/>
    </row>
    <row r="390" ht="15.75" customHeight="1">
      <c r="E390" s="49"/>
      <c r="G390" s="50"/>
      <c r="H390" s="51"/>
      <c r="I390" s="51"/>
      <c r="J390" s="51"/>
      <c r="K390" s="51"/>
      <c r="L390" s="52"/>
      <c r="M390" s="52"/>
      <c r="N390" s="52"/>
    </row>
    <row r="391" ht="15.75" customHeight="1">
      <c r="E391" s="49"/>
      <c r="G391" s="50"/>
      <c r="H391" s="51"/>
      <c r="I391" s="51"/>
      <c r="J391" s="51"/>
      <c r="K391" s="51"/>
      <c r="L391" s="52"/>
      <c r="M391" s="52"/>
      <c r="N391" s="52"/>
    </row>
    <row r="392" ht="15.75" customHeight="1">
      <c r="E392" s="49"/>
      <c r="G392" s="50"/>
      <c r="H392" s="51"/>
      <c r="I392" s="51"/>
      <c r="J392" s="51"/>
      <c r="K392" s="51"/>
      <c r="L392" s="52"/>
      <c r="M392" s="52"/>
      <c r="N392" s="52"/>
    </row>
    <row r="393" ht="15.75" customHeight="1">
      <c r="E393" s="49"/>
      <c r="G393" s="50"/>
      <c r="H393" s="51"/>
      <c r="I393" s="51"/>
      <c r="J393" s="51"/>
      <c r="K393" s="51"/>
      <c r="L393" s="52"/>
      <c r="M393" s="52"/>
      <c r="N393" s="52"/>
    </row>
    <row r="394" ht="15.75" customHeight="1">
      <c r="E394" s="49"/>
      <c r="G394" s="50"/>
      <c r="H394" s="51"/>
      <c r="I394" s="51"/>
      <c r="J394" s="51"/>
      <c r="K394" s="51"/>
      <c r="L394" s="52"/>
      <c r="M394" s="52"/>
      <c r="N394" s="52"/>
    </row>
    <row r="395" ht="15.75" customHeight="1">
      <c r="E395" s="49"/>
      <c r="G395" s="50"/>
      <c r="H395" s="51"/>
      <c r="I395" s="51"/>
      <c r="J395" s="51"/>
      <c r="K395" s="51"/>
      <c r="L395" s="52"/>
      <c r="M395" s="52"/>
      <c r="N395" s="52"/>
    </row>
    <row r="396" ht="15.75" customHeight="1">
      <c r="E396" s="49"/>
      <c r="G396" s="50"/>
      <c r="H396" s="51"/>
      <c r="I396" s="51"/>
      <c r="J396" s="51"/>
      <c r="K396" s="51"/>
      <c r="L396" s="52"/>
      <c r="M396" s="52"/>
      <c r="N396" s="52"/>
    </row>
    <row r="397" ht="15.75" customHeight="1">
      <c r="E397" s="49"/>
      <c r="G397" s="50"/>
      <c r="H397" s="51"/>
      <c r="I397" s="51"/>
      <c r="J397" s="51"/>
      <c r="K397" s="51"/>
      <c r="L397" s="52"/>
      <c r="M397" s="52"/>
      <c r="N397" s="52"/>
    </row>
    <row r="398" ht="15.75" customHeight="1">
      <c r="E398" s="49"/>
      <c r="G398" s="50"/>
      <c r="H398" s="51"/>
      <c r="I398" s="51"/>
      <c r="J398" s="51"/>
      <c r="K398" s="51"/>
      <c r="L398" s="52"/>
      <c r="M398" s="52"/>
      <c r="N398" s="52"/>
    </row>
    <row r="399" ht="15.75" customHeight="1">
      <c r="E399" s="49"/>
      <c r="G399" s="50"/>
      <c r="H399" s="51"/>
      <c r="I399" s="51"/>
      <c r="J399" s="51"/>
      <c r="K399" s="51"/>
      <c r="L399" s="52"/>
      <c r="M399" s="52"/>
      <c r="N399" s="52"/>
    </row>
    <row r="400" ht="15.75" customHeight="1">
      <c r="E400" s="49"/>
      <c r="G400" s="50"/>
      <c r="H400" s="51"/>
      <c r="I400" s="51"/>
      <c r="J400" s="51"/>
      <c r="K400" s="51"/>
      <c r="L400" s="52"/>
      <c r="M400" s="52"/>
      <c r="N400" s="52"/>
    </row>
    <row r="401" ht="15.75" customHeight="1">
      <c r="E401" s="49"/>
      <c r="G401" s="50"/>
      <c r="H401" s="51"/>
      <c r="I401" s="51"/>
      <c r="J401" s="51"/>
      <c r="K401" s="51"/>
      <c r="L401" s="52"/>
      <c r="M401" s="52"/>
      <c r="N401" s="52"/>
    </row>
    <row r="402" ht="15.75" customHeight="1">
      <c r="E402" s="49"/>
      <c r="G402" s="50"/>
      <c r="H402" s="51"/>
      <c r="I402" s="51"/>
      <c r="J402" s="51"/>
      <c r="K402" s="51"/>
      <c r="L402" s="52"/>
      <c r="M402" s="52"/>
      <c r="N402" s="52"/>
    </row>
    <row r="403" ht="15.75" customHeight="1">
      <c r="E403" s="49"/>
      <c r="G403" s="50"/>
      <c r="H403" s="51"/>
      <c r="I403" s="51"/>
      <c r="J403" s="51"/>
      <c r="K403" s="51"/>
      <c r="L403" s="52"/>
      <c r="M403" s="52"/>
      <c r="N403" s="52"/>
    </row>
    <row r="404" ht="15.75" customHeight="1">
      <c r="E404" s="49"/>
      <c r="G404" s="50"/>
      <c r="H404" s="51"/>
      <c r="I404" s="51"/>
      <c r="J404" s="51"/>
      <c r="K404" s="51"/>
      <c r="L404" s="52"/>
      <c r="M404" s="52"/>
      <c r="N404" s="52"/>
    </row>
    <row r="405" ht="15.75" customHeight="1">
      <c r="E405" s="49"/>
      <c r="G405" s="50"/>
      <c r="H405" s="51"/>
      <c r="I405" s="51"/>
      <c r="J405" s="51"/>
      <c r="K405" s="51"/>
      <c r="L405" s="52"/>
      <c r="M405" s="52"/>
      <c r="N405" s="52"/>
    </row>
    <row r="406" ht="15.75" customHeight="1">
      <c r="E406" s="49"/>
      <c r="G406" s="50"/>
      <c r="H406" s="51"/>
      <c r="I406" s="51"/>
      <c r="J406" s="51"/>
      <c r="K406" s="51"/>
      <c r="L406" s="52"/>
      <c r="M406" s="52"/>
      <c r="N406" s="52"/>
    </row>
    <row r="407" ht="15.75" customHeight="1">
      <c r="E407" s="49"/>
      <c r="G407" s="50"/>
      <c r="H407" s="51"/>
      <c r="I407" s="51"/>
      <c r="J407" s="51"/>
      <c r="K407" s="51"/>
      <c r="L407" s="52"/>
      <c r="M407" s="52"/>
      <c r="N407" s="52"/>
    </row>
    <row r="408" ht="15.75" customHeight="1">
      <c r="E408" s="49"/>
      <c r="G408" s="50"/>
      <c r="H408" s="51"/>
      <c r="I408" s="51"/>
      <c r="J408" s="51"/>
      <c r="K408" s="51"/>
      <c r="L408" s="52"/>
      <c r="M408" s="52"/>
      <c r="N408" s="52"/>
    </row>
    <row r="409" ht="15.75" customHeight="1">
      <c r="E409" s="49"/>
      <c r="G409" s="50"/>
      <c r="H409" s="51"/>
      <c r="I409" s="51"/>
      <c r="J409" s="51"/>
      <c r="K409" s="51"/>
      <c r="L409" s="52"/>
      <c r="M409" s="52"/>
      <c r="N409" s="52"/>
    </row>
    <row r="410" ht="15.75" customHeight="1">
      <c r="E410" s="49"/>
      <c r="G410" s="50"/>
      <c r="H410" s="51"/>
      <c r="I410" s="51"/>
      <c r="J410" s="51"/>
      <c r="K410" s="51"/>
      <c r="L410" s="52"/>
      <c r="M410" s="52"/>
      <c r="N410" s="52"/>
    </row>
    <row r="411" ht="15.75" customHeight="1">
      <c r="E411" s="49"/>
      <c r="G411" s="50"/>
      <c r="H411" s="51"/>
      <c r="I411" s="51"/>
      <c r="J411" s="51"/>
      <c r="K411" s="51"/>
      <c r="L411" s="52"/>
      <c r="M411" s="52"/>
      <c r="N411" s="52"/>
    </row>
    <row r="412" ht="15.75" customHeight="1">
      <c r="E412" s="49"/>
      <c r="G412" s="50"/>
      <c r="H412" s="51"/>
      <c r="I412" s="51"/>
      <c r="J412" s="51"/>
      <c r="K412" s="51"/>
      <c r="L412" s="52"/>
      <c r="M412" s="52"/>
      <c r="N412" s="52"/>
    </row>
    <row r="413" ht="15.75" customHeight="1">
      <c r="E413" s="49"/>
      <c r="G413" s="50"/>
      <c r="H413" s="51"/>
      <c r="I413" s="51"/>
      <c r="J413" s="51"/>
      <c r="K413" s="51"/>
      <c r="L413" s="52"/>
      <c r="M413" s="52"/>
      <c r="N413" s="52"/>
    </row>
    <row r="414" ht="15.75" customHeight="1">
      <c r="E414" s="49"/>
      <c r="G414" s="50"/>
      <c r="H414" s="51"/>
      <c r="I414" s="51"/>
      <c r="J414" s="51"/>
      <c r="K414" s="51"/>
      <c r="L414" s="52"/>
      <c r="M414" s="52"/>
      <c r="N414" s="52"/>
    </row>
    <row r="415" ht="15.75" customHeight="1">
      <c r="E415" s="49"/>
      <c r="G415" s="50"/>
      <c r="H415" s="51"/>
      <c r="I415" s="51"/>
      <c r="J415" s="51"/>
      <c r="K415" s="51"/>
      <c r="L415" s="52"/>
      <c r="M415" s="52"/>
      <c r="N415" s="52"/>
    </row>
    <row r="416" ht="15.75" customHeight="1">
      <c r="E416" s="49"/>
      <c r="G416" s="50"/>
      <c r="H416" s="51"/>
      <c r="I416" s="51"/>
      <c r="J416" s="51"/>
      <c r="K416" s="51"/>
      <c r="L416" s="52"/>
      <c r="M416" s="52"/>
      <c r="N416" s="52"/>
    </row>
    <row r="417" ht="15.75" customHeight="1">
      <c r="E417" s="49"/>
      <c r="G417" s="50"/>
      <c r="H417" s="51"/>
      <c r="I417" s="51"/>
      <c r="J417" s="51"/>
      <c r="K417" s="51"/>
      <c r="L417" s="52"/>
      <c r="M417" s="52"/>
      <c r="N417" s="52"/>
    </row>
    <row r="418" ht="15.75" customHeight="1">
      <c r="E418" s="49"/>
      <c r="G418" s="50"/>
      <c r="H418" s="51"/>
      <c r="I418" s="51"/>
      <c r="J418" s="51"/>
      <c r="K418" s="51"/>
      <c r="L418" s="52"/>
      <c r="M418" s="52"/>
      <c r="N418" s="52"/>
    </row>
    <row r="419" ht="15.75" customHeight="1">
      <c r="E419" s="49"/>
      <c r="G419" s="50"/>
      <c r="H419" s="51"/>
      <c r="I419" s="51"/>
      <c r="J419" s="51"/>
      <c r="K419" s="51"/>
      <c r="L419" s="52"/>
      <c r="M419" s="52"/>
      <c r="N419" s="52"/>
    </row>
    <row r="420" ht="15.75" customHeight="1">
      <c r="E420" s="49"/>
      <c r="G420" s="50"/>
      <c r="H420" s="51"/>
      <c r="I420" s="51"/>
      <c r="J420" s="51"/>
      <c r="K420" s="51"/>
      <c r="L420" s="52"/>
      <c r="M420" s="52"/>
      <c r="N420" s="52"/>
    </row>
    <row r="421" ht="15.75" customHeight="1">
      <c r="E421" s="49"/>
      <c r="G421" s="50"/>
      <c r="H421" s="51"/>
      <c r="I421" s="51"/>
      <c r="J421" s="51"/>
      <c r="K421" s="51"/>
      <c r="L421" s="52"/>
      <c r="M421" s="52"/>
      <c r="N421" s="52"/>
    </row>
    <row r="422" ht="15.75" customHeight="1">
      <c r="E422" s="49"/>
      <c r="G422" s="50"/>
      <c r="H422" s="51"/>
      <c r="I422" s="51"/>
      <c r="J422" s="51"/>
      <c r="K422" s="51"/>
      <c r="L422" s="52"/>
      <c r="M422" s="52"/>
      <c r="N422" s="52"/>
    </row>
    <row r="423" ht="15.75" customHeight="1">
      <c r="E423" s="49"/>
      <c r="G423" s="50"/>
      <c r="H423" s="51"/>
      <c r="I423" s="51"/>
      <c r="J423" s="51"/>
      <c r="K423" s="51"/>
      <c r="L423" s="52"/>
      <c r="M423" s="52"/>
      <c r="N423" s="52"/>
    </row>
    <row r="424" ht="15.75" customHeight="1">
      <c r="E424" s="49"/>
      <c r="G424" s="50"/>
      <c r="H424" s="51"/>
      <c r="I424" s="51"/>
      <c r="J424" s="51"/>
      <c r="K424" s="51"/>
      <c r="L424" s="52"/>
      <c r="M424" s="52"/>
      <c r="N424" s="52"/>
    </row>
    <row r="425" ht="15.75" customHeight="1">
      <c r="E425" s="49"/>
      <c r="G425" s="50"/>
      <c r="H425" s="51"/>
      <c r="I425" s="51"/>
      <c r="J425" s="51"/>
      <c r="K425" s="51"/>
      <c r="L425" s="52"/>
      <c r="M425" s="52"/>
      <c r="N425" s="52"/>
    </row>
    <row r="426" ht="15.75" customHeight="1">
      <c r="E426" s="49"/>
      <c r="G426" s="50"/>
      <c r="H426" s="51"/>
      <c r="I426" s="51"/>
      <c r="J426" s="51"/>
      <c r="K426" s="51"/>
      <c r="L426" s="52"/>
      <c r="M426" s="52"/>
      <c r="N426" s="52"/>
    </row>
    <row r="427" ht="15.75" customHeight="1">
      <c r="E427" s="49"/>
      <c r="G427" s="50"/>
      <c r="H427" s="51"/>
      <c r="I427" s="51"/>
      <c r="J427" s="51"/>
      <c r="K427" s="51"/>
      <c r="L427" s="52"/>
      <c r="M427" s="52"/>
      <c r="N427" s="52"/>
    </row>
    <row r="428" ht="15.75" customHeight="1">
      <c r="E428" s="49"/>
      <c r="G428" s="50"/>
      <c r="H428" s="51"/>
      <c r="I428" s="51"/>
      <c r="J428" s="51"/>
      <c r="K428" s="51"/>
      <c r="L428" s="52"/>
      <c r="M428" s="52"/>
      <c r="N428" s="52"/>
    </row>
    <row r="429" ht="15.75" customHeight="1">
      <c r="E429" s="49"/>
      <c r="G429" s="50"/>
      <c r="H429" s="51"/>
      <c r="I429" s="51"/>
      <c r="J429" s="51"/>
      <c r="K429" s="51"/>
      <c r="L429" s="52"/>
      <c r="M429" s="52"/>
      <c r="N429" s="52"/>
    </row>
    <row r="430" ht="15.75" customHeight="1">
      <c r="E430" s="49"/>
      <c r="G430" s="50"/>
      <c r="H430" s="51"/>
      <c r="I430" s="51"/>
      <c r="J430" s="51"/>
      <c r="K430" s="51"/>
      <c r="L430" s="52"/>
      <c r="M430" s="52"/>
      <c r="N430" s="52"/>
    </row>
    <row r="431" ht="15.75" customHeight="1">
      <c r="E431" s="49"/>
      <c r="G431" s="50"/>
      <c r="H431" s="51"/>
      <c r="I431" s="51"/>
      <c r="J431" s="51"/>
      <c r="K431" s="51"/>
      <c r="L431" s="52"/>
      <c r="M431" s="52"/>
      <c r="N431" s="52"/>
    </row>
    <row r="432" ht="15.75" customHeight="1">
      <c r="E432" s="49"/>
      <c r="G432" s="50"/>
      <c r="H432" s="51"/>
      <c r="I432" s="51"/>
      <c r="J432" s="51"/>
      <c r="K432" s="51"/>
      <c r="L432" s="52"/>
      <c r="M432" s="52"/>
      <c r="N432" s="52"/>
    </row>
    <row r="433" ht="15.75" customHeight="1">
      <c r="E433" s="49"/>
      <c r="G433" s="50"/>
      <c r="H433" s="51"/>
      <c r="I433" s="51"/>
      <c r="J433" s="51"/>
      <c r="K433" s="51"/>
      <c r="L433" s="52"/>
      <c r="M433" s="52"/>
      <c r="N433" s="52"/>
    </row>
    <row r="434" ht="15.75" customHeight="1">
      <c r="E434" s="49"/>
      <c r="G434" s="50"/>
      <c r="H434" s="51"/>
      <c r="I434" s="51"/>
      <c r="J434" s="51"/>
      <c r="K434" s="51"/>
      <c r="L434" s="52"/>
      <c r="M434" s="52"/>
      <c r="N434" s="52"/>
    </row>
    <row r="435" ht="15.75" customHeight="1">
      <c r="E435" s="49"/>
      <c r="G435" s="50"/>
      <c r="H435" s="51"/>
      <c r="I435" s="51"/>
      <c r="J435" s="51"/>
      <c r="K435" s="51"/>
      <c r="L435" s="52"/>
      <c r="M435" s="52"/>
      <c r="N435" s="52"/>
    </row>
    <row r="436" ht="15.75" customHeight="1">
      <c r="E436" s="49"/>
      <c r="G436" s="50"/>
      <c r="H436" s="51"/>
      <c r="I436" s="51"/>
      <c r="J436" s="51"/>
      <c r="K436" s="51"/>
      <c r="L436" s="52"/>
      <c r="M436" s="52"/>
      <c r="N436" s="52"/>
    </row>
    <row r="437" ht="15.75" customHeight="1">
      <c r="E437" s="49"/>
      <c r="G437" s="50"/>
      <c r="H437" s="51"/>
      <c r="I437" s="51"/>
      <c r="J437" s="51"/>
      <c r="K437" s="51"/>
      <c r="L437" s="52"/>
      <c r="M437" s="52"/>
      <c r="N437" s="52"/>
    </row>
    <row r="438" ht="15.75" customHeight="1">
      <c r="E438" s="49"/>
      <c r="G438" s="50"/>
      <c r="H438" s="51"/>
      <c r="I438" s="51"/>
      <c r="J438" s="51"/>
      <c r="K438" s="51"/>
      <c r="L438" s="52"/>
      <c r="M438" s="52"/>
      <c r="N438" s="52"/>
    </row>
    <row r="439" ht="15.75" customHeight="1">
      <c r="E439" s="49"/>
      <c r="G439" s="50"/>
      <c r="H439" s="51"/>
      <c r="I439" s="51"/>
      <c r="J439" s="51"/>
      <c r="K439" s="51"/>
      <c r="L439" s="52"/>
      <c r="M439" s="52"/>
      <c r="N439" s="52"/>
    </row>
    <row r="440" ht="15.75" customHeight="1">
      <c r="E440" s="49"/>
      <c r="G440" s="50"/>
      <c r="H440" s="51"/>
      <c r="I440" s="51"/>
      <c r="J440" s="51"/>
      <c r="K440" s="51"/>
      <c r="L440" s="52"/>
      <c r="M440" s="52"/>
      <c r="N440" s="52"/>
    </row>
    <row r="441" ht="15.75" customHeight="1">
      <c r="E441" s="49"/>
      <c r="G441" s="50"/>
      <c r="H441" s="51"/>
      <c r="I441" s="51"/>
      <c r="J441" s="51"/>
      <c r="K441" s="51"/>
      <c r="L441" s="52"/>
      <c r="M441" s="52"/>
      <c r="N441" s="52"/>
    </row>
    <row r="442" ht="15.75" customHeight="1">
      <c r="E442" s="49"/>
      <c r="G442" s="50"/>
      <c r="H442" s="51"/>
      <c r="I442" s="51"/>
      <c r="J442" s="51"/>
      <c r="K442" s="51"/>
      <c r="L442" s="52"/>
      <c r="M442" s="52"/>
      <c r="N442" s="52"/>
    </row>
    <row r="443" ht="15.75" customHeight="1">
      <c r="E443" s="49"/>
      <c r="G443" s="50"/>
      <c r="H443" s="51"/>
      <c r="I443" s="51"/>
      <c r="J443" s="51"/>
      <c r="K443" s="51"/>
      <c r="L443" s="52"/>
      <c r="M443" s="52"/>
      <c r="N443" s="52"/>
    </row>
    <row r="444" ht="15.75" customHeight="1">
      <c r="E444" s="49"/>
      <c r="G444" s="50"/>
      <c r="H444" s="51"/>
      <c r="I444" s="51"/>
      <c r="J444" s="51"/>
      <c r="K444" s="51"/>
      <c r="L444" s="52"/>
      <c r="M444" s="52"/>
      <c r="N444" s="52"/>
    </row>
    <row r="445" ht="15.75" customHeight="1">
      <c r="E445" s="49"/>
      <c r="G445" s="50"/>
      <c r="H445" s="51"/>
      <c r="I445" s="51"/>
      <c r="J445" s="51"/>
      <c r="K445" s="51"/>
      <c r="L445" s="52"/>
      <c r="M445" s="52"/>
      <c r="N445" s="52"/>
    </row>
    <row r="446" ht="15.75" customHeight="1">
      <c r="E446" s="49"/>
      <c r="G446" s="50"/>
      <c r="H446" s="51"/>
      <c r="I446" s="51"/>
      <c r="J446" s="51"/>
      <c r="K446" s="51"/>
      <c r="L446" s="52"/>
      <c r="M446" s="52"/>
      <c r="N446" s="52"/>
    </row>
    <row r="447" ht="15.75" customHeight="1">
      <c r="E447" s="49"/>
      <c r="G447" s="50"/>
      <c r="H447" s="51"/>
      <c r="I447" s="51"/>
      <c r="J447" s="51"/>
      <c r="K447" s="51"/>
      <c r="L447" s="52"/>
      <c r="M447" s="52"/>
      <c r="N447" s="52"/>
    </row>
    <row r="448" ht="15.75" customHeight="1">
      <c r="E448" s="49"/>
      <c r="G448" s="50"/>
      <c r="H448" s="51"/>
      <c r="I448" s="51"/>
      <c r="J448" s="51"/>
      <c r="K448" s="51"/>
      <c r="L448" s="52"/>
      <c r="M448" s="52"/>
      <c r="N448" s="52"/>
    </row>
    <row r="449" ht="15.75" customHeight="1">
      <c r="E449" s="49"/>
      <c r="G449" s="50"/>
      <c r="H449" s="51"/>
      <c r="I449" s="51"/>
      <c r="J449" s="51"/>
      <c r="K449" s="51"/>
      <c r="L449" s="52"/>
      <c r="M449" s="52"/>
      <c r="N449" s="52"/>
    </row>
    <row r="450" ht="15.75" customHeight="1">
      <c r="E450" s="49"/>
      <c r="G450" s="50"/>
      <c r="H450" s="51"/>
      <c r="I450" s="51"/>
      <c r="J450" s="51"/>
      <c r="K450" s="51"/>
      <c r="L450" s="52"/>
      <c r="M450" s="52"/>
      <c r="N450" s="52"/>
    </row>
    <row r="451" ht="15.75" customHeight="1">
      <c r="E451" s="49"/>
      <c r="G451" s="50"/>
      <c r="H451" s="51"/>
      <c r="I451" s="51"/>
      <c r="J451" s="51"/>
      <c r="K451" s="51"/>
      <c r="L451" s="52"/>
      <c r="M451" s="52"/>
      <c r="N451" s="52"/>
    </row>
    <row r="452" ht="15.75" customHeight="1">
      <c r="E452" s="49"/>
      <c r="G452" s="50"/>
      <c r="H452" s="51"/>
      <c r="I452" s="51"/>
      <c r="J452" s="51"/>
      <c r="K452" s="51"/>
      <c r="L452" s="52"/>
      <c r="M452" s="52"/>
      <c r="N452" s="52"/>
    </row>
    <row r="453" ht="15.75" customHeight="1">
      <c r="E453" s="49"/>
      <c r="G453" s="50"/>
      <c r="H453" s="51"/>
      <c r="I453" s="51"/>
      <c r="J453" s="51"/>
      <c r="K453" s="51"/>
      <c r="L453" s="52"/>
      <c r="M453" s="52"/>
      <c r="N453" s="52"/>
    </row>
    <row r="454" ht="15.75" customHeight="1">
      <c r="E454" s="49"/>
      <c r="G454" s="50"/>
      <c r="H454" s="51"/>
      <c r="I454" s="51"/>
      <c r="J454" s="51"/>
      <c r="K454" s="51"/>
      <c r="L454" s="52"/>
      <c r="M454" s="52"/>
      <c r="N454" s="52"/>
    </row>
    <row r="455" ht="15.75" customHeight="1">
      <c r="E455" s="49"/>
      <c r="G455" s="50"/>
      <c r="H455" s="51"/>
      <c r="I455" s="51"/>
      <c r="J455" s="51"/>
      <c r="K455" s="51"/>
      <c r="L455" s="52"/>
      <c r="M455" s="52"/>
      <c r="N455" s="52"/>
    </row>
    <row r="456" ht="15.75" customHeight="1">
      <c r="E456" s="49"/>
      <c r="G456" s="50"/>
      <c r="H456" s="51"/>
      <c r="I456" s="51"/>
      <c r="J456" s="51"/>
      <c r="K456" s="51"/>
      <c r="L456" s="52"/>
      <c r="M456" s="52"/>
      <c r="N456" s="52"/>
    </row>
    <row r="457" ht="15.75" customHeight="1">
      <c r="E457" s="49"/>
      <c r="G457" s="50"/>
      <c r="H457" s="51"/>
      <c r="I457" s="51"/>
      <c r="J457" s="51"/>
      <c r="K457" s="51"/>
      <c r="L457" s="52"/>
      <c r="M457" s="52"/>
      <c r="N457" s="52"/>
    </row>
    <row r="458" ht="15.75" customHeight="1">
      <c r="E458" s="49"/>
      <c r="G458" s="50"/>
      <c r="H458" s="51"/>
      <c r="I458" s="51"/>
      <c r="J458" s="51"/>
      <c r="K458" s="51"/>
      <c r="L458" s="52"/>
      <c r="M458" s="52"/>
      <c r="N458" s="52"/>
    </row>
    <row r="459" ht="15.75" customHeight="1">
      <c r="E459" s="49"/>
      <c r="G459" s="50"/>
      <c r="H459" s="51"/>
      <c r="I459" s="51"/>
      <c r="J459" s="51"/>
      <c r="K459" s="51"/>
      <c r="L459" s="52"/>
      <c r="M459" s="52"/>
      <c r="N459" s="52"/>
    </row>
    <row r="460" ht="15.75" customHeight="1">
      <c r="E460" s="49"/>
      <c r="G460" s="50"/>
      <c r="H460" s="51"/>
      <c r="I460" s="51"/>
      <c r="J460" s="51"/>
      <c r="K460" s="51"/>
      <c r="L460" s="52"/>
      <c r="M460" s="52"/>
      <c r="N460" s="52"/>
    </row>
    <row r="461" ht="15.75" customHeight="1">
      <c r="E461" s="49"/>
      <c r="G461" s="50"/>
      <c r="H461" s="51"/>
      <c r="I461" s="51"/>
      <c r="J461" s="51"/>
      <c r="K461" s="51"/>
      <c r="L461" s="52"/>
      <c r="M461" s="52"/>
      <c r="N461" s="52"/>
    </row>
    <row r="462" ht="15.75" customHeight="1">
      <c r="E462" s="49"/>
      <c r="G462" s="50"/>
      <c r="H462" s="51"/>
      <c r="I462" s="51"/>
      <c r="J462" s="51"/>
      <c r="K462" s="51"/>
      <c r="L462" s="52"/>
      <c r="M462" s="52"/>
      <c r="N462" s="52"/>
    </row>
    <row r="463" ht="15.75" customHeight="1">
      <c r="E463" s="49"/>
      <c r="G463" s="50"/>
      <c r="H463" s="51"/>
      <c r="I463" s="51"/>
      <c r="J463" s="51"/>
      <c r="K463" s="51"/>
      <c r="L463" s="52"/>
      <c r="M463" s="52"/>
      <c r="N463" s="52"/>
    </row>
    <row r="464" ht="15.75" customHeight="1">
      <c r="E464" s="49"/>
      <c r="G464" s="50"/>
      <c r="H464" s="51"/>
      <c r="I464" s="51"/>
      <c r="J464" s="51"/>
      <c r="K464" s="51"/>
      <c r="L464" s="52"/>
      <c r="M464" s="52"/>
      <c r="N464" s="52"/>
    </row>
    <row r="465" ht="15.75" customHeight="1">
      <c r="E465" s="49"/>
      <c r="G465" s="50"/>
      <c r="H465" s="51"/>
      <c r="I465" s="51"/>
      <c r="J465" s="51"/>
      <c r="K465" s="51"/>
      <c r="L465" s="52"/>
      <c r="M465" s="52"/>
      <c r="N465" s="52"/>
    </row>
    <row r="466" ht="15.75" customHeight="1">
      <c r="E466" s="49"/>
      <c r="G466" s="50"/>
      <c r="H466" s="51"/>
      <c r="I466" s="51"/>
      <c r="J466" s="51"/>
      <c r="K466" s="51"/>
      <c r="L466" s="52"/>
      <c r="M466" s="52"/>
      <c r="N466" s="52"/>
    </row>
    <row r="467" ht="15.75" customHeight="1">
      <c r="E467" s="49"/>
      <c r="G467" s="50"/>
      <c r="H467" s="51"/>
      <c r="I467" s="51"/>
      <c r="J467" s="51"/>
      <c r="K467" s="51"/>
      <c r="L467" s="52"/>
      <c r="M467" s="52"/>
      <c r="N467" s="52"/>
    </row>
    <row r="468" ht="15.75" customHeight="1">
      <c r="E468" s="49"/>
      <c r="G468" s="50"/>
      <c r="H468" s="51"/>
      <c r="I468" s="51"/>
      <c r="J468" s="51"/>
      <c r="K468" s="51"/>
      <c r="L468" s="52"/>
      <c r="M468" s="52"/>
      <c r="N468" s="52"/>
    </row>
    <row r="469" ht="15.75" customHeight="1">
      <c r="E469" s="49"/>
      <c r="G469" s="50"/>
      <c r="H469" s="51"/>
      <c r="I469" s="51"/>
      <c r="J469" s="51"/>
      <c r="K469" s="51"/>
      <c r="L469" s="52"/>
      <c r="M469" s="52"/>
      <c r="N469" s="52"/>
    </row>
    <row r="470" ht="15.75" customHeight="1">
      <c r="E470" s="49"/>
      <c r="G470" s="50"/>
      <c r="H470" s="51"/>
      <c r="I470" s="51"/>
      <c r="J470" s="51"/>
      <c r="K470" s="51"/>
      <c r="L470" s="52"/>
      <c r="M470" s="52"/>
      <c r="N470" s="52"/>
    </row>
    <row r="471" ht="15.75" customHeight="1">
      <c r="E471" s="49"/>
      <c r="G471" s="50"/>
      <c r="H471" s="51"/>
      <c r="I471" s="51"/>
      <c r="J471" s="51"/>
      <c r="K471" s="51"/>
      <c r="L471" s="52"/>
      <c r="M471" s="52"/>
      <c r="N471" s="52"/>
    </row>
    <row r="472" ht="15.75" customHeight="1">
      <c r="E472" s="49"/>
      <c r="G472" s="50"/>
      <c r="H472" s="51"/>
      <c r="I472" s="51"/>
      <c r="J472" s="51"/>
      <c r="K472" s="51"/>
      <c r="L472" s="52"/>
      <c r="M472" s="52"/>
      <c r="N472" s="52"/>
    </row>
    <row r="473" ht="15.75" customHeight="1">
      <c r="E473" s="49"/>
      <c r="G473" s="50"/>
      <c r="H473" s="51"/>
      <c r="I473" s="51"/>
      <c r="J473" s="51"/>
      <c r="K473" s="51"/>
      <c r="L473" s="52"/>
      <c r="M473" s="52"/>
      <c r="N473" s="52"/>
    </row>
    <row r="474" ht="15.75" customHeight="1">
      <c r="E474" s="49"/>
      <c r="G474" s="50"/>
      <c r="H474" s="51"/>
      <c r="I474" s="51"/>
      <c r="J474" s="51"/>
      <c r="K474" s="51"/>
      <c r="L474" s="52"/>
      <c r="M474" s="52"/>
      <c r="N474" s="52"/>
    </row>
    <row r="475" ht="15.75" customHeight="1">
      <c r="E475" s="49"/>
      <c r="G475" s="50"/>
      <c r="H475" s="51"/>
      <c r="I475" s="51"/>
      <c r="J475" s="51"/>
      <c r="K475" s="51"/>
      <c r="L475" s="52"/>
      <c r="M475" s="52"/>
      <c r="N475" s="52"/>
    </row>
    <row r="476" ht="15.75" customHeight="1">
      <c r="E476" s="49"/>
      <c r="G476" s="50"/>
      <c r="H476" s="51"/>
      <c r="I476" s="51"/>
      <c r="J476" s="51"/>
      <c r="K476" s="51"/>
      <c r="L476" s="52"/>
      <c r="M476" s="52"/>
      <c r="N476" s="52"/>
    </row>
    <row r="477" ht="15.75" customHeight="1">
      <c r="E477" s="49"/>
      <c r="G477" s="50"/>
      <c r="H477" s="51"/>
      <c r="I477" s="51"/>
      <c r="J477" s="51"/>
      <c r="K477" s="51"/>
      <c r="L477" s="52"/>
      <c r="M477" s="52"/>
      <c r="N477" s="52"/>
    </row>
    <row r="478" ht="15.75" customHeight="1">
      <c r="E478" s="49"/>
      <c r="G478" s="50"/>
      <c r="H478" s="51"/>
      <c r="I478" s="51"/>
      <c r="J478" s="51"/>
      <c r="K478" s="51"/>
      <c r="L478" s="52"/>
      <c r="M478" s="52"/>
      <c r="N478" s="52"/>
    </row>
    <row r="479" ht="15.75" customHeight="1">
      <c r="E479" s="49"/>
      <c r="G479" s="50"/>
      <c r="H479" s="51"/>
      <c r="I479" s="51"/>
      <c r="J479" s="51"/>
      <c r="K479" s="51"/>
      <c r="L479" s="52"/>
      <c r="M479" s="52"/>
      <c r="N479" s="52"/>
    </row>
    <row r="480" ht="15.75" customHeight="1">
      <c r="E480" s="49"/>
      <c r="G480" s="50"/>
      <c r="H480" s="51"/>
      <c r="I480" s="51"/>
      <c r="J480" s="51"/>
      <c r="K480" s="51"/>
      <c r="L480" s="52"/>
      <c r="M480" s="52"/>
      <c r="N480" s="52"/>
    </row>
    <row r="481" ht="15.75" customHeight="1">
      <c r="E481" s="49"/>
      <c r="G481" s="50"/>
      <c r="H481" s="51"/>
      <c r="I481" s="51"/>
      <c r="J481" s="51"/>
      <c r="K481" s="51"/>
      <c r="L481" s="52"/>
      <c r="M481" s="52"/>
      <c r="N481" s="52"/>
    </row>
    <row r="482" ht="15.75" customHeight="1">
      <c r="E482" s="49"/>
      <c r="G482" s="50"/>
      <c r="H482" s="51"/>
      <c r="I482" s="51"/>
      <c r="J482" s="51"/>
      <c r="K482" s="51"/>
      <c r="L482" s="52"/>
      <c r="M482" s="52"/>
      <c r="N482" s="52"/>
    </row>
    <row r="483" ht="15.75" customHeight="1">
      <c r="E483" s="49"/>
      <c r="G483" s="50"/>
      <c r="H483" s="51"/>
      <c r="I483" s="51"/>
      <c r="J483" s="51"/>
      <c r="K483" s="51"/>
      <c r="L483" s="52"/>
      <c r="M483" s="52"/>
      <c r="N483" s="52"/>
    </row>
    <row r="484" ht="15.75" customHeight="1">
      <c r="E484" s="49"/>
      <c r="G484" s="50"/>
      <c r="H484" s="51"/>
      <c r="I484" s="51"/>
      <c r="J484" s="51"/>
      <c r="K484" s="51"/>
      <c r="L484" s="52"/>
      <c r="M484" s="52"/>
      <c r="N484" s="52"/>
    </row>
    <row r="485" ht="15.75" customHeight="1">
      <c r="E485" s="49"/>
      <c r="G485" s="50"/>
      <c r="H485" s="51"/>
      <c r="I485" s="51"/>
      <c r="J485" s="51"/>
      <c r="K485" s="51"/>
      <c r="L485" s="52"/>
      <c r="M485" s="52"/>
      <c r="N485" s="52"/>
    </row>
    <row r="486" ht="15.75" customHeight="1">
      <c r="E486" s="49"/>
      <c r="G486" s="50"/>
      <c r="H486" s="51"/>
      <c r="I486" s="51"/>
      <c r="J486" s="51"/>
      <c r="K486" s="51"/>
      <c r="L486" s="52"/>
      <c r="M486" s="52"/>
      <c r="N486" s="52"/>
    </row>
    <row r="487" ht="15.75" customHeight="1">
      <c r="E487" s="49"/>
      <c r="G487" s="50"/>
      <c r="H487" s="51"/>
      <c r="I487" s="51"/>
      <c r="J487" s="51"/>
      <c r="K487" s="51"/>
      <c r="L487" s="52"/>
      <c r="M487" s="52"/>
      <c r="N487" s="52"/>
    </row>
    <row r="488" ht="15.75" customHeight="1">
      <c r="E488" s="49"/>
      <c r="G488" s="50"/>
      <c r="H488" s="51"/>
      <c r="I488" s="51"/>
      <c r="J488" s="51"/>
      <c r="K488" s="51"/>
      <c r="L488" s="52"/>
      <c r="M488" s="52"/>
      <c r="N488" s="52"/>
    </row>
    <row r="489" ht="15.75" customHeight="1">
      <c r="E489" s="49"/>
      <c r="G489" s="50"/>
      <c r="H489" s="51"/>
      <c r="I489" s="51"/>
      <c r="J489" s="51"/>
      <c r="K489" s="51"/>
      <c r="L489" s="52"/>
      <c r="M489" s="52"/>
      <c r="N489" s="52"/>
    </row>
    <row r="490" ht="15.75" customHeight="1">
      <c r="E490" s="49"/>
      <c r="G490" s="50"/>
      <c r="H490" s="51"/>
      <c r="I490" s="51"/>
      <c r="J490" s="51"/>
      <c r="K490" s="51"/>
      <c r="L490" s="52"/>
      <c r="M490" s="52"/>
      <c r="N490" s="52"/>
    </row>
    <row r="491" ht="15.75" customHeight="1">
      <c r="E491" s="49"/>
      <c r="G491" s="50"/>
      <c r="H491" s="51"/>
      <c r="I491" s="51"/>
      <c r="J491" s="51"/>
      <c r="K491" s="51"/>
      <c r="L491" s="52"/>
      <c r="M491" s="52"/>
      <c r="N491" s="52"/>
    </row>
    <row r="492" ht="15.75" customHeight="1">
      <c r="E492" s="49"/>
      <c r="G492" s="50"/>
      <c r="H492" s="51"/>
      <c r="I492" s="51"/>
      <c r="J492" s="51"/>
      <c r="K492" s="51"/>
      <c r="L492" s="52"/>
      <c r="M492" s="52"/>
      <c r="N492" s="52"/>
    </row>
    <row r="493" ht="15.75" customHeight="1">
      <c r="E493" s="49"/>
      <c r="G493" s="50"/>
      <c r="H493" s="51"/>
      <c r="I493" s="51"/>
      <c r="J493" s="51"/>
      <c r="K493" s="51"/>
      <c r="L493" s="52"/>
      <c r="M493" s="52"/>
      <c r="N493" s="52"/>
    </row>
    <row r="494" ht="15.75" customHeight="1">
      <c r="E494" s="49"/>
      <c r="G494" s="50"/>
      <c r="H494" s="51"/>
      <c r="I494" s="51"/>
      <c r="J494" s="51"/>
      <c r="K494" s="51"/>
      <c r="L494" s="52"/>
      <c r="M494" s="52"/>
      <c r="N494" s="52"/>
    </row>
    <row r="495" ht="15.75" customHeight="1">
      <c r="E495" s="49"/>
      <c r="G495" s="50"/>
      <c r="H495" s="51"/>
      <c r="I495" s="51"/>
      <c r="J495" s="51"/>
      <c r="K495" s="51"/>
      <c r="L495" s="52"/>
      <c r="M495" s="52"/>
      <c r="N495" s="52"/>
    </row>
    <row r="496" ht="15.75" customHeight="1">
      <c r="E496" s="49"/>
      <c r="G496" s="50"/>
      <c r="H496" s="51"/>
      <c r="I496" s="51"/>
      <c r="J496" s="51"/>
      <c r="K496" s="51"/>
      <c r="L496" s="52"/>
      <c r="M496" s="52"/>
      <c r="N496" s="52"/>
    </row>
    <row r="497" ht="15.75" customHeight="1">
      <c r="E497" s="49"/>
      <c r="G497" s="50"/>
      <c r="H497" s="51"/>
      <c r="I497" s="51"/>
      <c r="J497" s="51"/>
      <c r="K497" s="51"/>
      <c r="L497" s="52"/>
      <c r="M497" s="52"/>
      <c r="N497" s="52"/>
    </row>
    <row r="498" ht="15.75" customHeight="1">
      <c r="E498" s="49"/>
      <c r="G498" s="50"/>
      <c r="H498" s="51"/>
      <c r="I498" s="51"/>
      <c r="J498" s="51"/>
      <c r="K498" s="51"/>
      <c r="L498" s="52"/>
      <c r="M498" s="52"/>
      <c r="N498" s="52"/>
    </row>
    <row r="499" ht="15.75" customHeight="1">
      <c r="E499" s="49"/>
      <c r="G499" s="50"/>
      <c r="H499" s="51"/>
      <c r="I499" s="51"/>
      <c r="J499" s="51"/>
      <c r="K499" s="51"/>
      <c r="L499" s="52"/>
      <c r="M499" s="52"/>
      <c r="N499" s="52"/>
    </row>
    <row r="500" ht="15.75" customHeight="1">
      <c r="E500" s="49"/>
      <c r="G500" s="50"/>
      <c r="H500" s="51"/>
      <c r="I500" s="51"/>
      <c r="J500" s="51"/>
      <c r="K500" s="51"/>
      <c r="L500" s="52"/>
      <c r="M500" s="52"/>
      <c r="N500" s="52"/>
    </row>
    <row r="501" ht="15.75" customHeight="1">
      <c r="E501" s="49"/>
      <c r="G501" s="50"/>
      <c r="H501" s="51"/>
      <c r="I501" s="51"/>
      <c r="J501" s="51"/>
      <c r="K501" s="51"/>
      <c r="L501" s="52"/>
      <c r="M501" s="52"/>
      <c r="N501" s="52"/>
    </row>
    <row r="502" ht="15.75" customHeight="1">
      <c r="E502" s="49"/>
      <c r="G502" s="50"/>
      <c r="H502" s="51"/>
      <c r="I502" s="51"/>
      <c r="J502" s="51"/>
      <c r="K502" s="51"/>
      <c r="L502" s="52"/>
      <c r="M502" s="52"/>
      <c r="N502" s="52"/>
    </row>
    <row r="503" ht="15.75" customHeight="1">
      <c r="E503" s="49"/>
      <c r="G503" s="50"/>
      <c r="H503" s="51"/>
      <c r="I503" s="51"/>
      <c r="J503" s="51"/>
      <c r="K503" s="51"/>
      <c r="L503" s="52"/>
      <c r="M503" s="52"/>
      <c r="N503" s="52"/>
    </row>
    <row r="504" ht="15.75" customHeight="1">
      <c r="E504" s="49"/>
      <c r="G504" s="50"/>
      <c r="H504" s="51"/>
      <c r="I504" s="51"/>
      <c r="J504" s="51"/>
      <c r="K504" s="51"/>
      <c r="L504" s="52"/>
      <c r="M504" s="52"/>
      <c r="N504" s="52"/>
    </row>
    <row r="505" ht="15.75" customHeight="1">
      <c r="E505" s="49"/>
      <c r="G505" s="50"/>
      <c r="H505" s="51"/>
      <c r="I505" s="51"/>
      <c r="J505" s="51"/>
      <c r="K505" s="51"/>
      <c r="L505" s="52"/>
      <c r="M505" s="52"/>
      <c r="N505" s="52"/>
    </row>
    <row r="506" ht="15.75" customHeight="1">
      <c r="E506" s="49"/>
      <c r="G506" s="50"/>
      <c r="H506" s="51"/>
      <c r="I506" s="51"/>
      <c r="J506" s="51"/>
      <c r="K506" s="51"/>
      <c r="L506" s="52"/>
      <c r="M506" s="52"/>
      <c r="N506" s="52"/>
    </row>
    <row r="507" ht="15.75" customHeight="1">
      <c r="E507" s="49"/>
      <c r="G507" s="50"/>
      <c r="H507" s="51"/>
      <c r="I507" s="51"/>
      <c r="J507" s="51"/>
      <c r="K507" s="51"/>
      <c r="L507" s="52"/>
      <c r="M507" s="52"/>
      <c r="N507" s="52"/>
    </row>
    <row r="508" ht="15.75" customHeight="1">
      <c r="E508" s="49"/>
      <c r="G508" s="50"/>
      <c r="H508" s="51"/>
      <c r="I508" s="51"/>
      <c r="J508" s="51"/>
      <c r="K508" s="51"/>
      <c r="L508" s="52"/>
      <c r="M508" s="52"/>
      <c r="N508" s="52"/>
    </row>
    <row r="509" ht="15.75" customHeight="1">
      <c r="E509" s="49"/>
      <c r="G509" s="50"/>
      <c r="H509" s="51"/>
      <c r="I509" s="51"/>
      <c r="J509" s="51"/>
      <c r="K509" s="51"/>
      <c r="L509" s="52"/>
      <c r="M509" s="52"/>
      <c r="N509" s="52"/>
    </row>
    <row r="510" ht="15.75" customHeight="1">
      <c r="E510" s="49"/>
      <c r="G510" s="50"/>
      <c r="H510" s="51"/>
      <c r="I510" s="51"/>
      <c r="J510" s="51"/>
      <c r="K510" s="51"/>
      <c r="L510" s="52"/>
      <c r="M510" s="52"/>
      <c r="N510" s="52"/>
    </row>
    <row r="511" ht="15.75" customHeight="1">
      <c r="E511" s="49"/>
      <c r="G511" s="50"/>
      <c r="H511" s="51"/>
      <c r="I511" s="51"/>
      <c r="J511" s="51"/>
      <c r="K511" s="51"/>
      <c r="L511" s="52"/>
      <c r="M511" s="52"/>
      <c r="N511" s="52"/>
    </row>
    <row r="512" ht="15.75" customHeight="1">
      <c r="E512" s="49"/>
      <c r="G512" s="50"/>
      <c r="H512" s="51"/>
      <c r="I512" s="51"/>
      <c r="J512" s="51"/>
      <c r="K512" s="51"/>
      <c r="L512" s="52"/>
      <c r="M512" s="52"/>
      <c r="N512" s="52"/>
    </row>
    <row r="513" ht="15.75" customHeight="1">
      <c r="E513" s="49"/>
      <c r="G513" s="50"/>
      <c r="H513" s="51"/>
      <c r="I513" s="51"/>
      <c r="J513" s="51"/>
      <c r="K513" s="51"/>
      <c r="L513" s="52"/>
      <c r="M513" s="52"/>
      <c r="N513" s="52"/>
    </row>
    <row r="514" ht="15.75" customHeight="1">
      <c r="E514" s="49"/>
      <c r="G514" s="50"/>
      <c r="H514" s="51"/>
      <c r="I514" s="51"/>
      <c r="J514" s="51"/>
      <c r="K514" s="51"/>
      <c r="L514" s="52"/>
      <c r="M514" s="52"/>
      <c r="N514" s="52"/>
    </row>
    <row r="515" ht="15.75" customHeight="1">
      <c r="E515" s="49"/>
      <c r="G515" s="50"/>
      <c r="H515" s="51"/>
      <c r="I515" s="51"/>
      <c r="J515" s="51"/>
      <c r="K515" s="51"/>
      <c r="L515" s="52"/>
      <c r="M515" s="52"/>
      <c r="N515" s="52"/>
    </row>
    <row r="516" ht="15.75" customHeight="1">
      <c r="E516" s="49"/>
      <c r="G516" s="50"/>
      <c r="H516" s="51"/>
      <c r="I516" s="51"/>
      <c r="J516" s="51"/>
      <c r="K516" s="51"/>
      <c r="L516" s="52"/>
      <c r="M516" s="52"/>
      <c r="N516" s="52"/>
    </row>
    <row r="517" ht="15.75" customHeight="1">
      <c r="E517" s="49"/>
      <c r="G517" s="50"/>
      <c r="H517" s="51"/>
      <c r="I517" s="51"/>
      <c r="J517" s="51"/>
      <c r="K517" s="51"/>
      <c r="L517" s="52"/>
      <c r="M517" s="52"/>
      <c r="N517" s="52"/>
    </row>
    <row r="518" ht="15.75" customHeight="1">
      <c r="E518" s="49"/>
      <c r="G518" s="50"/>
      <c r="H518" s="51"/>
      <c r="I518" s="51"/>
      <c r="J518" s="51"/>
      <c r="K518" s="51"/>
      <c r="L518" s="52"/>
      <c r="M518" s="52"/>
      <c r="N518" s="52"/>
    </row>
    <row r="519" ht="15.75" customHeight="1">
      <c r="E519" s="49"/>
      <c r="G519" s="50"/>
      <c r="H519" s="51"/>
      <c r="I519" s="51"/>
      <c r="J519" s="51"/>
      <c r="K519" s="51"/>
      <c r="L519" s="52"/>
      <c r="M519" s="52"/>
      <c r="N519" s="52"/>
    </row>
    <row r="520" ht="15.75" customHeight="1">
      <c r="E520" s="49"/>
      <c r="G520" s="50"/>
      <c r="H520" s="51"/>
      <c r="I520" s="51"/>
      <c r="J520" s="51"/>
      <c r="K520" s="51"/>
      <c r="L520" s="52"/>
      <c r="M520" s="52"/>
      <c r="N520" s="52"/>
    </row>
    <row r="521" ht="15.75" customHeight="1">
      <c r="E521" s="49"/>
      <c r="G521" s="50"/>
      <c r="H521" s="51"/>
      <c r="I521" s="51"/>
      <c r="J521" s="51"/>
      <c r="K521" s="51"/>
      <c r="L521" s="52"/>
      <c r="M521" s="52"/>
      <c r="N521" s="52"/>
    </row>
    <row r="522" ht="15.75" customHeight="1">
      <c r="E522" s="49"/>
      <c r="G522" s="50"/>
      <c r="H522" s="51"/>
      <c r="I522" s="51"/>
      <c r="J522" s="51"/>
      <c r="K522" s="51"/>
      <c r="L522" s="52"/>
      <c r="M522" s="52"/>
      <c r="N522" s="52"/>
    </row>
    <row r="523" ht="15.75" customHeight="1">
      <c r="E523" s="49"/>
      <c r="G523" s="50"/>
      <c r="H523" s="51"/>
      <c r="I523" s="51"/>
      <c r="J523" s="51"/>
      <c r="K523" s="51"/>
      <c r="L523" s="52"/>
      <c r="M523" s="52"/>
      <c r="N523" s="52"/>
    </row>
    <row r="524" ht="15.75" customHeight="1">
      <c r="E524" s="49"/>
      <c r="G524" s="50"/>
      <c r="H524" s="51"/>
      <c r="I524" s="51"/>
      <c r="J524" s="51"/>
      <c r="K524" s="51"/>
      <c r="L524" s="52"/>
      <c r="M524" s="52"/>
      <c r="N524" s="52"/>
    </row>
    <row r="525" ht="15.75" customHeight="1">
      <c r="E525" s="49"/>
      <c r="G525" s="50"/>
      <c r="H525" s="51"/>
      <c r="I525" s="51"/>
      <c r="J525" s="51"/>
      <c r="K525" s="51"/>
      <c r="L525" s="52"/>
      <c r="M525" s="52"/>
      <c r="N525" s="52"/>
    </row>
    <row r="526" ht="15.75" customHeight="1">
      <c r="E526" s="49"/>
      <c r="G526" s="50"/>
      <c r="H526" s="51"/>
      <c r="I526" s="51"/>
      <c r="J526" s="51"/>
      <c r="K526" s="51"/>
      <c r="L526" s="52"/>
      <c r="M526" s="52"/>
      <c r="N526" s="52"/>
    </row>
    <row r="527" ht="15.75" customHeight="1">
      <c r="E527" s="49"/>
      <c r="G527" s="50"/>
      <c r="H527" s="51"/>
      <c r="I527" s="51"/>
      <c r="J527" s="51"/>
      <c r="K527" s="51"/>
      <c r="L527" s="52"/>
      <c r="M527" s="52"/>
      <c r="N527" s="52"/>
    </row>
    <row r="528" ht="15.75" customHeight="1">
      <c r="E528" s="49"/>
      <c r="G528" s="50"/>
      <c r="H528" s="51"/>
      <c r="I528" s="51"/>
      <c r="J528" s="51"/>
      <c r="K528" s="51"/>
      <c r="L528" s="52"/>
      <c r="M528" s="52"/>
      <c r="N528" s="52"/>
    </row>
    <row r="529" ht="15.75" customHeight="1">
      <c r="E529" s="49"/>
      <c r="G529" s="50"/>
      <c r="H529" s="51"/>
      <c r="I529" s="51"/>
      <c r="J529" s="51"/>
      <c r="K529" s="51"/>
      <c r="L529" s="52"/>
      <c r="M529" s="52"/>
      <c r="N529" s="52"/>
    </row>
    <row r="530" ht="15.75" customHeight="1">
      <c r="E530" s="49"/>
      <c r="G530" s="50"/>
      <c r="H530" s="51"/>
      <c r="I530" s="51"/>
      <c r="J530" s="51"/>
      <c r="K530" s="51"/>
      <c r="L530" s="52"/>
      <c r="M530" s="52"/>
      <c r="N530" s="52"/>
    </row>
    <row r="531" ht="15.75" customHeight="1">
      <c r="E531" s="49"/>
      <c r="G531" s="50"/>
      <c r="H531" s="51"/>
      <c r="I531" s="51"/>
      <c r="J531" s="51"/>
      <c r="K531" s="51"/>
      <c r="L531" s="52"/>
      <c r="M531" s="52"/>
      <c r="N531" s="52"/>
    </row>
    <row r="532" ht="15.75" customHeight="1">
      <c r="E532" s="49"/>
      <c r="G532" s="50"/>
      <c r="H532" s="51"/>
      <c r="I532" s="51"/>
      <c r="J532" s="51"/>
      <c r="K532" s="51"/>
      <c r="L532" s="52"/>
      <c r="M532" s="52"/>
      <c r="N532" s="52"/>
    </row>
    <row r="533" ht="15.75" customHeight="1">
      <c r="E533" s="49"/>
      <c r="G533" s="50"/>
      <c r="H533" s="51"/>
      <c r="I533" s="51"/>
      <c r="J533" s="51"/>
      <c r="K533" s="51"/>
      <c r="L533" s="52"/>
      <c r="M533" s="52"/>
      <c r="N533" s="52"/>
    </row>
    <row r="534" ht="15.75" customHeight="1">
      <c r="E534" s="49"/>
      <c r="G534" s="50"/>
      <c r="H534" s="51"/>
      <c r="I534" s="51"/>
      <c r="J534" s="51"/>
      <c r="K534" s="51"/>
      <c r="L534" s="52"/>
      <c r="M534" s="52"/>
      <c r="N534" s="52"/>
    </row>
    <row r="535" ht="15.75" customHeight="1">
      <c r="E535" s="49"/>
      <c r="G535" s="50"/>
      <c r="H535" s="51"/>
      <c r="I535" s="51"/>
      <c r="J535" s="51"/>
      <c r="K535" s="51"/>
      <c r="L535" s="52"/>
      <c r="M535" s="52"/>
      <c r="N535" s="52"/>
    </row>
    <row r="536" ht="15.75" customHeight="1">
      <c r="E536" s="49"/>
      <c r="G536" s="50"/>
      <c r="H536" s="51"/>
      <c r="I536" s="51"/>
      <c r="J536" s="51"/>
      <c r="K536" s="51"/>
      <c r="L536" s="52"/>
      <c r="M536" s="52"/>
      <c r="N536" s="52"/>
    </row>
    <row r="537" ht="15.75" customHeight="1">
      <c r="E537" s="49"/>
      <c r="G537" s="50"/>
      <c r="H537" s="51"/>
      <c r="I537" s="51"/>
      <c r="J537" s="51"/>
      <c r="K537" s="51"/>
      <c r="L537" s="52"/>
      <c r="M537" s="52"/>
      <c r="N537" s="52"/>
    </row>
    <row r="538" ht="15.75" customHeight="1">
      <c r="E538" s="49"/>
      <c r="G538" s="50"/>
      <c r="H538" s="51"/>
      <c r="I538" s="51"/>
      <c r="J538" s="51"/>
      <c r="K538" s="51"/>
      <c r="L538" s="52"/>
      <c r="M538" s="52"/>
      <c r="N538" s="52"/>
    </row>
    <row r="539" ht="15.75" customHeight="1">
      <c r="E539" s="49"/>
      <c r="G539" s="50"/>
      <c r="H539" s="51"/>
      <c r="I539" s="51"/>
      <c r="J539" s="51"/>
      <c r="K539" s="51"/>
      <c r="L539" s="52"/>
      <c r="M539" s="52"/>
      <c r="N539" s="52"/>
    </row>
    <row r="540" ht="15.75" customHeight="1">
      <c r="E540" s="49"/>
      <c r="G540" s="50"/>
      <c r="H540" s="51"/>
      <c r="I540" s="51"/>
      <c r="J540" s="51"/>
      <c r="K540" s="51"/>
      <c r="L540" s="52"/>
      <c r="M540" s="52"/>
      <c r="N540" s="52"/>
    </row>
    <row r="541" ht="15.75" customHeight="1">
      <c r="E541" s="49"/>
      <c r="G541" s="50"/>
      <c r="H541" s="51"/>
      <c r="I541" s="51"/>
      <c r="J541" s="51"/>
      <c r="K541" s="51"/>
      <c r="L541" s="52"/>
      <c r="M541" s="52"/>
      <c r="N541" s="52"/>
    </row>
    <row r="542" ht="15.75" customHeight="1">
      <c r="E542" s="49"/>
      <c r="G542" s="50"/>
      <c r="H542" s="51"/>
      <c r="I542" s="51"/>
      <c r="J542" s="51"/>
      <c r="K542" s="51"/>
      <c r="L542" s="52"/>
      <c r="M542" s="52"/>
      <c r="N542" s="52"/>
    </row>
    <row r="543" ht="15.75" customHeight="1">
      <c r="E543" s="49"/>
      <c r="G543" s="50"/>
      <c r="H543" s="51"/>
      <c r="I543" s="51"/>
      <c r="J543" s="51"/>
      <c r="K543" s="51"/>
      <c r="L543" s="52"/>
      <c r="M543" s="52"/>
      <c r="N543" s="52"/>
    </row>
    <row r="544" ht="15.75" customHeight="1">
      <c r="E544" s="49"/>
      <c r="G544" s="50"/>
      <c r="H544" s="51"/>
      <c r="I544" s="51"/>
      <c r="J544" s="51"/>
      <c r="K544" s="51"/>
      <c r="L544" s="52"/>
      <c r="M544" s="52"/>
      <c r="N544" s="52"/>
    </row>
    <row r="545" ht="15.75" customHeight="1">
      <c r="E545" s="49"/>
      <c r="G545" s="50"/>
      <c r="H545" s="51"/>
      <c r="I545" s="51"/>
      <c r="J545" s="51"/>
      <c r="K545" s="51"/>
      <c r="L545" s="52"/>
      <c r="M545" s="52"/>
      <c r="N545" s="52"/>
    </row>
    <row r="546" ht="15.75" customHeight="1">
      <c r="E546" s="49"/>
      <c r="G546" s="50"/>
      <c r="H546" s="51"/>
      <c r="I546" s="51"/>
      <c r="J546" s="51"/>
      <c r="K546" s="51"/>
      <c r="L546" s="52"/>
      <c r="M546" s="52"/>
      <c r="N546" s="52"/>
    </row>
    <row r="547" ht="15.75" customHeight="1">
      <c r="E547" s="49"/>
      <c r="G547" s="50"/>
      <c r="H547" s="51"/>
      <c r="I547" s="51"/>
      <c r="J547" s="51"/>
      <c r="K547" s="51"/>
      <c r="L547" s="52"/>
      <c r="M547" s="52"/>
      <c r="N547" s="52"/>
    </row>
    <row r="548" ht="15.75" customHeight="1">
      <c r="E548" s="49"/>
      <c r="G548" s="50"/>
      <c r="H548" s="51"/>
      <c r="I548" s="51"/>
      <c r="J548" s="51"/>
      <c r="K548" s="51"/>
      <c r="L548" s="52"/>
      <c r="M548" s="52"/>
      <c r="N548" s="52"/>
    </row>
    <row r="549" ht="15.75" customHeight="1">
      <c r="E549" s="49"/>
      <c r="G549" s="50"/>
      <c r="H549" s="51"/>
      <c r="I549" s="51"/>
      <c r="J549" s="51"/>
      <c r="K549" s="51"/>
      <c r="L549" s="52"/>
      <c r="M549" s="52"/>
      <c r="N549" s="52"/>
    </row>
    <row r="550" ht="15.75" customHeight="1">
      <c r="E550" s="49"/>
      <c r="G550" s="50"/>
      <c r="H550" s="51"/>
      <c r="I550" s="51"/>
      <c r="J550" s="51"/>
      <c r="K550" s="51"/>
      <c r="L550" s="52"/>
      <c r="M550" s="52"/>
      <c r="N550" s="52"/>
    </row>
    <row r="551" ht="15.75" customHeight="1">
      <c r="E551" s="49"/>
      <c r="G551" s="50"/>
      <c r="H551" s="51"/>
      <c r="I551" s="51"/>
      <c r="J551" s="51"/>
      <c r="K551" s="51"/>
      <c r="L551" s="52"/>
      <c r="M551" s="52"/>
      <c r="N551" s="52"/>
    </row>
    <row r="552" ht="15.75" customHeight="1">
      <c r="E552" s="49"/>
      <c r="G552" s="50"/>
      <c r="H552" s="51"/>
      <c r="I552" s="51"/>
      <c r="J552" s="51"/>
      <c r="K552" s="51"/>
      <c r="L552" s="52"/>
      <c r="M552" s="52"/>
      <c r="N552" s="52"/>
    </row>
    <row r="553" ht="15.75" customHeight="1">
      <c r="E553" s="49"/>
      <c r="G553" s="50"/>
      <c r="H553" s="51"/>
      <c r="I553" s="51"/>
      <c r="J553" s="51"/>
      <c r="K553" s="51"/>
      <c r="L553" s="52"/>
      <c r="M553" s="52"/>
      <c r="N553" s="52"/>
    </row>
    <row r="554" ht="15.75" customHeight="1">
      <c r="E554" s="49"/>
      <c r="G554" s="50"/>
      <c r="H554" s="51"/>
      <c r="I554" s="51"/>
      <c r="J554" s="51"/>
      <c r="K554" s="51"/>
      <c r="L554" s="52"/>
      <c r="M554" s="52"/>
      <c r="N554" s="52"/>
    </row>
    <row r="555" ht="15.75" customHeight="1">
      <c r="E555" s="49"/>
      <c r="G555" s="50"/>
      <c r="H555" s="51"/>
      <c r="I555" s="51"/>
      <c r="J555" s="51"/>
      <c r="K555" s="51"/>
      <c r="L555" s="52"/>
      <c r="M555" s="52"/>
      <c r="N555" s="52"/>
    </row>
    <row r="556" ht="15.75" customHeight="1">
      <c r="E556" s="49"/>
      <c r="G556" s="50"/>
      <c r="H556" s="51"/>
      <c r="I556" s="51"/>
      <c r="J556" s="51"/>
      <c r="K556" s="51"/>
      <c r="L556" s="52"/>
      <c r="M556" s="52"/>
      <c r="N556" s="52"/>
    </row>
    <row r="557" ht="15.75" customHeight="1">
      <c r="E557" s="49"/>
      <c r="G557" s="50"/>
      <c r="H557" s="51"/>
      <c r="I557" s="51"/>
      <c r="J557" s="51"/>
      <c r="K557" s="51"/>
      <c r="L557" s="52"/>
      <c r="M557" s="52"/>
      <c r="N557" s="52"/>
    </row>
    <row r="558" ht="15.75" customHeight="1">
      <c r="E558" s="49"/>
      <c r="G558" s="50"/>
      <c r="H558" s="51"/>
      <c r="I558" s="51"/>
      <c r="J558" s="51"/>
      <c r="K558" s="51"/>
      <c r="L558" s="52"/>
      <c r="M558" s="52"/>
      <c r="N558" s="52"/>
    </row>
    <row r="559" ht="15.75" customHeight="1">
      <c r="E559" s="49"/>
      <c r="G559" s="50"/>
      <c r="H559" s="51"/>
      <c r="I559" s="51"/>
      <c r="J559" s="51"/>
      <c r="K559" s="51"/>
      <c r="L559" s="52"/>
      <c r="M559" s="52"/>
      <c r="N559" s="52"/>
    </row>
    <row r="560" ht="15.75" customHeight="1">
      <c r="E560" s="49"/>
      <c r="G560" s="50"/>
      <c r="H560" s="51"/>
      <c r="I560" s="51"/>
      <c r="J560" s="51"/>
      <c r="K560" s="51"/>
      <c r="L560" s="52"/>
      <c r="M560" s="52"/>
      <c r="N560" s="52"/>
    </row>
    <row r="561" ht="15.75" customHeight="1">
      <c r="E561" s="49"/>
      <c r="G561" s="50"/>
      <c r="H561" s="51"/>
      <c r="I561" s="51"/>
      <c r="J561" s="51"/>
      <c r="K561" s="51"/>
      <c r="L561" s="52"/>
      <c r="M561" s="52"/>
      <c r="N561" s="52"/>
    </row>
    <row r="562" ht="15.75" customHeight="1">
      <c r="E562" s="49"/>
      <c r="G562" s="50"/>
      <c r="H562" s="51"/>
      <c r="I562" s="51"/>
      <c r="J562" s="51"/>
      <c r="K562" s="51"/>
      <c r="L562" s="52"/>
      <c r="M562" s="52"/>
      <c r="N562" s="52"/>
    </row>
    <row r="563" ht="15.75" customHeight="1">
      <c r="E563" s="49"/>
      <c r="G563" s="50"/>
      <c r="H563" s="51"/>
      <c r="I563" s="51"/>
      <c r="J563" s="51"/>
      <c r="K563" s="51"/>
      <c r="L563" s="52"/>
      <c r="M563" s="52"/>
      <c r="N563" s="52"/>
    </row>
    <row r="564" ht="15.75" customHeight="1">
      <c r="E564" s="49"/>
      <c r="G564" s="50"/>
      <c r="H564" s="51"/>
      <c r="I564" s="51"/>
      <c r="J564" s="51"/>
      <c r="K564" s="51"/>
      <c r="L564" s="52"/>
      <c r="M564" s="52"/>
      <c r="N564" s="52"/>
    </row>
    <row r="565" ht="15.75" customHeight="1">
      <c r="E565" s="49"/>
      <c r="G565" s="50"/>
      <c r="H565" s="51"/>
      <c r="I565" s="51"/>
      <c r="J565" s="51"/>
      <c r="K565" s="51"/>
      <c r="L565" s="52"/>
      <c r="M565" s="52"/>
      <c r="N565" s="52"/>
    </row>
    <row r="566" ht="15.75" customHeight="1">
      <c r="E566" s="49"/>
      <c r="G566" s="50"/>
      <c r="H566" s="51"/>
      <c r="I566" s="51"/>
      <c r="J566" s="51"/>
      <c r="K566" s="51"/>
      <c r="L566" s="52"/>
      <c r="M566" s="52"/>
      <c r="N566" s="52"/>
    </row>
    <row r="567" ht="15.75" customHeight="1">
      <c r="E567" s="49"/>
      <c r="G567" s="50"/>
      <c r="H567" s="51"/>
      <c r="I567" s="51"/>
      <c r="J567" s="51"/>
      <c r="K567" s="51"/>
      <c r="L567" s="52"/>
      <c r="M567" s="52"/>
      <c r="N567" s="52"/>
    </row>
    <row r="568" ht="15.75" customHeight="1">
      <c r="E568" s="49"/>
      <c r="G568" s="50"/>
      <c r="H568" s="51"/>
      <c r="I568" s="51"/>
      <c r="J568" s="51"/>
      <c r="K568" s="51"/>
      <c r="L568" s="52"/>
      <c r="M568" s="52"/>
      <c r="N568" s="52"/>
    </row>
    <row r="569" ht="15.75" customHeight="1">
      <c r="E569" s="49"/>
      <c r="G569" s="50"/>
      <c r="H569" s="51"/>
      <c r="I569" s="51"/>
      <c r="J569" s="51"/>
      <c r="K569" s="51"/>
      <c r="L569" s="52"/>
      <c r="M569" s="52"/>
      <c r="N569" s="52"/>
    </row>
    <row r="570" ht="15.75" customHeight="1">
      <c r="E570" s="49"/>
      <c r="G570" s="50"/>
      <c r="H570" s="51"/>
      <c r="I570" s="51"/>
      <c r="J570" s="51"/>
      <c r="K570" s="51"/>
      <c r="L570" s="52"/>
      <c r="M570" s="52"/>
      <c r="N570" s="52"/>
    </row>
    <row r="571" ht="15.75" customHeight="1">
      <c r="E571" s="49"/>
      <c r="G571" s="50"/>
      <c r="H571" s="51"/>
      <c r="I571" s="51"/>
      <c r="J571" s="51"/>
      <c r="K571" s="51"/>
      <c r="L571" s="52"/>
      <c r="M571" s="52"/>
      <c r="N571" s="52"/>
    </row>
    <row r="572" ht="15.75" customHeight="1">
      <c r="E572" s="49"/>
      <c r="G572" s="50"/>
      <c r="H572" s="51"/>
      <c r="I572" s="51"/>
      <c r="J572" s="51"/>
      <c r="K572" s="51"/>
      <c r="L572" s="52"/>
      <c r="M572" s="52"/>
      <c r="N572" s="52"/>
    </row>
    <row r="573" ht="15.75" customHeight="1">
      <c r="E573" s="49"/>
      <c r="G573" s="50"/>
      <c r="H573" s="51"/>
      <c r="I573" s="51"/>
      <c r="J573" s="51"/>
      <c r="K573" s="51"/>
      <c r="L573" s="52"/>
      <c r="M573" s="52"/>
      <c r="N573" s="52"/>
    </row>
    <row r="574" ht="15.75" customHeight="1">
      <c r="E574" s="49"/>
      <c r="G574" s="50"/>
      <c r="H574" s="51"/>
      <c r="I574" s="51"/>
      <c r="J574" s="51"/>
      <c r="K574" s="51"/>
      <c r="L574" s="52"/>
      <c r="M574" s="52"/>
      <c r="N574" s="52"/>
    </row>
    <row r="575" ht="15.75" customHeight="1">
      <c r="E575" s="49"/>
      <c r="G575" s="50"/>
      <c r="H575" s="51"/>
      <c r="I575" s="51"/>
      <c r="J575" s="51"/>
      <c r="K575" s="51"/>
      <c r="L575" s="52"/>
      <c r="M575" s="52"/>
      <c r="N575" s="52"/>
    </row>
    <row r="576" ht="15.75" customHeight="1">
      <c r="E576" s="49"/>
      <c r="G576" s="50"/>
      <c r="H576" s="51"/>
      <c r="I576" s="51"/>
      <c r="J576" s="51"/>
      <c r="K576" s="51"/>
      <c r="L576" s="52"/>
      <c r="M576" s="52"/>
      <c r="N576" s="52"/>
    </row>
    <row r="577" ht="15.75" customHeight="1">
      <c r="E577" s="49"/>
      <c r="G577" s="50"/>
      <c r="H577" s="51"/>
      <c r="I577" s="51"/>
      <c r="J577" s="51"/>
      <c r="K577" s="51"/>
      <c r="L577" s="52"/>
      <c r="M577" s="52"/>
      <c r="N577" s="52"/>
    </row>
    <row r="578" ht="15.75" customHeight="1">
      <c r="E578" s="49"/>
      <c r="G578" s="50"/>
      <c r="H578" s="51"/>
      <c r="I578" s="51"/>
      <c r="J578" s="51"/>
      <c r="K578" s="51"/>
      <c r="L578" s="52"/>
      <c r="M578" s="52"/>
      <c r="N578" s="52"/>
    </row>
    <row r="579" ht="15.75" customHeight="1">
      <c r="E579" s="49"/>
      <c r="G579" s="50"/>
      <c r="H579" s="51"/>
      <c r="I579" s="51"/>
      <c r="J579" s="51"/>
      <c r="K579" s="51"/>
      <c r="L579" s="52"/>
      <c r="M579" s="52"/>
      <c r="N579" s="52"/>
    </row>
    <row r="580" ht="15.75" customHeight="1">
      <c r="E580" s="49"/>
      <c r="G580" s="50"/>
      <c r="H580" s="51"/>
      <c r="I580" s="51"/>
      <c r="J580" s="51"/>
      <c r="K580" s="51"/>
      <c r="L580" s="52"/>
      <c r="M580" s="52"/>
      <c r="N580" s="52"/>
    </row>
    <row r="581" ht="15.75" customHeight="1">
      <c r="E581" s="49"/>
      <c r="G581" s="50"/>
      <c r="H581" s="51"/>
      <c r="I581" s="51"/>
      <c r="J581" s="51"/>
      <c r="K581" s="51"/>
      <c r="L581" s="52"/>
      <c r="M581" s="52"/>
      <c r="N581" s="52"/>
    </row>
    <row r="582" ht="15.75" customHeight="1">
      <c r="E582" s="49"/>
      <c r="G582" s="50"/>
      <c r="H582" s="51"/>
      <c r="I582" s="51"/>
      <c r="J582" s="51"/>
      <c r="K582" s="51"/>
      <c r="L582" s="52"/>
      <c r="M582" s="52"/>
      <c r="N582" s="52"/>
    </row>
    <row r="583" ht="15.75" customHeight="1">
      <c r="E583" s="49"/>
      <c r="G583" s="50"/>
      <c r="H583" s="51"/>
      <c r="I583" s="51"/>
      <c r="J583" s="51"/>
      <c r="K583" s="51"/>
      <c r="L583" s="52"/>
      <c r="M583" s="52"/>
      <c r="N583" s="52"/>
    </row>
    <row r="584" ht="15.75" customHeight="1">
      <c r="E584" s="49"/>
      <c r="G584" s="50"/>
      <c r="H584" s="51"/>
      <c r="I584" s="51"/>
      <c r="J584" s="51"/>
      <c r="K584" s="51"/>
      <c r="L584" s="52"/>
      <c r="M584" s="52"/>
      <c r="N584" s="52"/>
    </row>
    <row r="585" ht="15.75" customHeight="1">
      <c r="E585" s="49"/>
      <c r="G585" s="50"/>
      <c r="H585" s="51"/>
      <c r="I585" s="51"/>
      <c r="J585" s="51"/>
      <c r="K585" s="51"/>
      <c r="L585" s="52"/>
      <c r="M585" s="52"/>
      <c r="N585" s="52"/>
    </row>
    <row r="586" ht="15.75" customHeight="1">
      <c r="E586" s="49"/>
      <c r="G586" s="50"/>
      <c r="H586" s="51"/>
      <c r="I586" s="51"/>
      <c r="J586" s="51"/>
      <c r="K586" s="51"/>
      <c r="L586" s="52"/>
      <c r="M586" s="52"/>
      <c r="N586" s="52"/>
    </row>
    <row r="587" ht="15.75" customHeight="1">
      <c r="E587" s="49"/>
      <c r="G587" s="50"/>
      <c r="H587" s="51"/>
      <c r="I587" s="51"/>
      <c r="J587" s="51"/>
      <c r="K587" s="51"/>
      <c r="L587" s="52"/>
      <c r="M587" s="52"/>
      <c r="N587" s="52"/>
    </row>
    <row r="588" ht="15.75" customHeight="1">
      <c r="E588" s="49"/>
      <c r="G588" s="50"/>
      <c r="H588" s="51"/>
      <c r="I588" s="51"/>
      <c r="J588" s="51"/>
      <c r="K588" s="51"/>
      <c r="L588" s="52"/>
      <c r="M588" s="52"/>
      <c r="N588" s="52"/>
    </row>
    <row r="589" ht="15.75" customHeight="1">
      <c r="E589" s="49"/>
      <c r="G589" s="50"/>
      <c r="H589" s="51"/>
      <c r="I589" s="51"/>
      <c r="J589" s="51"/>
      <c r="K589" s="51"/>
      <c r="L589" s="52"/>
      <c r="M589" s="52"/>
      <c r="N589" s="52"/>
    </row>
    <row r="590" ht="15.75" customHeight="1">
      <c r="E590" s="49"/>
      <c r="G590" s="50"/>
      <c r="H590" s="51"/>
      <c r="I590" s="51"/>
      <c r="J590" s="51"/>
      <c r="K590" s="51"/>
      <c r="L590" s="52"/>
      <c r="M590" s="52"/>
      <c r="N590" s="52"/>
    </row>
    <row r="591" ht="15.75" customHeight="1">
      <c r="E591" s="49"/>
      <c r="G591" s="50"/>
      <c r="H591" s="51"/>
      <c r="I591" s="51"/>
      <c r="J591" s="51"/>
      <c r="K591" s="51"/>
      <c r="L591" s="52"/>
      <c r="M591" s="52"/>
      <c r="N591" s="52"/>
    </row>
    <row r="592" ht="15.75" customHeight="1">
      <c r="E592" s="49"/>
      <c r="G592" s="50"/>
      <c r="H592" s="51"/>
      <c r="I592" s="51"/>
      <c r="J592" s="51"/>
      <c r="K592" s="51"/>
      <c r="L592" s="52"/>
      <c r="M592" s="52"/>
      <c r="N592" s="52"/>
    </row>
    <row r="593" ht="15.75" customHeight="1">
      <c r="E593" s="49"/>
      <c r="G593" s="50"/>
      <c r="H593" s="51"/>
      <c r="I593" s="51"/>
      <c r="J593" s="51"/>
      <c r="K593" s="51"/>
      <c r="L593" s="52"/>
      <c r="M593" s="52"/>
      <c r="N593" s="52"/>
    </row>
    <row r="594" ht="15.75" customHeight="1">
      <c r="E594" s="49"/>
      <c r="G594" s="50"/>
      <c r="H594" s="51"/>
      <c r="I594" s="51"/>
      <c r="J594" s="51"/>
      <c r="K594" s="51"/>
      <c r="L594" s="52"/>
      <c r="M594" s="52"/>
      <c r="N594" s="52"/>
    </row>
    <row r="595" ht="15.75" customHeight="1">
      <c r="E595" s="49"/>
      <c r="G595" s="50"/>
      <c r="H595" s="51"/>
      <c r="I595" s="51"/>
      <c r="J595" s="51"/>
      <c r="K595" s="51"/>
      <c r="L595" s="52"/>
      <c r="M595" s="52"/>
      <c r="N595" s="52"/>
    </row>
    <row r="596" ht="15.75" customHeight="1">
      <c r="E596" s="49"/>
      <c r="G596" s="50"/>
      <c r="H596" s="51"/>
      <c r="I596" s="51"/>
      <c r="J596" s="51"/>
      <c r="K596" s="51"/>
      <c r="L596" s="52"/>
      <c r="M596" s="52"/>
      <c r="N596" s="52"/>
    </row>
    <row r="597" ht="15.75" customHeight="1">
      <c r="E597" s="49"/>
      <c r="G597" s="50"/>
      <c r="H597" s="51"/>
      <c r="I597" s="51"/>
      <c r="J597" s="51"/>
      <c r="K597" s="51"/>
      <c r="L597" s="52"/>
      <c r="M597" s="52"/>
      <c r="N597" s="52"/>
    </row>
    <row r="598" ht="15.75" customHeight="1">
      <c r="E598" s="49"/>
      <c r="G598" s="50"/>
      <c r="H598" s="51"/>
      <c r="I598" s="51"/>
      <c r="J598" s="51"/>
      <c r="K598" s="51"/>
      <c r="L598" s="52"/>
      <c r="M598" s="52"/>
      <c r="N598" s="52"/>
    </row>
    <row r="599" ht="15.75" customHeight="1">
      <c r="E599" s="49"/>
      <c r="G599" s="50"/>
      <c r="H599" s="51"/>
      <c r="I599" s="51"/>
      <c r="J599" s="51"/>
      <c r="K599" s="51"/>
      <c r="L599" s="52"/>
      <c r="M599" s="52"/>
      <c r="N599" s="52"/>
    </row>
    <row r="600" ht="15.75" customHeight="1">
      <c r="E600" s="49"/>
      <c r="G600" s="50"/>
      <c r="H600" s="51"/>
      <c r="I600" s="51"/>
      <c r="J600" s="51"/>
      <c r="K600" s="51"/>
      <c r="L600" s="52"/>
      <c r="M600" s="52"/>
      <c r="N600" s="52"/>
    </row>
    <row r="601" ht="15.75" customHeight="1">
      <c r="E601" s="49"/>
      <c r="G601" s="50"/>
      <c r="H601" s="51"/>
      <c r="I601" s="51"/>
      <c r="J601" s="51"/>
      <c r="K601" s="51"/>
      <c r="L601" s="52"/>
      <c r="M601" s="52"/>
      <c r="N601" s="52"/>
    </row>
    <row r="602" ht="15.75" customHeight="1">
      <c r="E602" s="49"/>
      <c r="G602" s="50"/>
      <c r="H602" s="51"/>
      <c r="I602" s="51"/>
      <c r="J602" s="51"/>
      <c r="K602" s="51"/>
      <c r="L602" s="52"/>
      <c r="M602" s="52"/>
      <c r="N602" s="52"/>
    </row>
    <row r="603" ht="15.75" customHeight="1">
      <c r="E603" s="49"/>
      <c r="G603" s="50"/>
      <c r="H603" s="51"/>
      <c r="I603" s="51"/>
      <c r="J603" s="51"/>
      <c r="K603" s="51"/>
      <c r="L603" s="52"/>
      <c r="M603" s="52"/>
      <c r="N603" s="52"/>
    </row>
    <row r="604" ht="15.75" customHeight="1">
      <c r="E604" s="49"/>
      <c r="G604" s="50"/>
      <c r="H604" s="51"/>
      <c r="I604" s="51"/>
      <c r="J604" s="51"/>
      <c r="K604" s="51"/>
      <c r="L604" s="52"/>
      <c r="M604" s="52"/>
      <c r="N604" s="52"/>
    </row>
    <row r="605" ht="15.75" customHeight="1">
      <c r="E605" s="49"/>
      <c r="G605" s="50"/>
      <c r="H605" s="51"/>
      <c r="I605" s="51"/>
      <c r="J605" s="51"/>
      <c r="K605" s="51"/>
      <c r="L605" s="52"/>
      <c r="M605" s="52"/>
      <c r="N605" s="52"/>
    </row>
    <row r="606" ht="15.75" customHeight="1">
      <c r="E606" s="49"/>
      <c r="G606" s="50"/>
      <c r="H606" s="51"/>
      <c r="I606" s="51"/>
      <c r="J606" s="51"/>
      <c r="K606" s="51"/>
      <c r="L606" s="52"/>
      <c r="M606" s="52"/>
      <c r="N606" s="52"/>
    </row>
    <row r="607" ht="15.75" customHeight="1">
      <c r="E607" s="49"/>
      <c r="G607" s="50"/>
      <c r="H607" s="51"/>
      <c r="I607" s="51"/>
      <c r="J607" s="51"/>
      <c r="K607" s="51"/>
      <c r="L607" s="52"/>
      <c r="M607" s="52"/>
      <c r="N607" s="52"/>
    </row>
    <row r="608" ht="15.75" customHeight="1">
      <c r="E608" s="49"/>
      <c r="G608" s="50"/>
      <c r="H608" s="51"/>
      <c r="I608" s="51"/>
      <c r="J608" s="51"/>
      <c r="K608" s="51"/>
      <c r="L608" s="52"/>
      <c r="M608" s="52"/>
      <c r="N608" s="52"/>
    </row>
    <row r="609" ht="15.75" customHeight="1">
      <c r="E609" s="49"/>
      <c r="G609" s="50"/>
      <c r="H609" s="51"/>
      <c r="I609" s="51"/>
      <c r="J609" s="51"/>
      <c r="K609" s="51"/>
      <c r="L609" s="52"/>
      <c r="M609" s="52"/>
      <c r="N609" s="52"/>
    </row>
    <row r="610" ht="15.75" customHeight="1">
      <c r="E610" s="49"/>
      <c r="G610" s="50"/>
      <c r="H610" s="51"/>
      <c r="I610" s="51"/>
      <c r="J610" s="51"/>
      <c r="K610" s="51"/>
      <c r="L610" s="52"/>
      <c r="M610" s="52"/>
      <c r="N610" s="52"/>
    </row>
    <row r="611" ht="15.75" customHeight="1">
      <c r="E611" s="49"/>
      <c r="G611" s="50"/>
      <c r="H611" s="51"/>
      <c r="I611" s="51"/>
      <c r="J611" s="51"/>
      <c r="K611" s="51"/>
      <c r="L611" s="52"/>
      <c r="M611" s="52"/>
      <c r="N611" s="52"/>
    </row>
    <row r="612" ht="15.75" customHeight="1">
      <c r="E612" s="49"/>
      <c r="G612" s="50"/>
      <c r="H612" s="51"/>
      <c r="I612" s="51"/>
      <c r="J612" s="51"/>
      <c r="K612" s="51"/>
      <c r="L612" s="52"/>
      <c r="M612" s="52"/>
      <c r="N612" s="52"/>
    </row>
    <row r="613" ht="15.75" customHeight="1">
      <c r="E613" s="49"/>
      <c r="G613" s="50"/>
      <c r="H613" s="51"/>
      <c r="I613" s="51"/>
      <c r="J613" s="51"/>
      <c r="K613" s="51"/>
      <c r="L613" s="52"/>
      <c r="M613" s="52"/>
      <c r="N613" s="52"/>
    </row>
    <row r="614" ht="15.75" customHeight="1">
      <c r="E614" s="49"/>
      <c r="G614" s="50"/>
      <c r="H614" s="51"/>
      <c r="I614" s="51"/>
      <c r="J614" s="51"/>
      <c r="K614" s="51"/>
      <c r="L614" s="52"/>
      <c r="M614" s="52"/>
      <c r="N614" s="52"/>
    </row>
    <row r="615" ht="15.75" customHeight="1">
      <c r="E615" s="49"/>
      <c r="G615" s="50"/>
      <c r="H615" s="51"/>
      <c r="I615" s="51"/>
      <c r="J615" s="51"/>
      <c r="K615" s="51"/>
      <c r="L615" s="52"/>
      <c r="M615" s="52"/>
      <c r="N615" s="52"/>
    </row>
    <row r="616" ht="15.75" customHeight="1">
      <c r="E616" s="49"/>
      <c r="G616" s="50"/>
      <c r="H616" s="51"/>
      <c r="I616" s="51"/>
      <c r="J616" s="51"/>
      <c r="K616" s="51"/>
      <c r="L616" s="52"/>
      <c r="M616" s="52"/>
      <c r="N616" s="52"/>
    </row>
    <row r="617" ht="15.75" customHeight="1">
      <c r="E617" s="49"/>
      <c r="G617" s="50"/>
      <c r="H617" s="51"/>
      <c r="I617" s="51"/>
      <c r="J617" s="51"/>
      <c r="K617" s="51"/>
      <c r="L617" s="52"/>
      <c r="M617" s="52"/>
      <c r="N617" s="52"/>
    </row>
    <row r="618" ht="15.75" customHeight="1">
      <c r="E618" s="49"/>
      <c r="G618" s="50"/>
      <c r="H618" s="51"/>
      <c r="I618" s="51"/>
      <c r="J618" s="51"/>
      <c r="K618" s="51"/>
      <c r="L618" s="52"/>
      <c r="M618" s="52"/>
      <c r="N618" s="52"/>
    </row>
    <row r="619" ht="15.75" customHeight="1">
      <c r="E619" s="49"/>
      <c r="G619" s="50"/>
      <c r="H619" s="51"/>
      <c r="I619" s="51"/>
      <c r="J619" s="51"/>
      <c r="K619" s="51"/>
      <c r="L619" s="52"/>
      <c r="M619" s="52"/>
      <c r="N619" s="52"/>
    </row>
    <row r="620" ht="15.75" customHeight="1">
      <c r="E620" s="49"/>
      <c r="G620" s="50"/>
      <c r="H620" s="51"/>
      <c r="I620" s="51"/>
      <c r="J620" s="51"/>
      <c r="K620" s="51"/>
      <c r="L620" s="52"/>
      <c r="M620" s="52"/>
      <c r="N620" s="52"/>
    </row>
    <row r="621" ht="15.75" customHeight="1">
      <c r="E621" s="49"/>
      <c r="G621" s="50"/>
      <c r="H621" s="51"/>
      <c r="I621" s="51"/>
      <c r="J621" s="51"/>
      <c r="K621" s="51"/>
      <c r="L621" s="52"/>
      <c r="M621" s="52"/>
      <c r="N621" s="52"/>
    </row>
    <row r="622" ht="15.75" customHeight="1">
      <c r="E622" s="49"/>
      <c r="G622" s="50"/>
      <c r="H622" s="51"/>
      <c r="I622" s="51"/>
      <c r="J622" s="51"/>
      <c r="K622" s="51"/>
      <c r="L622" s="52"/>
      <c r="M622" s="52"/>
      <c r="N622" s="52"/>
    </row>
    <row r="623" ht="15.75" customHeight="1">
      <c r="E623" s="49"/>
      <c r="G623" s="50"/>
      <c r="H623" s="51"/>
      <c r="I623" s="51"/>
      <c r="J623" s="51"/>
      <c r="K623" s="51"/>
      <c r="L623" s="52"/>
      <c r="M623" s="52"/>
      <c r="N623" s="52"/>
    </row>
    <row r="624" ht="15.75" customHeight="1">
      <c r="E624" s="49"/>
      <c r="G624" s="50"/>
      <c r="H624" s="51"/>
      <c r="I624" s="51"/>
      <c r="J624" s="51"/>
      <c r="K624" s="51"/>
      <c r="L624" s="52"/>
      <c r="M624" s="52"/>
      <c r="N624" s="52"/>
    </row>
    <row r="625" ht="15.75" customHeight="1">
      <c r="E625" s="49"/>
      <c r="G625" s="50"/>
      <c r="H625" s="51"/>
      <c r="I625" s="51"/>
      <c r="J625" s="51"/>
      <c r="K625" s="51"/>
      <c r="L625" s="52"/>
      <c r="M625" s="52"/>
      <c r="N625" s="52"/>
    </row>
    <row r="626" ht="15.75" customHeight="1">
      <c r="E626" s="49"/>
      <c r="G626" s="50"/>
      <c r="H626" s="51"/>
      <c r="I626" s="51"/>
      <c r="J626" s="51"/>
      <c r="K626" s="51"/>
      <c r="L626" s="52"/>
      <c r="M626" s="52"/>
      <c r="N626" s="52"/>
    </row>
    <row r="627" ht="15.75" customHeight="1">
      <c r="E627" s="49"/>
      <c r="G627" s="50"/>
      <c r="H627" s="51"/>
      <c r="I627" s="51"/>
      <c r="J627" s="51"/>
      <c r="K627" s="51"/>
      <c r="L627" s="52"/>
      <c r="M627" s="52"/>
      <c r="N627" s="52"/>
    </row>
    <row r="628" ht="15.75" customHeight="1">
      <c r="E628" s="49"/>
      <c r="G628" s="50"/>
      <c r="H628" s="51"/>
      <c r="I628" s="51"/>
      <c r="J628" s="51"/>
      <c r="K628" s="51"/>
      <c r="L628" s="52"/>
      <c r="M628" s="52"/>
      <c r="N628" s="52"/>
    </row>
    <row r="629" ht="15.75" customHeight="1">
      <c r="E629" s="49"/>
      <c r="G629" s="50"/>
      <c r="H629" s="51"/>
      <c r="I629" s="51"/>
      <c r="J629" s="51"/>
      <c r="K629" s="51"/>
      <c r="L629" s="52"/>
      <c r="M629" s="52"/>
      <c r="N629" s="52"/>
    </row>
    <row r="630" ht="15.75" customHeight="1">
      <c r="E630" s="49"/>
      <c r="G630" s="50"/>
      <c r="H630" s="51"/>
      <c r="I630" s="51"/>
      <c r="J630" s="51"/>
      <c r="K630" s="51"/>
      <c r="L630" s="52"/>
      <c r="M630" s="52"/>
      <c r="N630" s="52"/>
    </row>
    <row r="631" ht="15.75" customHeight="1">
      <c r="E631" s="49"/>
      <c r="G631" s="50"/>
      <c r="H631" s="51"/>
      <c r="I631" s="51"/>
      <c r="J631" s="51"/>
      <c r="K631" s="51"/>
      <c r="L631" s="52"/>
      <c r="M631" s="52"/>
      <c r="N631" s="52"/>
    </row>
    <row r="632" ht="15.75" customHeight="1">
      <c r="E632" s="49"/>
      <c r="G632" s="50"/>
      <c r="H632" s="51"/>
      <c r="I632" s="51"/>
      <c r="J632" s="51"/>
      <c r="K632" s="51"/>
      <c r="L632" s="52"/>
      <c r="M632" s="52"/>
      <c r="N632" s="52"/>
    </row>
    <row r="633" ht="15.75" customHeight="1">
      <c r="E633" s="49"/>
      <c r="G633" s="50"/>
      <c r="H633" s="51"/>
      <c r="I633" s="51"/>
      <c r="J633" s="51"/>
      <c r="K633" s="51"/>
      <c r="L633" s="52"/>
      <c r="M633" s="52"/>
      <c r="N633" s="52"/>
    </row>
    <row r="634" ht="15.75" customHeight="1">
      <c r="E634" s="49"/>
      <c r="G634" s="50"/>
      <c r="H634" s="51"/>
      <c r="I634" s="51"/>
      <c r="J634" s="51"/>
      <c r="K634" s="51"/>
      <c r="L634" s="52"/>
      <c r="M634" s="52"/>
      <c r="N634" s="52"/>
    </row>
    <row r="635" ht="15.75" customHeight="1">
      <c r="E635" s="49"/>
      <c r="G635" s="50"/>
      <c r="H635" s="51"/>
      <c r="I635" s="51"/>
      <c r="J635" s="51"/>
      <c r="K635" s="51"/>
      <c r="L635" s="52"/>
      <c r="M635" s="52"/>
      <c r="N635" s="52"/>
    </row>
    <row r="636" ht="15.75" customHeight="1">
      <c r="E636" s="49"/>
      <c r="G636" s="50"/>
      <c r="H636" s="51"/>
      <c r="I636" s="51"/>
      <c r="J636" s="51"/>
      <c r="K636" s="51"/>
      <c r="L636" s="52"/>
      <c r="M636" s="52"/>
      <c r="N636" s="52"/>
    </row>
    <row r="637" ht="15.75" customHeight="1">
      <c r="E637" s="49"/>
      <c r="G637" s="50"/>
      <c r="H637" s="51"/>
      <c r="I637" s="51"/>
      <c r="J637" s="51"/>
      <c r="K637" s="51"/>
      <c r="L637" s="52"/>
      <c r="M637" s="52"/>
      <c r="N637" s="52"/>
    </row>
    <row r="638" ht="15.75" customHeight="1">
      <c r="E638" s="49"/>
      <c r="G638" s="50"/>
      <c r="H638" s="51"/>
      <c r="I638" s="51"/>
      <c r="J638" s="51"/>
      <c r="K638" s="51"/>
      <c r="L638" s="52"/>
      <c r="M638" s="52"/>
      <c r="N638" s="52"/>
    </row>
    <row r="639" ht="15.75" customHeight="1">
      <c r="E639" s="49"/>
      <c r="G639" s="50"/>
      <c r="H639" s="51"/>
      <c r="I639" s="51"/>
      <c r="J639" s="51"/>
      <c r="K639" s="51"/>
      <c r="L639" s="52"/>
      <c r="M639" s="52"/>
      <c r="N639" s="52"/>
    </row>
    <row r="640" ht="15.75" customHeight="1">
      <c r="E640" s="49"/>
      <c r="G640" s="50"/>
      <c r="H640" s="51"/>
      <c r="I640" s="51"/>
      <c r="J640" s="51"/>
      <c r="K640" s="51"/>
      <c r="L640" s="52"/>
      <c r="M640" s="52"/>
      <c r="N640" s="52"/>
    </row>
    <row r="641" ht="15.75" customHeight="1">
      <c r="E641" s="49"/>
      <c r="G641" s="50"/>
      <c r="H641" s="51"/>
      <c r="I641" s="51"/>
      <c r="J641" s="51"/>
      <c r="K641" s="51"/>
      <c r="L641" s="52"/>
      <c r="M641" s="52"/>
      <c r="N641" s="52"/>
    </row>
    <row r="642" ht="15.75" customHeight="1">
      <c r="E642" s="49"/>
      <c r="G642" s="50"/>
      <c r="H642" s="51"/>
      <c r="I642" s="51"/>
      <c r="J642" s="51"/>
      <c r="K642" s="51"/>
      <c r="L642" s="52"/>
      <c r="M642" s="52"/>
      <c r="N642" s="52"/>
    </row>
    <row r="643" ht="15.75" customHeight="1">
      <c r="E643" s="49"/>
      <c r="G643" s="50"/>
      <c r="H643" s="51"/>
      <c r="I643" s="51"/>
      <c r="J643" s="51"/>
      <c r="K643" s="51"/>
      <c r="L643" s="52"/>
      <c r="M643" s="52"/>
      <c r="N643" s="52"/>
    </row>
    <row r="644" ht="15.75" customHeight="1">
      <c r="E644" s="49"/>
      <c r="G644" s="50"/>
      <c r="H644" s="51"/>
      <c r="I644" s="51"/>
      <c r="J644" s="51"/>
      <c r="K644" s="51"/>
      <c r="L644" s="52"/>
      <c r="M644" s="52"/>
      <c r="N644" s="52"/>
    </row>
    <row r="645" ht="15.75" customHeight="1">
      <c r="E645" s="49"/>
      <c r="G645" s="50"/>
      <c r="H645" s="51"/>
      <c r="I645" s="51"/>
      <c r="J645" s="51"/>
      <c r="K645" s="51"/>
      <c r="L645" s="52"/>
      <c r="M645" s="52"/>
      <c r="N645" s="52"/>
    </row>
    <row r="646" ht="15.75" customHeight="1">
      <c r="E646" s="49"/>
      <c r="G646" s="50"/>
      <c r="H646" s="51"/>
      <c r="I646" s="51"/>
      <c r="J646" s="51"/>
      <c r="K646" s="51"/>
      <c r="L646" s="52"/>
      <c r="M646" s="52"/>
      <c r="N646" s="52"/>
    </row>
    <row r="647" ht="15.75" customHeight="1">
      <c r="E647" s="49"/>
      <c r="G647" s="50"/>
      <c r="H647" s="51"/>
      <c r="I647" s="51"/>
      <c r="J647" s="51"/>
      <c r="K647" s="51"/>
      <c r="L647" s="52"/>
      <c r="M647" s="52"/>
      <c r="N647" s="52"/>
    </row>
    <row r="648" ht="15.75" customHeight="1">
      <c r="E648" s="49"/>
      <c r="G648" s="50"/>
      <c r="H648" s="51"/>
      <c r="I648" s="51"/>
      <c r="J648" s="51"/>
      <c r="K648" s="51"/>
      <c r="L648" s="52"/>
      <c r="M648" s="52"/>
      <c r="N648" s="52"/>
    </row>
    <row r="649" ht="15.75" customHeight="1">
      <c r="E649" s="49"/>
      <c r="G649" s="50"/>
      <c r="H649" s="51"/>
      <c r="I649" s="51"/>
      <c r="J649" s="51"/>
      <c r="K649" s="51"/>
      <c r="L649" s="52"/>
      <c r="M649" s="52"/>
      <c r="N649" s="52"/>
    </row>
    <row r="650" ht="15.75" customHeight="1">
      <c r="E650" s="49"/>
      <c r="G650" s="50"/>
      <c r="H650" s="51"/>
      <c r="I650" s="51"/>
      <c r="J650" s="51"/>
      <c r="K650" s="51"/>
      <c r="L650" s="52"/>
      <c r="M650" s="52"/>
      <c r="N650" s="52"/>
    </row>
    <row r="651" ht="15.75" customHeight="1">
      <c r="E651" s="49"/>
      <c r="G651" s="50"/>
      <c r="H651" s="51"/>
      <c r="I651" s="51"/>
      <c r="J651" s="51"/>
      <c r="K651" s="51"/>
      <c r="L651" s="52"/>
      <c r="M651" s="52"/>
      <c r="N651" s="52"/>
    </row>
    <row r="652" ht="15.75" customHeight="1">
      <c r="E652" s="49"/>
      <c r="G652" s="50"/>
      <c r="H652" s="51"/>
      <c r="I652" s="51"/>
      <c r="J652" s="51"/>
      <c r="K652" s="51"/>
      <c r="L652" s="52"/>
      <c r="M652" s="52"/>
      <c r="N652" s="52"/>
    </row>
    <row r="653" ht="15.75" customHeight="1">
      <c r="E653" s="49"/>
      <c r="G653" s="50"/>
      <c r="H653" s="51"/>
      <c r="I653" s="51"/>
      <c r="J653" s="51"/>
      <c r="K653" s="51"/>
      <c r="L653" s="52"/>
      <c r="M653" s="52"/>
      <c r="N653" s="52"/>
    </row>
    <row r="654" ht="15.75" customHeight="1">
      <c r="E654" s="49"/>
      <c r="G654" s="50"/>
      <c r="H654" s="51"/>
      <c r="I654" s="51"/>
      <c r="J654" s="51"/>
      <c r="K654" s="51"/>
      <c r="L654" s="52"/>
      <c r="M654" s="52"/>
      <c r="N654" s="52"/>
    </row>
    <row r="655" ht="15.75" customHeight="1">
      <c r="E655" s="49"/>
      <c r="G655" s="50"/>
      <c r="H655" s="51"/>
      <c r="I655" s="51"/>
      <c r="J655" s="51"/>
      <c r="K655" s="51"/>
      <c r="L655" s="52"/>
      <c r="M655" s="52"/>
      <c r="N655" s="52"/>
    </row>
    <row r="656" ht="15.75" customHeight="1">
      <c r="E656" s="49"/>
      <c r="G656" s="50"/>
      <c r="H656" s="51"/>
      <c r="I656" s="51"/>
      <c r="J656" s="51"/>
      <c r="K656" s="51"/>
      <c r="L656" s="52"/>
      <c r="M656" s="52"/>
      <c r="N656" s="52"/>
    </row>
    <row r="657" ht="15.75" customHeight="1">
      <c r="E657" s="49"/>
      <c r="G657" s="50"/>
      <c r="H657" s="51"/>
      <c r="I657" s="51"/>
      <c r="J657" s="51"/>
      <c r="K657" s="51"/>
      <c r="L657" s="52"/>
      <c r="M657" s="52"/>
      <c r="N657" s="52"/>
    </row>
    <row r="658" ht="15.75" customHeight="1">
      <c r="E658" s="49"/>
      <c r="G658" s="50"/>
      <c r="H658" s="51"/>
      <c r="I658" s="51"/>
      <c r="J658" s="51"/>
      <c r="K658" s="51"/>
      <c r="L658" s="52"/>
      <c r="M658" s="52"/>
      <c r="N658" s="52"/>
    </row>
    <row r="659" ht="15.75" customHeight="1">
      <c r="E659" s="49"/>
      <c r="G659" s="50"/>
      <c r="H659" s="51"/>
      <c r="I659" s="51"/>
      <c r="J659" s="51"/>
      <c r="K659" s="51"/>
      <c r="L659" s="52"/>
      <c r="M659" s="52"/>
      <c r="N659" s="52"/>
    </row>
    <row r="660" ht="15.75" customHeight="1">
      <c r="E660" s="49"/>
      <c r="G660" s="50"/>
      <c r="H660" s="51"/>
      <c r="I660" s="51"/>
      <c r="J660" s="51"/>
      <c r="K660" s="51"/>
      <c r="L660" s="52"/>
      <c r="M660" s="52"/>
      <c r="N660" s="52"/>
    </row>
    <row r="661" ht="15.75" customHeight="1">
      <c r="E661" s="49"/>
      <c r="G661" s="50"/>
      <c r="H661" s="51"/>
      <c r="I661" s="51"/>
      <c r="J661" s="51"/>
      <c r="K661" s="51"/>
      <c r="L661" s="52"/>
      <c r="M661" s="52"/>
      <c r="N661" s="52"/>
    </row>
    <row r="662" ht="15.75" customHeight="1">
      <c r="E662" s="49"/>
      <c r="G662" s="50"/>
      <c r="H662" s="51"/>
      <c r="I662" s="51"/>
      <c r="J662" s="51"/>
      <c r="K662" s="51"/>
      <c r="L662" s="52"/>
      <c r="M662" s="52"/>
      <c r="N662" s="52"/>
    </row>
    <row r="663" ht="15.75" customHeight="1">
      <c r="E663" s="49"/>
      <c r="G663" s="50"/>
      <c r="H663" s="51"/>
      <c r="I663" s="51"/>
      <c r="J663" s="51"/>
      <c r="K663" s="51"/>
      <c r="L663" s="52"/>
      <c r="M663" s="52"/>
      <c r="N663" s="52"/>
    </row>
    <row r="664" ht="15.75" customHeight="1">
      <c r="E664" s="49"/>
      <c r="G664" s="50"/>
      <c r="H664" s="51"/>
      <c r="I664" s="51"/>
      <c r="J664" s="51"/>
      <c r="K664" s="51"/>
      <c r="L664" s="52"/>
      <c r="M664" s="52"/>
      <c r="N664" s="52"/>
    </row>
    <row r="665" ht="15.75" customHeight="1">
      <c r="E665" s="49"/>
      <c r="G665" s="50"/>
      <c r="H665" s="51"/>
      <c r="I665" s="51"/>
      <c r="J665" s="51"/>
      <c r="K665" s="51"/>
      <c r="L665" s="52"/>
      <c r="M665" s="52"/>
      <c r="N665" s="52"/>
    </row>
    <row r="666" ht="15.75" customHeight="1">
      <c r="E666" s="49"/>
      <c r="G666" s="50"/>
      <c r="H666" s="51"/>
      <c r="I666" s="51"/>
      <c r="J666" s="51"/>
      <c r="K666" s="51"/>
      <c r="L666" s="52"/>
      <c r="M666" s="52"/>
      <c r="N666" s="52"/>
    </row>
    <row r="667" ht="15.75" customHeight="1">
      <c r="E667" s="49"/>
      <c r="G667" s="50"/>
      <c r="H667" s="51"/>
      <c r="I667" s="51"/>
      <c r="J667" s="51"/>
      <c r="K667" s="51"/>
      <c r="L667" s="52"/>
      <c r="M667" s="52"/>
      <c r="N667" s="52"/>
    </row>
    <row r="668" ht="15.75" customHeight="1">
      <c r="E668" s="49"/>
      <c r="G668" s="50"/>
      <c r="H668" s="51"/>
      <c r="I668" s="51"/>
      <c r="J668" s="51"/>
      <c r="K668" s="51"/>
      <c r="L668" s="52"/>
      <c r="M668" s="52"/>
      <c r="N668" s="52"/>
    </row>
    <row r="669" ht="15.75" customHeight="1">
      <c r="E669" s="49"/>
      <c r="G669" s="50"/>
      <c r="H669" s="51"/>
      <c r="I669" s="51"/>
      <c r="J669" s="51"/>
      <c r="K669" s="51"/>
      <c r="L669" s="52"/>
      <c r="M669" s="52"/>
      <c r="N669" s="52"/>
    </row>
    <row r="670" ht="15.75" customHeight="1">
      <c r="E670" s="49"/>
      <c r="G670" s="50"/>
      <c r="H670" s="51"/>
      <c r="I670" s="51"/>
      <c r="J670" s="51"/>
      <c r="K670" s="51"/>
      <c r="L670" s="52"/>
      <c r="M670" s="52"/>
      <c r="N670" s="52"/>
    </row>
    <row r="671" ht="15.75" customHeight="1">
      <c r="E671" s="49"/>
      <c r="G671" s="50"/>
      <c r="H671" s="51"/>
      <c r="I671" s="51"/>
      <c r="J671" s="51"/>
      <c r="K671" s="51"/>
      <c r="L671" s="52"/>
      <c r="M671" s="52"/>
      <c r="N671" s="52"/>
    </row>
    <row r="672" ht="15.75" customHeight="1">
      <c r="E672" s="49"/>
      <c r="G672" s="50"/>
      <c r="H672" s="51"/>
      <c r="I672" s="51"/>
      <c r="J672" s="51"/>
      <c r="K672" s="51"/>
      <c r="L672" s="52"/>
      <c r="M672" s="52"/>
      <c r="N672" s="52"/>
    </row>
    <row r="673" ht="15.75" customHeight="1">
      <c r="E673" s="49"/>
      <c r="G673" s="50"/>
      <c r="H673" s="51"/>
      <c r="I673" s="51"/>
      <c r="J673" s="51"/>
      <c r="K673" s="51"/>
      <c r="L673" s="52"/>
      <c r="M673" s="52"/>
      <c r="N673" s="52"/>
    </row>
    <row r="674" ht="15.75" customHeight="1">
      <c r="E674" s="49"/>
      <c r="G674" s="50"/>
      <c r="H674" s="51"/>
      <c r="I674" s="51"/>
      <c r="J674" s="51"/>
      <c r="K674" s="51"/>
      <c r="L674" s="52"/>
      <c r="M674" s="52"/>
      <c r="N674" s="52"/>
    </row>
    <row r="675" ht="15.75" customHeight="1">
      <c r="E675" s="49"/>
      <c r="G675" s="50"/>
      <c r="H675" s="51"/>
      <c r="I675" s="51"/>
      <c r="J675" s="51"/>
      <c r="K675" s="51"/>
      <c r="L675" s="52"/>
      <c r="M675" s="52"/>
      <c r="N675" s="52"/>
    </row>
    <row r="676" ht="15.75" customHeight="1">
      <c r="E676" s="49"/>
      <c r="G676" s="50"/>
      <c r="H676" s="51"/>
      <c r="I676" s="51"/>
      <c r="J676" s="51"/>
      <c r="K676" s="51"/>
      <c r="L676" s="52"/>
      <c r="M676" s="52"/>
      <c r="N676" s="52"/>
    </row>
    <row r="677" ht="15.75" customHeight="1">
      <c r="E677" s="49"/>
      <c r="G677" s="50"/>
      <c r="H677" s="51"/>
      <c r="I677" s="51"/>
      <c r="J677" s="51"/>
      <c r="K677" s="51"/>
      <c r="L677" s="52"/>
      <c r="M677" s="52"/>
      <c r="N677" s="52"/>
    </row>
    <row r="678" ht="15.75" customHeight="1">
      <c r="E678" s="49"/>
      <c r="G678" s="50"/>
      <c r="H678" s="51"/>
      <c r="I678" s="51"/>
      <c r="J678" s="51"/>
      <c r="K678" s="51"/>
      <c r="L678" s="52"/>
      <c r="M678" s="52"/>
      <c r="N678" s="52"/>
    </row>
    <row r="679" ht="15.75" customHeight="1">
      <c r="E679" s="49"/>
      <c r="G679" s="50"/>
      <c r="H679" s="51"/>
      <c r="I679" s="51"/>
      <c r="J679" s="51"/>
      <c r="K679" s="51"/>
      <c r="L679" s="52"/>
      <c r="M679" s="52"/>
      <c r="N679" s="52"/>
    </row>
    <row r="680" ht="15.75" customHeight="1">
      <c r="E680" s="49"/>
      <c r="G680" s="50"/>
      <c r="H680" s="51"/>
      <c r="I680" s="51"/>
      <c r="J680" s="51"/>
      <c r="K680" s="51"/>
      <c r="L680" s="52"/>
      <c r="M680" s="52"/>
      <c r="N680" s="52"/>
    </row>
    <row r="681" ht="15.75" customHeight="1">
      <c r="E681" s="49"/>
      <c r="G681" s="50"/>
      <c r="H681" s="51"/>
      <c r="I681" s="51"/>
      <c r="J681" s="51"/>
      <c r="K681" s="51"/>
      <c r="L681" s="52"/>
      <c r="M681" s="52"/>
      <c r="N681" s="52"/>
    </row>
    <row r="682" ht="15.75" customHeight="1">
      <c r="E682" s="49"/>
      <c r="G682" s="50"/>
      <c r="H682" s="51"/>
      <c r="I682" s="51"/>
      <c r="J682" s="51"/>
      <c r="K682" s="51"/>
      <c r="L682" s="52"/>
      <c r="M682" s="52"/>
      <c r="N682" s="52"/>
    </row>
    <row r="683" ht="15.75" customHeight="1">
      <c r="E683" s="49"/>
      <c r="G683" s="50"/>
      <c r="H683" s="51"/>
      <c r="I683" s="51"/>
      <c r="J683" s="51"/>
      <c r="K683" s="51"/>
      <c r="L683" s="52"/>
      <c r="M683" s="52"/>
      <c r="N683" s="52"/>
    </row>
    <row r="684" ht="15.75" customHeight="1">
      <c r="E684" s="49"/>
      <c r="G684" s="50"/>
      <c r="H684" s="51"/>
      <c r="I684" s="51"/>
      <c r="J684" s="51"/>
      <c r="K684" s="51"/>
      <c r="L684" s="52"/>
      <c r="M684" s="52"/>
      <c r="N684" s="52"/>
    </row>
    <row r="685" ht="15.75" customHeight="1">
      <c r="E685" s="49"/>
      <c r="G685" s="50"/>
      <c r="H685" s="51"/>
      <c r="I685" s="51"/>
      <c r="J685" s="51"/>
      <c r="K685" s="51"/>
      <c r="L685" s="52"/>
      <c r="M685" s="52"/>
      <c r="N685" s="52"/>
    </row>
    <row r="686" ht="15.75" customHeight="1">
      <c r="E686" s="49"/>
      <c r="G686" s="50"/>
      <c r="H686" s="51"/>
      <c r="I686" s="51"/>
      <c r="J686" s="51"/>
      <c r="K686" s="51"/>
      <c r="L686" s="52"/>
      <c r="M686" s="52"/>
      <c r="N686" s="52"/>
    </row>
    <row r="687" ht="15.75" customHeight="1">
      <c r="E687" s="49"/>
      <c r="G687" s="50"/>
      <c r="H687" s="51"/>
      <c r="I687" s="51"/>
      <c r="J687" s="51"/>
      <c r="K687" s="51"/>
      <c r="L687" s="52"/>
      <c r="M687" s="52"/>
      <c r="N687" s="52"/>
    </row>
    <row r="688" ht="15.75" customHeight="1">
      <c r="E688" s="49"/>
      <c r="G688" s="50"/>
      <c r="H688" s="51"/>
      <c r="I688" s="51"/>
      <c r="J688" s="51"/>
      <c r="K688" s="51"/>
      <c r="L688" s="52"/>
      <c r="M688" s="52"/>
      <c r="N688" s="52"/>
    </row>
    <row r="689" ht="15.75" customHeight="1">
      <c r="E689" s="49"/>
      <c r="G689" s="50"/>
      <c r="H689" s="51"/>
      <c r="I689" s="51"/>
      <c r="J689" s="51"/>
      <c r="K689" s="51"/>
      <c r="L689" s="52"/>
      <c r="M689" s="52"/>
      <c r="N689" s="52"/>
    </row>
    <row r="690" ht="15.75" customHeight="1">
      <c r="E690" s="49"/>
      <c r="G690" s="50"/>
      <c r="H690" s="51"/>
      <c r="I690" s="51"/>
      <c r="J690" s="51"/>
      <c r="K690" s="51"/>
      <c r="L690" s="52"/>
      <c r="M690" s="52"/>
      <c r="N690" s="52"/>
    </row>
    <row r="691" ht="15.75" customHeight="1">
      <c r="E691" s="49"/>
      <c r="G691" s="50"/>
      <c r="H691" s="51"/>
      <c r="I691" s="51"/>
      <c r="J691" s="51"/>
      <c r="K691" s="51"/>
      <c r="L691" s="52"/>
      <c r="M691" s="52"/>
      <c r="N691" s="52"/>
    </row>
    <row r="692" ht="15.75" customHeight="1">
      <c r="E692" s="49"/>
      <c r="G692" s="50"/>
      <c r="H692" s="51"/>
      <c r="I692" s="51"/>
      <c r="J692" s="51"/>
      <c r="K692" s="51"/>
      <c r="L692" s="52"/>
      <c r="M692" s="52"/>
      <c r="N692" s="52"/>
    </row>
    <row r="693" ht="15.75" customHeight="1">
      <c r="E693" s="49"/>
      <c r="G693" s="50"/>
      <c r="H693" s="51"/>
      <c r="I693" s="51"/>
      <c r="J693" s="51"/>
      <c r="K693" s="51"/>
      <c r="L693" s="52"/>
      <c r="M693" s="52"/>
      <c r="N693" s="52"/>
    </row>
    <row r="694" ht="15.75" customHeight="1">
      <c r="E694" s="49"/>
      <c r="G694" s="50"/>
      <c r="H694" s="51"/>
      <c r="I694" s="51"/>
      <c r="J694" s="51"/>
      <c r="K694" s="51"/>
      <c r="L694" s="52"/>
      <c r="M694" s="52"/>
      <c r="N694" s="52"/>
    </row>
    <row r="695" ht="15.75" customHeight="1">
      <c r="E695" s="49"/>
      <c r="G695" s="50"/>
      <c r="H695" s="51"/>
      <c r="I695" s="51"/>
      <c r="J695" s="51"/>
      <c r="K695" s="51"/>
      <c r="L695" s="52"/>
      <c r="M695" s="52"/>
      <c r="N695" s="52"/>
    </row>
    <row r="696" ht="15.75" customHeight="1">
      <c r="E696" s="49"/>
      <c r="G696" s="50"/>
      <c r="H696" s="51"/>
      <c r="I696" s="51"/>
      <c r="J696" s="51"/>
      <c r="K696" s="51"/>
      <c r="L696" s="52"/>
      <c r="M696" s="52"/>
      <c r="N696" s="52"/>
    </row>
    <row r="697" ht="15.75" customHeight="1">
      <c r="E697" s="49"/>
      <c r="G697" s="50"/>
      <c r="H697" s="51"/>
      <c r="I697" s="51"/>
      <c r="J697" s="51"/>
      <c r="K697" s="51"/>
      <c r="L697" s="52"/>
      <c r="M697" s="52"/>
      <c r="N697" s="52"/>
    </row>
  </sheetData>
  <autoFilter ref="$A$1:$O$87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.29"/>
    <col customWidth="1" min="3" max="3" width="4.14"/>
    <col customWidth="1" min="4" max="4" width="3.14"/>
    <col customWidth="1" min="5" max="5" width="31.29"/>
    <col customWidth="1" min="6" max="6" width="11.0"/>
    <col customWidth="1" min="7" max="7" width="6.29"/>
    <col customWidth="1" min="8" max="8" width="10.57"/>
    <col customWidth="1" min="9" max="11" width="4.86"/>
    <col customWidth="1" hidden="1" min="12" max="13" width="17.14"/>
    <col customWidth="1" hidden="1" min="14" max="14" width="13.71"/>
    <col customWidth="1" min="15" max="30" width="8.71"/>
  </cols>
  <sheetData>
    <row r="1">
      <c r="A1" s="64" t="s">
        <v>0</v>
      </c>
      <c r="B1" s="65" t="s">
        <v>1</v>
      </c>
      <c r="C1" s="67" t="s">
        <v>3</v>
      </c>
      <c r="D1" s="68" t="s">
        <v>4</v>
      </c>
      <c r="E1" s="69" t="s">
        <v>5</v>
      </c>
      <c r="F1" s="70" t="s">
        <v>6</v>
      </c>
      <c r="G1" s="5" t="s">
        <v>7</v>
      </c>
      <c r="H1" s="6" t="s">
        <v>8</v>
      </c>
      <c r="I1" s="71" t="s">
        <v>9</v>
      </c>
      <c r="J1" s="71" t="s">
        <v>10</v>
      </c>
      <c r="K1" s="71" t="s">
        <v>11</v>
      </c>
      <c r="L1" s="7" t="s">
        <v>12</v>
      </c>
      <c r="M1" s="7" t="s">
        <v>13</v>
      </c>
      <c r="N1" s="7" t="s">
        <v>14</v>
      </c>
      <c r="O1" s="72" t="s">
        <v>15</v>
      </c>
    </row>
    <row r="2">
      <c r="A2" s="13" t="s">
        <v>1020</v>
      </c>
      <c r="B2" s="9" t="str">
        <f t="shared" ref="B2:B113" si="1">LEFT(A2,FIND(".",A2))</f>
        <v>Йо.</v>
      </c>
      <c r="C2" s="11" t="str">
        <f t="shared" ref="C2:C113" si="2">MID(A2,FIND(".",A2)+2,FIND(" ",RIGHT(A2,LEN(A2)-FIND(".",A2)-1))-1)</f>
        <v>3</v>
      </c>
      <c r="D2" s="9"/>
      <c r="E2" s="13" t="s">
        <v>865</v>
      </c>
      <c r="F2" s="14"/>
      <c r="G2" s="15" t="s">
        <v>70</v>
      </c>
      <c r="H2" s="16" t="s">
        <v>71</v>
      </c>
      <c r="I2" s="54" t="s">
        <v>71</v>
      </c>
      <c r="J2" s="54"/>
      <c r="K2" s="55" t="s">
        <v>71</v>
      </c>
      <c r="L2" s="18" t="str">
        <f>IFNA( VLOOKUP(LEFT(E2, IFERROR(FIND(" ", E2, 1),1) - 1), lists!$A$31:$B$37, 2, FALSE),"")</f>
        <v/>
      </c>
      <c r="M2" s="18" t="str">
        <f>IFERROR(__xludf.DUMMYFUNCTION("IFNA(VLOOKUP(IFNA(REGEXEXTRACT(E2, ""(Пасхи|50-ці|посту)""),""""),lists!$A$39:$B$41,2,FALSE),"""")"),"")</f>
        <v/>
      </c>
      <c r="N2" s="19" t="str">
        <f>IFERROR(__xludf.DUMMYFUNCTION("IFNA(REGEXEXTRACT(E2, ""\d{1,2}""),"""")"),"")</f>
        <v/>
      </c>
      <c r="O2" s="14" t="b">
        <f t="shared" ref="O2:O113" si="3">AND(OR(H2="",I2="",K2=""),G2="")</f>
        <v>0</v>
      </c>
    </row>
    <row r="3">
      <c r="A3" s="13" t="s">
        <v>1021</v>
      </c>
      <c r="B3" s="9" t="str">
        <f t="shared" si="1"/>
        <v>Йо.</v>
      </c>
      <c r="C3" s="11" t="str">
        <f t="shared" si="2"/>
        <v>4</v>
      </c>
      <c r="D3" s="9"/>
      <c r="E3" s="13" t="s">
        <v>867</v>
      </c>
      <c r="F3" s="14"/>
      <c r="G3" s="15" t="s">
        <v>70</v>
      </c>
      <c r="H3" s="16" t="s">
        <v>24</v>
      </c>
      <c r="I3" s="55">
        <v>1.0</v>
      </c>
      <c r="J3" s="54"/>
      <c r="K3" s="55">
        <v>3.0</v>
      </c>
      <c r="L3" s="18">
        <f>IFNA( VLOOKUP(LEFT(E3, IFERROR(FIND(" ", E3, 1),1) - 1), lists!$A$31:$B$37, 2, FALSE),"")</f>
        <v>3</v>
      </c>
      <c r="M3" s="18" t="str">
        <f>IFERROR(__xludf.DUMMYFUNCTION("IFNA(VLOOKUP(IFNA(REGEXEXTRACT(E3, ""(Пасхи|50-ці|посту)""),""""),lists!$A$39:$B$41,2,FALSE),"""")"),"")</f>
        <v/>
      </c>
      <c r="N3" s="19" t="str">
        <f>IFERROR(__xludf.DUMMYFUNCTION("IFNA(REGEXEXTRACT(E3, ""\d{1,2}""),"""")"),"")</f>
        <v/>
      </c>
      <c r="O3" s="14" t="b">
        <f t="shared" si="3"/>
        <v>0</v>
      </c>
    </row>
    <row r="4">
      <c r="A4" s="13" t="s">
        <v>1022</v>
      </c>
      <c r="B4" s="9" t="str">
        <f t="shared" si="1"/>
        <v>Йо.</v>
      </c>
      <c r="C4" s="11" t="str">
        <f t="shared" si="2"/>
        <v>5</v>
      </c>
      <c r="D4" s="9"/>
      <c r="E4" s="13" t="s">
        <v>869</v>
      </c>
      <c r="F4" s="14"/>
      <c r="G4" s="15" t="s">
        <v>70</v>
      </c>
      <c r="H4" s="16" t="s">
        <v>20</v>
      </c>
      <c r="I4" s="54">
        <v>1.0</v>
      </c>
      <c r="J4" s="54"/>
      <c r="K4" s="55">
        <v>7.0</v>
      </c>
      <c r="L4" s="18">
        <f>IFNA( VLOOKUP(LEFT(E4, IFERROR(FIND(" ", E4, 1),1) - 1), lists!$A$31:$B$37, 2, FALSE),"")</f>
        <v>7</v>
      </c>
      <c r="M4" s="18" t="str">
        <f>IFERROR(__xludf.DUMMYFUNCTION("IFNA(VLOOKUP(IFNA(REGEXEXTRACT(E4, ""(Пасхи|50-ці|посту)""),""""),lists!$A$39:$B$41,2,FALSE),"""")"),"lent")</f>
        <v>lent</v>
      </c>
      <c r="N4" s="19" t="str">
        <f>IFERROR(__xludf.DUMMYFUNCTION("IFNA(REGEXEXTRACT(E4, ""\d{1,2}""),"""")"),"1")</f>
        <v>1</v>
      </c>
      <c r="O4" s="14" t="b">
        <f t="shared" si="3"/>
        <v>0</v>
      </c>
    </row>
    <row r="5">
      <c r="A5" s="79" t="s">
        <v>1026</v>
      </c>
      <c r="B5" s="9" t="str">
        <f t="shared" si="1"/>
        <v>Йо.</v>
      </c>
      <c r="C5" s="11" t="str">
        <f t="shared" si="2"/>
        <v>9</v>
      </c>
      <c r="D5" s="9"/>
      <c r="E5" s="13" t="s">
        <v>1027</v>
      </c>
      <c r="F5" s="14"/>
      <c r="G5" s="15" t="s">
        <v>70</v>
      </c>
      <c r="H5" s="16" t="s">
        <v>71</v>
      </c>
      <c r="I5" s="54" t="s">
        <v>71</v>
      </c>
      <c r="J5" s="54"/>
      <c r="K5" s="55">
        <v>7.0</v>
      </c>
      <c r="L5" s="18">
        <f>IFNA( VLOOKUP(LEFT(E5, IFERROR(FIND(" ", E5, 1),1) - 1), lists!$A$31:$B$37, 2, FALSE),"")</f>
        <v>7</v>
      </c>
      <c r="M5" s="18" t="str">
        <f>IFERROR(__xludf.DUMMYFUNCTION("IFNA(VLOOKUP(IFNA(REGEXEXTRACT(E5, ""(Пасхи|50-ці|посту)""),""""),lists!$A$39:$B$41,2,FALSE),"""")"),"")</f>
        <v/>
      </c>
      <c r="N5" s="19" t="str">
        <f>IFERROR(__xludf.DUMMYFUNCTION("IFNA(REGEXEXTRACT(E5, ""\d{1,2}""),"""")"),"")</f>
        <v/>
      </c>
      <c r="O5" s="14" t="b">
        <f t="shared" si="3"/>
        <v>0</v>
      </c>
    </row>
    <row r="6">
      <c r="A6" s="13" t="s">
        <v>1033</v>
      </c>
      <c r="B6" s="9" t="str">
        <f t="shared" si="1"/>
        <v>Йо.</v>
      </c>
      <c r="C6" s="11" t="str">
        <f t="shared" si="2"/>
        <v>14</v>
      </c>
      <c r="D6" s="26" t="s">
        <v>22</v>
      </c>
      <c r="E6" s="13" t="s">
        <v>392</v>
      </c>
      <c r="F6" s="14"/>
      <c r="G6" s="15" t="s">
        <v>70</v>
      </c>
      <c r="H6" s="16" t="s">
        <v>71</v>
      </c>
      <c r="I6" s="54" t="s">
        <v>71</v>
      </c>
      <c r="J6" s="54"/>
      <c r="K6" s="55" t="s">
        <v>71</v>
      </c>
      <c r="L6" s="18" t="str">
        <f>IFNA( VLOOKUP(LEFT(E6, IFERROR(FIND(" ", E6, 1),1) - 1), lists!$A$31:$B$37, 2, FALSE),"")</f>
        <v/>
      </c>
      <c r="M6" s="18" t="str">
        <f>IFERROR(__xludf.DUMMYFUNCTION("IFNA(VLOOKUP(IFNA(REGEXEXTRACT(E6, ""(Пасхи|50-ці|посту)""),""""),lists!$A$39:$B$41,2,FALSE),"""")"),"")</f>
        <v/>
      </c>
      <c r="N6" s="19" t="str">
        <f>IFERROR(__xludf.DUMMYFUNCTION("IFNA(REGEXEXTRACT(E6, ""\d{1,2}""),"""")"),"")</f>
        <v/>
      </c>
      <c r="O6" s="14" t="b">
        <f t="shared" si="3"/>
        <v>0</v>
      </c>
    </row>
    <row r="7">
      <c r="A7" s="13" t="s">
        <v>1034</v>
      </c>
      <c r="B7" s="9" t="str">
        <f t="shared" si="1"/>
        <v>Йо.</v>
      </c>
      <c r="C7" s="11" t="str">
        <f t="shared" si="2"/>
        <v>15</v>
      </c>
      <c r="D7" s="9"/>
      <c r="E7" s="13" t="s">
        <v>886</v>
      </c>
      <c r="F7" s="14"/>
      <c r="G7" s="15" t="s">
        <v>70</v>
      </c>
      <c r="H7" s="16" t="s">
        <v>24</v>
      </c>
      <c r="I7" s="73">
        <v>2.0</v>
      </c>
      <c r="J7" s="54"/>
      <c r="K7" s="55">
        <v>3.0</v>
      </c>
      <c r="L7" s="18">
        <f>IFNA( VLOOKUP(LEFT(E7, IFERROR(FIND(" ", E7, 1),1) - 1), lists!$A$31:$B$37, 2, FALSE),"")</f>
        <v>3</v>
      </c>
      <c r="M7" s="18" t="str">
        <f>IFERROR(__xludf.DUMMYFUNCTION("IFNA(VLOOKUP(IFNA(REGEXEXTRACT(E7, ""(Пасхи|50-ці|посту)""),""""),lists!$A$39:$B$41,2,FALSE),"""")"),"")</f>
        <v/>
      </c>
      <c r="N7" s="19" t="str">
        <f>IFERROR(__xludf.DUMMYFUNCTION("IFNA(REGEXEXTRACT(E7, ""\d{1,2}""),"""")"),"2")</f>
        <v>2</v>
      </c>
      <c r="O7" s="14" t="b">
        <f t="shared" si="3"/>
        <v>0</v>
      </c>
    </row>
    <row r="8">
      <c r="A8" s="13" t="s">
        <v>1035</v>
      </c>
      <c r="B8" s="9" t="str">
        <f t="shared" si="1"/>
        <v>Йо.</v>
      </c>
      <c r="C8" s="11" t="str">
        <f t="shared" si="2"/>
        <v>16</v>
      </c>
      <c r="D8" s="9"/>
      <c r="E8" s="13" t="s">
        <v>888</v>
      </c>
      <c r="F8" s="14"/>
      <c r="G8" s="15" t="s">
        <v>70</v>
      </c>
      <c r="H8" s="16" t="s">
        <v>24</v>
      </c>
      <c r="I8" s="73">
        <v>2.0</v>
      </c>
      <c r="J8" s="54"/>
      <c r="K8" s="55">
        <v>4.0</v>
      </c>
      <c r="L8" s="18">
        <f>IFNA( VLOOKUP(LEFT(E8, IFERROR(FIND(" ", E8, 1),1) - 1), lists!$A$31:$B$37, 2, FALSE),"")</f>
        <v>4</v>
      </c>
      <c r="M8" s="18" t="str">
        <f>IFERROR(__xludf.DUMMYFUNCTION("IFNA(VLOOKUP(IFNA(REGEXEXTRACT(E8, ""(Пасхи|50-ці|посту)""),""""),lists!$A$39:$B$41,2,FALSE),"""")"),"")</f>
        <v/>
      </c>
      <c r="N8" s="19" t="str">
        <f>IFERROR(__xludf.DUMMYFUNCTION("IFNA(REGEXEXTRACT(E8, ""\d{1,2}""),"""")"),"2")</f>
        <v>2</v>
      </c>
      <c r="O8" s="14" t="b">
        <f t="shared" si="3"/>
        <v>0</v>
      </c>
    </row>
    <row r="9">
      <c r="A9" s="13" t="s">
        <v>1040</v>
      </c>
      <c r="B9" s="9" t="str">
        <f t="shared" si="1"/>
        <v>Йо.</v>
      </c>
      <c r="C9" s="11" t="str">
        <f t="shared" si="2"/>
        <v>21</v>
      </c>
      <c r="D9" s="9"/>
      <c r="E9" s="13" t="s">
        <v>898</v>
      </c>
      <c r="F9" s="14"/>
      <c r="G9" s="15" t="s">
        <v>70</v>
      </c>
      <c r="H9" s="16" t="s">
        <v>24</v>
      </c>
      <c r="I9" s="73">
        <v>3.0</v>
      </c>
      <c r="J9" s="54"/>
      <c r="K9" s="55">
        <v>3.0</v>
      </c>
      <c r="L9" s="18">
        <f>IFNA( VLOOKUP(LEFT(E9, IFERROR(FIND(" ", E9, 1),1) - 1), lists!$A$31:$B$37, 2, FALSE),"")</f>
        <v>3</v>
      </c>
      <c r="M9" s="18" t="str">
        <f>IFERROR(__xludf.DUMMYFUNCTION("IFNA(VLOOKUP(IFNA(REGEXEXTRACT(E9, ""(Пасхи|50-ці|посту)""),""""),lists!$A$39:$B$41,2,FALSE),"""")"),"")</f>
        <v/>
      </c>
      <c r="N9" s="19" t="str">
        <f>IFERROR(__xludf.DUMMYFUNCTION("IFNA(REGEXEXTRACT(E9, ""\d{1,2}""),"""")"),"3")</f>
        <v>3</v>
      </c>
      <c r="O9" s="14" t="b">
        <f t="shared" si="3"/>
        <v>0</v>
      </c>
    </row>
    <row r="10">
      <c r="A10" s="21" t="s">
        <v>1048</v>
      </c>
      <c r="B10" s="9" t="str">
        <f t="shared" si="1"/>
        <v>Йо.</v>
      </c>
      <c r="C10" s="11" t="str">
        <f t="shared" si="2"/>
        <v>28</v>
      </c>
      <c r="D10" s="9"/>
      <c r="E10" s="13" t="s">
        <v>915</v>
      </c>
      <c r="F10" s="14"/>
      <c r="G10" s="15" t="s">
        <v>70</v>
      </c>
      <c r="H10" s="16"/>
      <c r="I10" s="73" t="s">
        <v>71</v>
      </c>
      <c r="J10" s="54"/>
      <c r="K10" s="55" t="s">
        <v>71</v>
      </c>
      <c r="L10" s="18" t="str">
        <f>IFNA( VLOOKUP(LEFT(E10, IFERROR(FIND(" ", E10, 1),1) - 1), lists!$A$31:$B$37, 2, FALSE),"")</f>
        <v/>
      </c>
      <c r="M10" s="18" t="str">
        <f>IFERROR(__xludf.DUMMYFUNCTION("IFNA(VLOOKUP(IFNA(REGEXEXTRACT(E10, ""(Пасхи|50-ці|посту)""),""""),lists!$A$39:$B$41,2,FALSE),"""")"),"")</f>
        <v/>
      </c>
      <c r="N10" s="19" t="str">
        <f>IFERROR(__xludf.DUMMYFUNCTION("IFNA(REGEXEXTRACT(E10, ""\d{1,2}""),"""")"),"")</f>
        <v/>
      </c>
      <c r="O10" s="14" t="b">
        <f t="shared" si="3"/>
        <v>0</v>
      </c>
    </row>
    <row r="11">
      <c r="A11" s="13" t="s">
        <v>1050</v>
      </c>
      <c r="B11" s="9" t="str">
        <f t="shared" si="1"/>
        <v>Йо.</v>
      </c>
      <c r="C11" s="11" t="str">
        <f t="shared" si="2"/>
        <v>30</v>
      </c>
      <c r="D11" s="9"/>
      <c r="E11" s="13" t="s">
        <v>919</v>
      </c>
      <c r="F11" s="14"/>
      <c r="G11" s="15" t="s">
        <v>70</v>
      </c>
      <c r="H11" s="16" t="s">
        <v>24</v>
      </c>
      <c r="I11" s="73">
        <v>4.0</v>
      </c>
      <c r="J11" s="54"/>
      <c r="K11" s="55">
        <v>5.0</v>
      </c>
      <c r="L11" s="18">
        <f>IFNA( VLOOKUP(LEFT(E11, IFERROR(FIND(" ", E11, 1),1) - 1), lists!$A$31:$B$37, 2, FALSE),"")</f>
        <v>5</v>
      </c>
      <c r="M11" s="18" t="str">
        <f>IFERROR(__xludf.DUMMYFUNCTION("IFNA(VLOOKUP(IFNA(REGEXEXTRACT(E11, ""(Пасхи|50-ці|посту)""),""""),lists!$A$39:$B$41,2,FALSE),"""")"),"")</f>
        <v/>
      </c>
      <c r="N11" s="19" t="str">
        <f>IFERROR(__xludf.DUMMYFUNCTION("IFNA(REGEXEXTRACT(E11, ""\d{1,2}""),"""")"),"4")</f>
        <v>4</v>
      </c>
      <c r="O11" s="14" t="b">
        <f t="shared" si="3"/>
        <v>0</v>
      </c>
    </row>
    <row r="12">
      <c r="A12" s="13" t="s">
        <v>1056</v>
      </c>
      <c r="B12" s="9" t="str">
        <f t="shared" si="1"/>
        <v>Йо.</v>
      </c>
      <c r="C12" s="11" t="str">
        <f t="shared" si="2"/>
        <v>35</v>
      </c>
      <c r="D12" s="12" t="s">
        <v>22</v>
      </c>
      <c r="E12" s="13" t="s">
        <v>931</v>
      </c>
      <c r="F12" s="14"/>
      <c r="G12" s="15" t="s">
        <v>70</v>
      </c>
      <c r="H12" s="16" t="s">
        <v>71</v>
      </c>
      <c r="I12" s="73" t="s">
        <v>71</v>
      </c>
      <c r="J12" s="54"/>
      <c r="K12" s="55" t="s">
        <v>71</v>
      </c>
      <c r="L12" s="18" t="str">
        <f>IFNA( VLOOKUP(LEFT(E12, IFERROR(FIND(" ", E12, 1),1) - 1), lists!$A$31:$B$37, 2, FALSE),"")</f>
        <v/>
      </c>
      <c r="M12" s="18" t="str">
        <f>IFERROR(__xludf.DUMMYFUNCTION("IFNA(VLOOKUP(IFNA(REGEXEXTRACT(E12, ""(Пасхи|50-ці|посту)""),""""),lists!$A$39:$B$41,2,FALSE),"""")"),"")</f>
        <v/>
      </c>
      <c r="N12" s="19" t="str">
        <f>IFERROR(__xludf.DUMMYFUNCTION("IFNA(REGEXEXTRACT(E12, ""\d{1,2}""),"""")"),"")</f>
        <v/>
      </c>
      <c r="O12" s="14" t="b">
        <f t="shared" si="3"/>
        <v>0</v>
      </c>
    </row>
    <row r="13">
      <c r="A13" s="13" t="s">
        <v>1057</v>
      </c>
      <c r="B13" s="9" t="str">
        <f t="shared" si="1"/>
        <v>Йо.</v>
      </c>
      <c r="C13" s="11" t="str">
        <f t="shared" si="2"/>
        <v>36</v>
      </c>
      <c r="D13" s="9"/>
      <c r="E13" s="13" t="s">
        <v>1058</v>
      </c>
      <c r="F13" s="14"/>
      <c r="G13" s="15" t="s">
        <v>70</v>
      </c>
      <c r="H13" s="16" t="s">
        <v>71</v>
      </c>
      <c r="I13" s="73" t="s">
        <v>71</v>
      </c>
      <c r="J13" s="54"/>
      <c r="K13" s="55" t="s">
        <v>71</v>
      </c>
      <c r="L13" s="18" t="str">
        <f>IFNA( VLOOKUP(LEFT(E13, IFERROR(FIND(" ", E13, 1),1) - 1), lists!$A$31:$B$37, 2, FALSE),"")</f>
        <v/>
      </c>
      <c r="M13" s="18" t="str">
        <f>IFERROR(__xludf.DUMMYFUNCTION("IFNA(VLOOKUP(IFNA(REGEXEXTRACT(E13, ""(Пасхи|50-ці|посту)""),""""),lists!$A$39:$B$41,2,FALSE),"""")"),"")</f>
        <v/>
      </c>
      <c r="N13" s="19" t="str">
        <f>IFERROR(__xludf.DUMMYFUNCTION("IFNA(REGEXEXTRACT(E13, ""\d{1,2}""),"""")"),"")</f>
        <v/>
      </c>
      <c r="O13" s="14" t="b">
        <f t="shared" si="3"/>
        <v>0</v>
      </c>
    </row>
    <row r="14">
      <c r="A14" s="13" t="s">
        <v>1059</v>
      </c>
      <c r="B14" s="9" t="str">
        <f t="shared" si="1"/>
        <v>Йо.</v>
      </c>
      <c r="C14" s="11" t="str">
        <f t="shared" si="2"/>
        <v>37</v>
      </c>
      <c r="D14" s="26" t="s">
        <v>18</v>
      </c>
      <c r="E14" s="13" t="s">
        <v>937</v>
      </c>
      <c r="F14" s="14"/>
      <c r="G14" s="15" t="s">
        <v>70</v>
      </c>
      <c r="H14" s="16" t="s">
        <v>71</v>
      </c>
      <c r="I14" s="73" t="s">
        <v>71</v>
      </c>
      <c r="J14" s="54"/>
      <c r="K14" s="55" t="s">
        <v>71</v>
      </c>
      <c r="L14" s="18" t="str">
        <f>IFNA( VLOOKUP(LEFT(E14, IFERROR(FIND(" ", E14, 1),1) - 1), lists!$A$31:$B$37, 2, FALSE),"")</f>
        <v/>
      </c>
      <c r="M14" s="18" t="str">
        <f>IFERROR(__xludf.DUMMYFUNCTION("IFNA(VLOOKUP(IFNA(REGEXEXTRACT(E14, ""(Пасхи|50-ці|посту)""),""""),lists!$A$39:$B$41,2,FALSE),"""")"),"")</f>
        <v/>
      </c>
      <c r="N14" s="19" t="str">
        <f>IFERROR(__xludf.DUMMYFUNCTION("IFNA(REGEXEXTRACT(E14, ""\d{1,2}""),"""")"),"")</f>
        <v/>
      </c>
      <c r="O14" s="14" t="b">
        <f t="shared" si="3"/>
        <v>0</v>
      </c>
    </row>
    <row r="15">
      <c r="A15" s="13" t="s">
        <v>1065</v>
      </c>
      <c r="B15" s="9" t="str">
        <f t="shared" si="1"/>
        <v>Йо.</v>
      </c>
      <c r="C15" s="11" t="str">
        <f t="shared" si="2"/>
        <v>41</v>
      </c>
      <c r="D15" s="26" t="s">
        <v>22</v>
      </c>
      <c r="E15" s="13" t="s">
        <v>948</v>
      </c>
      <c r="F15" s="13"/>
      <c r="G15" s="15" t="s">
        <v>70</v>
      </c>
      <c r="H15" s="16" t="s">
        <v>71</v>
      </c>
      <c r="I15" s="73" t="s">
        <v>71</v>
      </c>
      <c r="J15" s="54"/>
      <c r="K15" s="55" t="s">
        <v>71</v>
      </c>
      <c r="L15" s="18" t="str">
        <f>IFNA( VLOOKUP(LEFT(E15, IFERROR(FIND(" ", E15, 1),1) - 1), lists!$A$31:$B$37, 2, FALSE),"")</f>
        <v/>
      </c>
      <c r="M15" s="18" t="str">
        <f>IFERROR(__xludf.DUMMYFUNCTION("IFNA(VLOOKUP(IFNA(REGEXEXTRACT(E15, ""(Пасхи|50-ці|посту)""),""""),lists!$A$39:$B$41,2,FALSE),"""")"),"")</f>
        <v/>
      </c>
      <c r="N15" s="19" t="str">
        <f>IFERROR(__xludf.DUMMYFUNCTION("IFNA(REGEXEXTRACT(E15, ""\d{1,2}""),"""")"),"")</f>
        <v/>
      </c>
      <c r="O15" s="14" t="b">
        <f t="shared" si="3"/>
        <v>0</v>
      </c>
    </row>
    <row r="16">
      <c r="A16" s="13" t="s">
        <v>1067</v>
      </c>
      <c r="B16" s="9" t="str">
        <f t="shared" si="1"/>
        <v>Йо.</v>
      </c>
      <c r="C16" s="11" t="str">
        <f t="shared" si="2"/>
        <v>42</v>
      </c>
      <c r="D16" s="26" t="s">
        <v>22</v>
      </c>
      <c r="E16" s="13" t="s">
        <v>952</v>
      </c>
      <c r="F16" s="13"/>
      <c r="G16" s="15" t="s">
        <v>70</v>
      </c>
      <c r="H16" s="16" t="s">
        <v>71</v>
      </c>
      <c r="I16" s="73" t="s">
        <v>71</v>
      </c>
      <c r="J16" s="54"/>
      <c r="K16" s="55" t="s">
        <v>71</v>
      </c>
      <c r="L16" s="18" t="str">
        <f>IFNA( VLOOKUP(LEFT(E16, IFERROR(FIND(" ", E16, 1),1) - 1), lists!$A$31:$B$37, 2, FALSE),"")</f>
        <v/>
      </c>
      <c r="M16" s="18" t="str">
        <f>IFERROR(__xludf.DUMMYFUNCTION("IFNA(VLOOKUP(IFNA(REGEXEXTRACT(E16, ""(Пасхи|50-ці|посту)""),""""),lists!$A$39:$B$41,2,FALSE),"""")"),"")</f>
        <v/>
      </c>
      <c r="N16" s="19" t="str">
        <f>IFERROR(__xludf.DUMMYFUNCTION("IFNA(REGEXEXTRACT(E16, ""\d{1,2}""),"""")"),"")</f>
        <v/>
      </c>
      <c r="O16" s="14" t="b">
        <f t="shared" si="3"/>
        <v>0</v>
      </c>
    </row>
    <row r="17">
      <c r="A17" s="13" t="s">
        <v>1069</v>
      </c>
      <c r="B17" s="9" t="str">
        <f t="shared" si="1"/>
        <v>Йо.</v>
      </c>
      <c r="C17" s="11" t="str">
        <f t="shared" si="2"/>
        <v>44</v>
      </c>
      <c r="D17" s="9"/>
      <c r="E17" s="13" t="s">
        <v>956</v>
      </c>
      <c r="F17" s="14"/>
      <c r="G17" s="15" t="s">
        <v>70</v>
      </c>
      <c r="H17" s="16" t="s">
        <v>71</v>
      </c>
      <c r="I17" s="73"/>
      <c r="J17" s="54"/>
      <c r="K17" s="55" t="s">
        <v>71</v>
      </c>
      <c r="L17" s="18" t="str">
        <f>IFNA( VLOOKUP(LEFT(E17, IFERROR(FIND(" ", E17, 1),1) - 1), lists!$A$31:$B$37, 2, FALSE),"")</f>
        <v/>
      </c>
      <c r="M17" s="18" t="str">
        <f>IFERROR(__xludf.DUMMYFUNCTION("IFNA(VLOOKUP(IFNA(REGEXEXTRACT(E17, ""(Пасхи|50-ці|посту)""),""""),lists!$A$39:$B$41,2,FALSE),"""")"),"")</f>
        <v/>
      </c>
      <c r="N17" s="19" t="str">
        <f>IFERROR(__xludf.DUMMYFUNCTION("IFNA(REGEXEXTRACT(E17, ""\d{1,2}""),"""")"),"1")</f>
        <v>1</v>
      </c>
      <c r="O17" s="14" t="b">
        <f t="shared" si="3"/>
        <v>0</v>
      </c>
    </row>
    <row r="18">
      <c r="A18" s="13" t="s">
        <v>1070</v>
      </c>
      <c r="B18" s="9" t="str">
        <f t="shared" si="1"/>
        <v>Йо.</v>
      </c>
      <c r="C18" s="11" t="str">
        <f t="shared" si="2"/>
        <v>45</v>
      </c>
      <c r="D18" s="9"/>
      <c r="E18" s="13" t="s">
        <v>958</v>
      </c>
      <c r="F18" s="14"/>
      <c r="G18" s="15" t="s">
        <v>70</v>
      </c>
      <c r="H18" s="16" t="s">
        <v>71</v>
      </c>
      <c r="I18" s="73">
        <v>2.0</v>
      </c>
      <c r="J18" s="54"/>
      <c r="K18" s="55" t="s">
        <v>71</v>
      </c>
      <c r="L18" s="18" t="str">
        <f>IFNA( VLOOKUP(LEFT(E18, IFERROR(FIND(" ", E18, 1),1) - 1), lists!$A$31:$B$37, 2, FALSE),"")</f>
        <v/>
      </c>
      <c r="M18" s="18" t="str">
        <f>IFERROR(__xludf.DUMMYFUNCTION("IFNA(VLOOKUP(IFNA(REGEXEXTRACT(E18, ""(Пасхи|50-ці|посту)""),""""),lists!$A$39:$B$41,2,FALSE),"""")"),"")</f>
        <v/>
      </c>
      <c r="N18" s="19" t="str">
        <f>IFERROR(__xludf.DUMMYFUNCTION("IFNA(REGEXEXTRACT(E18, ""\d{1,2}""),"""")"),"2")</f>
        <v>2</v>
      </c>
      <c r="O18" s="14" t="b">
        <f t="shared" si="3"/>
        <v>0</v>
      </c>
    </row>
    <row r="19">
      <c r="A19" s="21" t="s">
        <v>1071</v>
      </c>
      <c r="B19" s="9" t="str">
        <f t="shared" si="1"/>
        <v>Йо.</v>
      </c>
      <c r="C19" s="11" t="str">
        <f t="shared" si="2"/>
        <v>46</v>
      </c>
      <c r="D19" s="9"/>
      <c r="E19" s="13" t="s">
        <v>960</v>
      </c>
      <c r="F19" s="14"/>
      <c r="G19" s="15" t="s">
        <v>70</v>
      </c>
      <c r="H19" s="16" t="s">
        <v>71</v>
      </c>
      <c r="I19" s="73">
        <v>1.0</v>
      </c>
      <c r="J19" s="54"/>
      <c r="K19" s="55" t="s">
        <v>71</v>
      </c>
      <c r="L19" s="18" t="str">
        <f>IFNA( VLOOKUP(LEFT(E19, IFERROR(FIND(" ", E19, 1),1) - 1), lists!$A$31:$B$37, 2, FALSE),"")</f>
        <v/>
      </c>
      <c r="M19" s="18" t="str">
        <f>IFERROR(__xludf.DUMMYFUNCTION("IFNA(VLOOKUP(IFNA(REGEXEXTRACT(E19, ""(Пасхи|50-ці|посту)""),""""),lists!$A$39:$B$41,2,FALSE),"""")"),"")</f>
        <v/>
      </c>
      <c r="N19" s="19" t="str">
        <f>IFERROR(__xludf.DUMMYFUNCTION("IFNA(REGEXEXTRACT(E19, ""\d{1,2}""),"""")"),"1")</f>
        <v>1</v>
      </c>
      <c r="O19" s="14" t="b">
        <f t="shared" si="3"/>
        <v>0</v>
      </c>
    </row>
    <row r="20">
      <c r="A20" s="13" t="s">
        <v>1074</v>
      </c>
      <c r="B20" s="9" t="str">
        <f t="shared" si="1"/>
        <v>Йо.</v>
      </c>
      <c r="C20" s="11" t="str">
        <f t="shared" si="2"/>
        <v>48</v>
      </c>
      <c r="D20" s="12" t="s">
        <v>22</v>
      </c>
      <c r="E20" s="13" t="s">
        <v>966</v>
      </c>
      <c r="F20" s="14"/>
      <c r="G20" s="15" t="s">
        <v>70</v>
      </c>
      <c r="H20" s="16" t="s">
        <v>71</v>
      </c>
      <c r="I20" s="73" t="s">
        <v>71</v>
      </c>
      <c r="J20" s="54"/>
      <c r="K20" s="55" t="s">
        <v>71</v>
      </c>
      <c r="L20" s="18" t="str">
        <f>IFNA( VLOOKUP(LEFT(E20, IFERROR(FIND(" ", E20, 1),1) - 1), lists!$A$31:$B$37, 2, FALSE),"")</f>
        <v/>
      </c>
      <c r="M20" s="18" t="str">
        <f>IFERROR(__xludf.DUMMYFUNCTION("IFNA(VLOOKUP(IFNA(REGEXEXTRACT(E20, ""(Пасхи|50-ці|посту)""),""""),lists!$A$39:$B$41,2,FALSE),"""")"),"")</f>
        <v/>
      </c>
      <c r="N20" s="19" t="str">
        <f>IFERROR(__xludf.DUMMYFUNCTION("IFNA(REGEXEXTRACT(E20, ""\d{1,2}""),"""")"),"")</f>
        <v/>
      </c>
      <c r="O20" s="14" t="b">
        <f t="shared" si="3"/>
        <v>0</v>
      </c>
    </row>
    <row r="21">
      <c r="A21" s="13" t="s">
        <v>1076</v>
      </c>
      <c r="B21" s="9" t="str">
        <f t="shared" si="1"/>
        <v>Йо.</v>
      </c>
      <c r="C21" s="11" t="str">
        <f t="shared" si="2"/>
        <v>50</v>
      </c>
      <c r="D21" s="9"/>
      <c r="E21" s="13" t="s">
        <v>971</v>
      </c>
      <c r="F21" s="14"/>
      <c r="G21" s="15" t="s">
        <v>70</v>
      </c>
      <c r="H21" s="16" t="s">
        <v>71</v>
      </c>
      <c r="I21" s="73">
        <v>2.0</v>
      </c>
      <c r="J21" s="54"/>
      <c r="K21" s="55" t="s">
        <v>71</v>
      </c>
      <c r="L21" s="18" t="str">
        <f>IFNA( VLOOKUP(LEFT(E21, IFERROR(FIND(" ", E21, 1),1) - 1), lists!$A$31:$B$37, 2, FALSE),"")</f>
        <v/>
      </c>
      <c r="M21" s="18" t="str">
        <f>IFERROR(__xludf.DUMMYFUNCTION("IFNA(VLOOKUP(IFNA(REGEXEXTRACT(E21, ""(Пасхи|50-ці|посту)""),""""),lists!$A$39:$B$41,2,FALSE),"""")"),"")</f>
        <v/>
      </c>
      <c r="N21" s="19" t="str">
        <f>IFERROR(__xludf.DUMMYFUNCTION("IFNA(REGEXEXTRACT(E21, ""\d{1,2}""),"""")"),"2")</f>
        <v>2</v>
      </c>
      <c r="O21" s="14" t="b">
        <f t="shared" si="3"/>
        <v>0</v>
      </c>
    </row>
    <row r="22">
      <c r="A22" s="13" t="s">
        <v>1077</v>
      </c>
      <c r="B22" s="9" t="str">
        <f t="shared" si="1"/>
        <v>Йо.</v>
      </c>
      <c r="C22" s="11" t="str">
        <f t="shared" si="2"/>
        <v>51</v>
      </c>
      <c r="D22" s="9"/>
      <c r="E22" s="13" t="s">
        <v>973</v>
      </c>
      <c r="F22" s="14"/>
      <c r="G22" s="15" t="s">
        <v>70</v>
      </c>
      <c r="H22" s="16" t="s">
        <v>71</v>
      </c>
      <c r="I22" s="73">
        <v>11.0</v>
      </c>
      <c r="J22" s="54"/>
      <c r="K22" s="55" t="s">
        <v>71</v>
      </c>
      <c r="L22" s="18" t="str">
        <f>IFNA( VLOOKUP(LEFT(E22, IFERROR(FIND(" ", E22, 1),1) - 1), lists!$A$31:$B$37, 2, FALSE),"")</f>
        <v/>
      </c>
      <c r="M22" s="18" t="str">
        <f>IFERROR(__xludf.DUMMYFUNCTION("IFNA(VLOOKUP(IFNA(REGEXEXTRACT(E22, ""(Пасхи|50-ці|посту)""),""""),lists!$A$39:$B$41,2,FALSE),"""")"),"")</f>
        <v/>
      </c>
      <c r="N22" s="19" t="str">
        <f>IFERROR(__xludf.DUMMYFUNCTION("IFNA(REGEXEXTRACT(E22, ""\d{1,2}""),"""")"),"11")</f>
        <v>11</v>
      </c>
      <c r="O22" s="14" t="b">
        <f t="shared" si="3"/>
        <v>0</v>
      </c>
    </row>
    <row r="23">
      <c r="A23" s="13" t="s">
        <v>1078</v>
      </c>
      <c r="B23" s="9" t="str">
        <f t="shared" si="1"/>
        <v>Йо.</v>
      </c>
      <c r="C23" s="11" t="str">
        <f t="shared" si="2"/>
        <v>52</v>
      </c>
      <c r="D23" s="9"/>
      <c r="E23" s="21" t="s">
        <v>975</v>
      </c>
      <c r="F23" s="14"/>
      <c r="G23" s="15" t="s">
        <v>70</v>
      </c>
      <c r="H23" s="16" t="s">
        <v>29</v>
      </c>
      <c r="I23" s="73">
        <v>30.0</v>
      </c>
      <c r="J23" s="54"/>
      <c r="K23" s="55">
        <v>6.0</v>
      </c>
      <c r="L23" s="18">
        <f>IFNA( VLOOKUP(LEFT(E23, IFERROR(FIND(" ", E23, 1),1) - 1), lists!$A$31:$B$37, 2, FALSE),"")</f>
        <v>6</v>
      </c>
      <c r="M23" s="18" t="str">
        <f>IFERROR(__xludf.DUMMYFUNCTION("IFNA(VLOOKUP(IFNA(REGEXEXTRACT(E23, ""(Пасхи|50-ці|посту)""),""""),lists!$A$39:$B$41,2,FALSE),"""")"),"")</f>
        <v/>
      </c>
      <c r="N23" s="19" t="str">
        <f>IFERROR(__xludf.DUMMYFUNCTION("IFNA(REGEXEXTRACT(E23, ""\d{1,2}""),"""")"),"3")</f>
        <v>3</v>
      </c>
      <c r="O23" s="14" t="b">
        <f t="shared" si="3"/>
        <v>0</v>
      </c>
    </row>
    <row r="24">
      <c r="A24" s="13" t="s">
        <v>1084</v>
      </c>
      <c r="B24" s="9" t="str">
        <f t="shared" si="1"/>
        <v>Йо.</v>
      </c>
      <c r="C24" s="11" t="str">
        <f t="shared" si="2"/>
        <v>58</v>
      </c>
      <c r="D24" s="9"/>
      <c r="E24" s="13" t="s">
        <v>988</v>
      </c>
      <c r="F24" s="14"/>
      <c r="G24" s="15" t="s">
        <v>70</v>
      </c>
      <c r="H24" s="16" t="s">
        <v>71</v>
      </c>
      <c r="I24" s="73">
        <v>2.0</v>
      </c>
      <c r="J24" s="54"/>
      <c r="K24" s="55" t="s">
        <v>71</v>
      </c>
      <c r="L24" s="18" t="str">
        <f>IFNA( VLOOKUP(LEFT(E24, IFERROR(FIND(" ", E24, 1),1) - 1), lists!$A$31:$B$37, 2, FALSE),"")</f>
        <v/>
      </c>
      <c r="M24" s="18" t="str">
        <f>IFERROR(__xludf.DUMMYFUNCTION("IFNA(VLOOKUP(IFNA(REGEXEXTRACT(E24, ""(Пасхи|50-ці|посту)""),""""),lists!$A$39:$B$41,2,FALSE),"""")"),"")</f>
        <v/>
      </c>
      <c r="N24" s="19" t="str">
        <f>IFERROR(__xludf.DUMMYFUNCTION("IFNA(REGEXEXTRACT(E24, ""\d{1,2}""),"""")"),"2")</f>
        <v>2</v>
      </c>
      <c r="O24" s="14" t="b">
        <f t="shared" si="3"/>
        <v>0</v>
      </c>
    </row>
    <row r="25">
      <c r="A25" s="21" t="s">
        <v>1085</v>
      </c>
      <c r="B25" s="9" t="str">
        <f t="shared" si="1"/>
        <v>Йо.</v>
      </c>
      <c r="C25" s="11" t="str">
        <f t="shared" si="2"/>
        <v>59</v>
      </c>
      <c r="D25" s="9"/>
      <c r="E25" s="21" t="s">
        <v>1735</v>
      </c>
      <c r="F25" s="14"/>
      <c r="G25" s="15" t="s">
        <v>70</v>
      </c>
      <c r="H25" s="16" t="s">
        <v>71</v>
      </c>
      <c r="I25" s="73">
        <v>4.0</v>
      </c>
      <c r="J25" s="54"/>
      <c r="K25" s="55" t="s">
        <v>71</v>
      </c>
      <c r="L25" s="18" t="str">
        <f>IFNA( VLOOKUP(LEFT(E25, IFERROR(FIND(" ", E25, 1),1) - 1), lists!$A$31:$B$37, 2, FALSE),"")</f>
        <v/>
      </c>
      <c r="M25" s="18" t="str">
        <f>IFERROR(__xludf.DUMMYFUNCTION("IFNA(VLOOKUP(IFNA(REGEXEXTRACT(E25, ""(Пасхи|50-ці|посту)""),""""),lists!$A$39:$B$41,2,FALSE),"""")"),"")</f>
        <v/>
      </c>
      <c r="N25" s="19" t="str">
        <f>IFERROR(__xludf.DUMMYFUNCTION("IFNA(REGEXEXTRACT(E25, ""\d{1,2}""),"""")"),"4")</f>
        <v>4</v>
      </c>
      <c r="O25" s="14" t="b">
        <f t="shared" si="3"/>
        <v>0</v>
      </c>
    </row>
    <row r="26">
      <c r="A26" s="13" t="s">
        <v>1087</v>
      </c>
      <c r="B26" s="9" t="str">
        <f t="shared" si="1"/>
        <v>Йо.</v>
      </c>
      <c r="C26" s="11" t="str">
        <f t="shared" si="2"/>
        <v>60</v>
      </c>
      <c r="D26" s="9"/>
      <c r="E26" s="13" t="s">
        <v>1088</v>
      </c>
      <c r="F26" s="14"/>
      <c r="G26" s="15" t="s">
        <v>70</v>
      </c>
      <c r="H26" s="16" t="s">
        <v>71</v>
      </c>
      <c r="I26" s="73">
        <v>14.0</v>
      </c>
      <c r="J26" s="54"/>
      <c r="K26" s="55" t="s">
        <v>71</v>
      </c>
      <c r="L26" s="18" t="str">
        <f>IFNA( VLOOKUP(LEFT(E26, IFERROR(FIND(" ", E26, 1),1) - 1), lists!$A$31:$B$37, 2, FALSE),"")</f>
        <v/>
      </c>
      <c r="M26" s="18" t="str">
        <f>IFERROR(__xludf.DUMMYFUNCTION("IFNA(VLOOKUP(IFNA(REGEXEXTRACT(E26, ""(Пасхи|50-ці|посту)""),""""),lists!$A$39:$B$41,2,FALSE),"""")"),"")</f>
        <v/>
      </c>
      <c r="N26" s="19" t="str">
        <f>IFERROR(__xludf.DUMMYFUNCTION("IFNA(REGEXEXTRACT(E26, ""\d{1,2}""),"""")"),"14")</f>
        <v>14</v>
      </c>
      <c r="O26" s="14" t="b">
        <f t="shared" si="3"/>
        <v>0</v>
      </c>
    </row>
    <row r="27">
      <c r="A27" s="13" t="s">
        <v>1089</v>
      </c>
      <c r="B27" s="9" t="str">
        <f t="shared" si="1"/>
        <v>Йо.</v>
      </c>
      <c r="C27" s="11" t="str">
        <f t="shared" si="2"/>
        <v>61</v>
      </c>
      <c r="D27" s="12" t="s">
        <v>18</v>
      </c>
      <c r="E27" s="13" t="s">
        <v>1090</v>
      </c>
      <c r="F27" s="14"/>
      <c r="G27" s="15" t="s">
        <v>70</v>
      </c>
      <c r="H27" s="16" t="s">
        <v>71</v>
      </c>
      <c r="I27" s="73">
        <v>9.0</v>
      </c>
      <c r="J27" s="54"/>
      <c r="K27" s="55" t="s">
        <v>71</v>
      </c>
      <c r="L27" s="18" t="str">
        <f>IFNA( VLOOKUP(LEFT(E27, IFERROR(FIND(" ", E27, 1),1) - 1), lists!$A$31:$B$37, 2, FALSE),"")</f>
        <v/>
      </c>
      <c r="M27" s="18" t="str">
        <f>IFERROR(__xludf.DUMMYFUNCTION("IFNA(VLOOKUP(IFNA(REGEXEXTRACT(E27, ""(Пасхи|50-ці|посту)""),""""),lists!$A$39:$B$41,2,FALSE),"""")"),"")</f>
        <v/>
      </c>
      <c r="N27" s="19" t="str">
        <f>IFERROR(__xludf.DUMMYFUNCTION("IFNA(REGEXEXTRACT(E27, ""\d{1,2}""),"""")"),"9")</f>
        <v>9</v>
      </c>
      <c r="O27" s="14" t="b">
        <f t="shared" si="3"/>
        <v>0</v>
      </c>
    </row>
    <row r="28">
      <c r="A28" s="13" t="s">
        <v>1091</v>
      </c>
      <c r="B28" s="9" t="str">
        <f t="shared" si="1"/>
        <v>Йо.</v>
      </c>
      <c r="C28" s="11" t="str">
        <f t="shared" si="2"/>
        <v>61</v>
      </c>
      <c r="D28" s="12" t="s">
        <v>22</v>
      </c>
      <c r="E28" s="13" t="s">
        <v>998</v>
      </c>
      <c r="F28" s="9" t="s">
        <v>1736</v>
      </c>
      <c r="G28" s="15" t="s">
        <v>70</v>
      </c>
      <c r="H28" s="16" t="s">
        <v>71</v>
      </c>
      <c r="I28" s="73">
        <v>26.0</v>
      </c>
      <c r="J28" s="55"/>
      <c r="K28" s="55" t="s">
        <v>71</v>
      </c>
      <c r="L28" s="18" t="str">
        <f>IFNA( VLOOKUP(LEFT(E28, IFERROR(FIND(" ", E28, 1),1) - 1), lists!$A$31:$B$37, 2, FALSE),"")</f>
        <v/>
      </c>
      <c r="M28" s="18" t="str">
        <f>IFERROR(__xludf.DUMMYFUNCTION("IFNA(VLOOKUP(IFNA(REGEXEXTRACT(E28, ""(Пасхи|50-ці|посту)""),""""),lists!$A$39:$B$41,2,FALSE),"""")"),"")</f>
        <v/>
      </c>
      <c r="N28" s="19" t="str">
        <f>IFERROR(__xludf.DUMMYFUNCTION("IFNA(REGEXEXTRACT(E28, ""\d{1,2}""),"""")"),"26")</f>
        <v>26</v>
      </c>
      <c r="O28" s="14" t="b">
        <f t="shared" si="3"/>
        <v>0</v>
      </c>
    </row>
    <row r="29">
      <c r="A29" s="13" t="s">
        <v>1093</v>
      </c>
      <c r="B29" s="9" t="str">
        <f t="shared" si="1"/>
        <v>Йо.</v>
      </c>
      <c r="C29" s="11" t="str">
        <f t="shared" si="2"/>
        <v>62</v>
      </c>
      <c r="D29" s="9"/>
      <c r="E29" s="13" t="s">
        <v>1002</v>
      </c>
      <c r="F29" s="14"/>
      <c r="G29" s="15" t="s">
        <v>70</v>
      </c>
      <c r="H29" s="16" t="s">
        <v>71</v>
      </c>
      <c r="I29" s="73">
        <v>11.0</v>
      </c>
      <c r="J29" s="55"/>
      <c r="K29" s="55" t="s">
        <v>71</v>
      </c>
      <c r="L29" s="18" t="str">
        <f>IFNA( VLOOKUP(LEFT(E29, IFERROR(FIND(" ", E29, 1),1) - 1), lists!$A$31:$B$37, 2, FALSE),"")</f>
        <v/>
      </c>
      <c r="M29" s="18" t="str">
        <f>IFERROR(__xludf.DUMMYFUNCTION("IFNA(VLOOKUP(IFNA(REGEXEXTRACT(E29, ""(Пасхи|50-ці|посту)""),""""),lists!$A$39:$B$41,2,FALSE),"""")"),"")</f>
        <v/>
      </c>
      <c r="N29" s="19" t="str">
        <f>IFERROR(__xludf.DUMMYFUNCTION("IFNA(REGEXEXTRACT(E29, ""\d{1,2}""),"""")"),"11")</f>
        <v>11</v>
      </c>
      <c r="O29" s="14" t="b">
        <f t="shared" si="3"/>
        <v>0</v>
      </c>
    </row>
    <row r="30">
      <c r="A30" s="13" t="s">
        <v>1094</v>
      </c>
      <c r="B30" s="9" t="str">
        <f t="shared" si="1"/>
        <v>Йо.</v>
      </c>
      <c r="C30" s="11" t="str">
        <f t="shared" si="2"/>
        <v>63</v>
      </c>
      <c r="D30" s="9"/>
      <c r="E30" s="13" t="s">
        <v>1737</v>
      </c>
      <c r="F30" s="14"/>
      <c r="G30" s="15" t="s">
        <v>70</v>
      </c>
      <c r="H30" s="16" t="s">
        <v>71</v>
      </c>
      <c r="I30" s="73">
        <v>7.0</v>
      </c>
      <c r="J30" s="55"/>
      <c r="K30" s="55" t="s">
        <v>71</v>
      </c>
      <c r="L30" s="18" t="str">
        <f>IFNA( VLOOKUP(LEFT(E30, IFERROR(FIND(" ", E30, 1),1) - 1), lists!$A$31:$B$37, 2, FALSE),"")</f>
        <v/>
      </c>
      <c r="M30" s="18" t="str">
        <f>IFERROR(__xludf.DUMMYFUNCTION("IFNA(VLOOKUP(IFNA(REGEXEXTRACT(E30, ""(Пасхи|50-ці|посту)""),""""),lists!$A$39:$B$41,2,FALSE),"""")"),"")</f>
        <v/>
      </c>
      <c r="N30" s="19" t="str">
        <f>IFERROR(__xludf.DUMMYFUNCTION("IFNA(REGEXEXTRACT(E30, ""\d{1,2}""),"""")"),"7")</f>
        <v>7</v>
      </c>
      <c r="O30" s="14" t="b">
        <f t="shared" si="3"/>
        <v>0</v>
      </c>
    </row>
    <row r="31">
      <c r="A31" s="13" t="s">
        <v>1095</v>
      </c>
      <c r="B31" s="9" t="str">
        <f t="shared" si="1"/>
        <v>Йо.</v>
      </c>
      <c r="C31" s="11" t="str">
        <f t="shared" si="2"/>
        <v>64</v>
      </c>
      <c r="D31" s="9"/>
      <c r="E31" s="13" t="s">
        <v>1006</v>
      </c>
      <c r="F31" s="14"/>
      <c r="G31" s="15" t="s">
        <v>70</v>
      </c>
      <c r="H31" s="16" t="s">
        <v>71</v>
      </c>
      <c r="I31" s="73">
        <v>8.0</v>
      </c>
      <c r="J31" s="55"/>
      <c r="K31" s="55" t="s">
        <v>71</v>
      </c>
      <c r="L31" s="18" t="str">
        <f>IFNA( VLOOKUP(LEFT(E31, IFERROR(FIND(" ", E31, 1),1) - 1), lists!$A$31:$B$37, 2, FALSE),"")</f>
        <v/>
      </c>
      <c r="M31" s="18" t="str">
        <f>IFERROR(__xludf.DUMMYFUNCTION("IFNA(VLOOKUP(IFNA(REGEXEXTRACT(E31, ""(Пасхи|50-ці|посту)""),""""),lists!$A$39:$B$41,2,FALSE),"""")"),"")</f>
        <v/>
      </c>
      <c r="N31" s="19" t="str">
        <f>IFERROR(__xludf.DUMMYFUNCTION("IFNA(REGEXEXTRACT(E31, ""\d{1,2}""),"""")"),"8")</f>
        <v>8</v>
      </c>
      <c r="O31" s="14" t="b">
        <f t="shared" si="3"/>
        <v>0</v>
      </c>
    </row>
    <row r="32">
      <c r="A32" s="13" t="s">
        <v>1097</v>
      </c>
      <c r="B32" s="9" t="str">
        <f t="shared" si="1"/>
        <v>Йо.</v>
      </c>
      <c r="C32" s="11" t="str">
        <f t="shared" si="2"/>
        <v>65</v>
      </c>
      <c r="D32" s="26" t="s">
        <v>116</v>
      </c>
      <c r="E32" s="21" t="s">
        <v>1010</v>
      </c>
      <c r="F32" s="14"/>
      <c r="G32" s="15" t="s">
        <v>70</v>
      </c>
      <c r="H32" s="16"/>
      <c r="I32" s="73" t="s">
        <v>71</v>
      </c>
      <c r="J32" s="55"/>
      <c r="K32" s="55" t="s">
        <v>71</v>
      </c>
      <c r="L32" s="18" t="str">
        <f>IFNA( VLOOKUP(LEFT(E32, IFERROR(FIND(" ", E32, 1),1) - 1), lists!$A$31:$B$37, 2, FALSE),"")</f>
        <v/>
      </c>
      <c r="M32" s="18" t="str">
        <f>IFERROR(__xludf.DUMMYFUNCTION("IFNA(VLOOKUP(IFNA(REGEXEXTRACT(E32, ""(Пасхи|50-ці|посту)""),""""),lists!$A$39:$B$41,2,FALSE),"""")"),"")</f>
        <v/>
      </c>
      <c r="N32" s="19" t="str">
        <f>IFERROR(__xludf.DUMMYFUNCTION("IFNA(REGEXEXTRACT(E32, ""\d{1,2}""),"""")"),"")</f>
        <v/>
      </c>
      <c r="O32" s="14" t="b">
        <f t="shared" si="3"/>
        <v>0</v>
      </c>
    </row>
    <row r="33">
      <c r="A33" s="13" t="s">
        <v>1098</v>
      </c>
      <c r="B33" s="9" t="str">
        <f t="shared" si="1"/>
        <v>Йо.</v>
      </c>
      <c r="C33" s="11" t="str">
        <f t="shared" si="2"/>
        <v>65</v>
      </c>
      <c r="D33" s="26" t="s">
        <v>18</v>
      </c>
      <c r="E33" s="13" t="s">
        <v>1012</v>
      </c>
      <c r="F33" s="14"/>
      <c r="G33" s="15" t="s">
        <v>70</v>
      </c>
      <c r="H33" s="16" t="s">
        <v>24</v>
      </c>
      <c r="I33" s="53">
        <v>7.0</v>
      </c>
      <c r="J33" s="54"/>
      <c r="K33" s="55">
        <v>7.0</v>
      </c>
      <c r="L33" s="18" t="str">
        <f>IFNA( VLOOKUP(LEFT(E33, IFERROR(FIND(" ", E33, 1),1) - 1), lists!$A$31:$B$37, 2, FALSE),"")</f>
        <v/>
      </c>
      <c r="M33" s="18" t="str">
        <f>IFERROR(__xludf.DUMMYFUNCTION("IFNA(VLOOKUP(IFNA(REGEXEXTRACT(E33, ""(Пасхи|50-ці|посту)""),""""),lists!$A$39:$B$41,2,FALSE),"""")"),"")</f>
        <v/>
      </c>
      <c r="N33" s="19" t="str">
        <f>IFERROR(__xludf.DUMMYFUNCTION("IFNA(REGEXEXTRACT(E33, ""\d{1,2}""),"""")"),"9")</f>
        <v>9</v>
      </c>
      <c r="O33" s="14" t="b">
        <f t="shared" si="3"/>
        <v>0</v>
      </c>
    </row>
    <row r="34">
      <c r="A34" s="13" t="s">
        <v>1099</v>
      </c>
      <c r="B34" s="9" t="str">
        <f t="shared" si="1"/>
        <v>Йо.</v>
      </c>
      <c r="C34" s="11" t="str">
        <f t="shared" si="2"/>
        <v>66</v>
      </c>
      <c r="D34" s="9"/>
      <c r="E34" s="13" t="s">
        <v>1014</v>
      </c>
      <c r="F34" s="14"/>
      <c r="G34" s="15" t="s">
        <v>70</v>
      </c>
      <c r="H34" s="16"/>
      <c r="I34" s="73">
        <v>10.0</v>
      </c>
      <c r="J34" s="55"/>
      <c r="K34" s="55" t="s">
        <v>71</v>
      </c>
      <c r="L34" s="18" t="str">
        <f>IFNA( VLOOKUP(LEFT(E34, IFERROR(FIND(" ", E34, 1),1) - 1), lists!$A$31:$B$37, 2, FALSE),"")</f>
        <v/>
      </c>
      <c r="M34" s="18" t="str">
        <f>IFERROR(__xludf.DUMMYFUNCTION("IFNA(VLOOKUP(IFNA(REGEXEXTRACT(E34, ""(Пасхи|50-ці|посту)""),""""),lists!$A$39:$B$41,2,FALSE),"""")"),"")</f>
        <v/>
      </c>
      <c r="N34" s="19" t="str">
        <f>IFERROR(__xludf.DUMMYFUNCTION("IFNA(REGEXEXTRACT(E34, ""\d{1,2}""),"""")"),"10")</f>
        <v>10</v>
      </c>
      <c r="O34" s="14" t="b">
        <f t="shared" si="3"/>
        <v>0</v>
      </c>
    </row>
    <row r="35">
      <c r="A35" s="13" t="s">
        <v>1100</v>
      </c>
      <c r="B35" s="9" t="str">
        <f t="shared" si="1"/>
        <v>Йо.</v>
      </c>
      <c r="C35" s="11" t="str">
        <f t="shared" si="2"/>
        <v>67</v>
      </c>
      <c r="D35" s="9"/>
      <c r="E35" s="13" t="s">
        <v>1738</v>
      </c>
      <c r="F35" s="9" t="s">
        <v>1017</v>
      </c>
      <c r="G35" s="15" t="s">
        <v>70</v>
      </c>
      <c r="H35" s="16" t="s">
        <v>24</v>
      </c>
      <c r="I35" s="53">
        <v>7.0</v>
      </c>
      <c r="J35" s="55"/>
      <c r="K35" s="55">
        <v>6.0</v>
      </c>
      <c r="L35" s="18" t="str">
        <f>IFNA( VLOOKUP(LEFT(E35, IFERROR(FIND(" ", E35, 1),1) - 1), lists!$A$31:$B$37, 2, FALSE),"")</f>
        <v/>
      </c>
      <c r="M35" s="18" t="str">
        <f>IFERROR(__xludf.DUMMYFUNCTION("IFNA(VLOOKUP(IFNA(REGEXEXTRACT(E35, ""(Пасхи|50-ці|посту)""),""""),lists!$A$39:$B$41,2,FALSE),"""")"),"")</f>
        <v/>
      </c>
      <c r="N35" s="19" t="str">
        <f>IFERROR(__xludf.DUMMYFUNCTION("IFNA(REGEXEXTRACT(E35, ""\d{1,2}""),"""")"),"11")</f>
        <v>11</v>
      </c>
      <c r="O35" s="14" t="b">
        <f t="shared" si="3"/>
        <v>0</v>
      </c>
    </row>
    <row r="36">
      <c r="A36" s="13" t="s">
        <v>1101</v>
      </c>
      <c r="B36" s="9" t="str">
        <f t="shared" si="1"/>
        <v>Лк.</v>
      </c>
      <c r="C36" s="11" t="str">
        <f t="shared" si="2"/>
        <v>1</v>
      </c>
      <c r="D36" s="9"/>
      <c r="E36" s="13" t="s">
        <v>1103</v>
      </c>
      <c r="F36" s="14"/>
      <c r="G36" s="15" t="s">
        <v>70</v>
      </c>
      <c r="H36" s="16" t="s">
        <v>71</v>
      </c>
      <c r="I36" s="73" t="s">
        <v>71</v>
      </c>
      <c r="J36" s="55"/>
      <c r="K36" s="55" t="s">
        <v>71</v>
      </c>
      <c r="L36" s="18" t="str">
        <f>IFNA( VLOOKUP(LEFT(E36, IFERROR(FIND(" ", E36, 1),1) - 1), lists!$A$31:$B$37, 2, FALSE),"")</f>
        <v/>
      </c>
      <c r="M36" s="18" t="str">
        <f>IFERROR(__xludf.DUMMYFUNCTION("IFNA(VLOOKUP(IFNA(REGEXEXTRACT(E36, ""(Пасхи|50-ці|посту)""),""""),lists!$A$39:$B$41,2,FALSE),"""")"),"")</f>
        <v/>
      </c>
      <c r="N36" s="19" t="str">
        <f>IFERROR(__xludf.DUMMYFUNCTION("IFNA(REGEXEXTRACT(E36, ""\d{1,2}""),"""")"),"")</f>
        <v/>
      </c>
      <c r="O36" s="14" t="b">
        <f t="shared" si="3"/>
        <v>0</v>
      </c>
    </row>
    <row r="37">
      <c r="A37" s="13" t="s">
        <v>1104</v>
      </c>
      <c r="B37" s="9" t="str">
        <f t="shared" si="1"/>
        <v>Лк.</v>
      </c>
      <c r="C37" s="11" t="str">
        <f t="shared" si="2"/>
        <v>2</v>
      </c>
      <c r="D37" s="9"/>
      <c r="E37" s="13" t="s">
        <v>1105</v>
      </c>
      <c r="F37" s="14"/>
      <c r="G37" s="15" t="s">
        <v>70</v>
      </c>
      <c r="H37" s="16" t="s">
        <v>71</v>
      </c>
      <c r="I37" s="73">
        <v>23.0</v>
      </c>
      <c r="J37" s="54"/>
      <c r="K37" s="55" t="s">
        <v>71</v>
      </c>
      <c r="L37" s="18" t="str">
        <f>IFNA( VLOOKUP(LEFT(E37, IFERROR(FIND(" ", E37, 1),1) - 1), lists!$A$31:$B$37, 2, FALSE),"")</f>
        <v/>
      </c>
      <c r="M37" s="18" t="str">
        <f>IFERROR(__xludf.DUMMYFUNCTION("IFNA(VLOOKUP(IFNA(REGEXEXTRACT(E37, ""(Пасхи|50-ці|посту)""),""""),lists!$A$39:$B$41,2,FALSE),"""")"),"")</f>
        <v/>
      </c>
      <c r="N37" s="19" t="str">
        <f>IFERROR(__xludf.DUMMYFUNCTION("IFNA(REGEXEXTRACT(E37, ""\d{1,2}""),"""")"),"23")</f>
        <v>23</v>
      </c>
      <c r="O37" s="14" t="b">
        <f t="shared" si="3"/>
        <v>0</v>
      </c>
    </row>
    <row r="38">
      <c r="A38" s="13" t="s">
        <v>1106</v>
      </c>
      <c r="B38" s="9" t="str">
        <f t="shared" si="1"/>
        <v>Лк.</v>
      </c>
      <c r="C38" s="11" t="str">
        <f t="shared" si="2"/>
        <v>3</v>
      </c>
      <c r="D38" s="12" t="s">
        <v>18</v>
      </c>
      <c r="E38" s="13" t="s">
        <v>1107</v>
      </c>
      <c r="F38" s="14"/>
      <c r="G38" s="15" t="s">
        <v>70</v>
      </c>
      <c r="H38" s="16" t="s">
        <v>71</v>
      </c>
      <c r="I38" s="73" t="s">
        <v>71</v>
      </c>
      <c r="J38" s="55"/>
      <c r="K38" s="55" t="s">
        <v>71</v>
      </c>
      <c r="L38" s="18" t="str">
        <f>IFNA( VLOOKUP(LEFT(E38, IFERROR(FIND(" ", E38, 1),1) - 1), lists!$A$31:$B$37, 2, FALSE),"")</f>
        <v/>
      </c>
      <c r="M38" s="18" t="str">
        <f>IFERROR(__xludf.DUMMYFUNCTION("IFNA(VLOOKUP(IFNA(REGEXEXTRACT(E38, ""(Пасхи|50-ці|посту)""),""""),lists!$A$39:$B$41,2,FALSE),"""")"),"")</f>
        <v/>
      </c>
      <c r="N38" s="19" t="str">
        <f>IFERROR(__xludf.DUMMYFUNCTION("IFNA(REGEXEXTRACT(E38, ""\d{1,2}""),"""")"),"")</f>
        <v/>
      </c>
      <c r="O38" s="14" t="b">
        <f t="shared" si="3"/>
        <v>0</v>
      </c>
    </row>
    <row r="39">
      <c r="A39" s="13" t="s">
        <v>1108</v>
      </c>
      <c r="B39" s="9" t="str">
        <f t="shared" si="1"/>
        <v>Лк.</v>
      </c>
      <c r="C39" s="11" t="str">
        <f t="shared" si="2"/>
        <v>3</v>
      </c>
      <c r="D39" s="12" t="s">
        <v>22</v>
      </c>
      <c r="E39" s="13" t="s">
        <v>1109</v>
      </c>
      <c r="F39" s="14"/>
      <c r="G39" s="15" t="s">
        <v>70</v>
      </c>
      <c r="H39" s="16" t="s">
        <v>71</v>
      </c>
      <c r="I39" s="73" t="s">
        <v>71</v>
      </c>
      <c r="J39" s="55"/>
      <c r="K39" s="55" t="s">
        <v>71</v>
      </c>
      <c r="L39" s="18" t="str">
        <f>IFNA( VLOOKUP(LEFT(E39, IFERROR(FIND(" ", E39, 1),1) - 1), lists!$A$31:$B$37, 2, FALSE),"")</f>
        <v/>
      </c>
      <c r="M39" s="18" t="str">
        <f>IFERROR(__xludf.DUMMYFUNCTION("IFNA(VLOOKUP(IFNA(REGEXEXTRACT(E39, ""(Пасхи|50-ці|посту)""),""""),lists!$A$39:$B$41,2,FALSE),"""")"),"")</f>
        <v/>
      </c>
      <c r="N39" s="19" t="str">
        <f>IFERROR(__xludf.DUMMYFUNCTION("IFNA(REGEXEXTRACT(E39, ""\d{1,2}""),"""")"),"")</f>
        <v/>
      </c>
      <c r="O39" s="14" t="b">
        <f t="shared" si="3"/>
        <v>0</v>
      </c>
    </row>
    <row r="40">
      <c r="A40" s="79" t="s">
        <v>1110</v>
      </c>
      <c r="B40" s="9" t="str">
        <f t="shared" si="1"/>
        <v>Лк.</v>
      </c>
      <c r="C40" s="11" t="str">
        <f t="shared" si="2"/>
        <v>4</v>
      </c>
      <c r="D40" s="9"/>
      <c r="E40" s="13" t="s">
        <v>1111</v>
      </c>
      <c r="F40" s="14"/>
      <c r="G40" s="15" t="s">
        <v>70</v>
      </c>
      <c r="H40" s="16" t="s">
        <v>71</v>
      </c>
      <c r="I40" s="73" t="s">
        <v>71</v>
      </c>
      <c r="J40" s="55"/>
      <c r="K40" s="55" t="s">
        <v>71</v>
      </c>
      <c r="L40" s="18" t="str">
        <f>IFNA( VLOOKUP(LEFT(E40, IFERROR(FIND(" ", E40, 1),1) - 1), lists!$A$31:$B$37, 2, FALSE),"")</f>
        <v/>
      </c>
      <c r="M40" s="18" t="str">
        <f>IFERROR(__xludf.DUMMYFUNCTION("IFNA(VLOOKUP(IFNA(REGEXEXTRACT(E40, ""(Пасхи|50-ці|посту)""),""""),lists!$A$39:$B$41,2,FALSE),"""")"),"")</f>
        <v/>
      </c>
      <c r="N40" s="19" t="str">
        <f>IFERROR(__xludf.DUMMYFUNCTION("IFNA(REGEXEXTRACT(E40, ""\d{1,2}""),"""")"),"")</f>
        <v/>
      </c>
      <c r="O40" s="14" t="b">
        <f t="shared" si="3"/>
        <v>0</v>
      </c>
    </row>
    <row r="41">
      <c r="A41" s="13" t="s">
        <v>1112</v>
      </c>
      <c r="B41" s="9" t="str">
        <f t="shared" si="1"/>
        <v>Лк.</v>
      </c>
      <c r="C41" s="11" t="str">
        <f t="shared" si="2"/>
        <v>5</v>
      </c>
      <c r="D41" s="9"/>
      <c r="E41" s="13" t="s">
        <v>1113</v>
      </c>
      <c r="F41" s="14"/>
      <c r="G41" s="15" t="s">
        <v>70</v>
      </c>
      <c r="H41" s="16" t="s">
        <v>71</v>
      </c>
      <c r="I41" s="73">
        <v>3.0</v>
      </c>
      <c r="J41" s="55"/>
      <c r="K41" s="55" t="s">
        <v>71</v>
      </c>
      <c r="L41" s="18" t="str">
        <f>IFNA( VLOOKUP(LEFT(E41, IFERROR(FIND(" ", E41, 1),1) - 1), lists!$A$31:$B$37, 2, FALSE),"")</f>
        <v/>
      </c>
      <c r="M41" s="18" t="str">
        <f>IFERROR(__xludf.DUMMYFUNCTION("IFNA(VLOOKUP(IFNA(REGEXEXTRACT(E41, ""(Пасхи|50-ці|посту)""),""""),lists!$A$39:$B$41,2,FALSE),"""")"),"")</f>
        <v/>
      </c>
      <c r="N41" s="19" t="str">
        <f>IFERROR(__xludf.DUMMYFUNCTION("IFNA(REGEXEXTRACT(E41, ""\d{1,2}""),"""")"),"3")</f>
        <v>3</v>
      </c>
      <c r="O41" s="14" t="b">
        <f t="shared" si="3"/>
        <v>0</v>
      </c>
    </row>
    <row r="42">
      <c r="A42" s="79" t="s">
        <v>1114</v>
      </c>
      <c r="B42" s="9" t="str">
        <f t="shared" si="1"/>
        <v>Лк.</v>
      </c>
      <c r="C42" s="11" t="str">
        <f t="shared" si="2"/>
        <v>6</v>
      </c>
      <c r="D42" s="9"/>
      <c r="E42" s="13" t="s">
        <v>1115</v>
      </c>
      <c r="F42" s="14"/>
      <c r="G42" s="15" t="s">
        <v>70</v>
      </c>
      <c r="H42" s="16" t="s">
        <v>71</v>
      </c>
      <c r="I42" s="73" t="s">
        <v>71</v>
      </c>
      <c r="J42" s="54"/>
      <c r="K42" s="55" t="s">
        <v>71</v>
      </c>
      <c r="L42" s="18" t="str">
        <f>IFNA( VLOOKUP(LEFT(E42, IFERROR(FIND(" ", E42, 1),1) - 1), lists!$A$31:$B$37, 2, FALSE),"")</f>
        <v/>
      </c>
      <c r="M42" s="18" t="str">
        <f>IFERROR(__xludf.DUMMYFUNCTION("IFNA(VLOOKUP(IFNA(REGEXEXTRACT(E42, ""(Пасхи|50-ці|посту)""),""""),lists!$A$39:$B$41,2,FALSE),"""")"),"")</f>
        <v/>
      </c>
      <c r="N42" s="19" t="str">
        <f>IFERROR(__xludf.DUMMYFUNCTION("IFNA(REGEXEXTRACT(E42, ""\d{1,2}""),"""")"),"")</f>
        <v/>
      </c>
      <c r="O42" s="14" t="b">
        <f t="shared" si="3"/>
        <v>0</v>
      </c>
    </row>
    <row r="43">
      <c r="A43" s="13" t="s">
        <v>1116</v>
      </c>
      <c r="B43" s="9" t="str">
        <f t="shared" si="1"/>
        <v>Лк.</v>
      </c>
      <c r="C43" s="11" t="str">
        <f t="shared" si="2"/>
        <v>7</v>
      </c>
      <c r="D43" s="9"/>
      <c r="E43" s="21" t="s">
        <v>1117</v>
      </c>
      <c r="F43" s="14"/>
      <c r="G43" s="15" t="s">
        <v>70</v>
      </c>
      <c r="H43" s="16" t="s">
        <v>71</v>
      </c>
      <c r="I43" s="73" t="s">
        <v>71</v>
      </c>
      <c r="J43" s="55"/>
      <c r="K43" s="55" t="s">
        <v>71</v>
      </c>
      <c r="L43" s="18" t="str">
        <f>IFNA( VLOOKUP(LEFT(E43, IFERROR(FIND(" ", E43, 1),1) - 1), lists!$A$31:$B$37, 2, FALSE),"")</f>
        <v/>
      </c>
      <c r="M43" s="18" t="str">
        <f>IFERROR(__xludf.DUMMYFUNCTION("IFNA(VLOOKUP(IFNA(REGEXEXTRACT(E43, ""(Пасхи|50-ці|посту)""),""""),lists!$A$39:$B$41,2,FALSE),"""")"),"")</f>
        <v/>
      </c>
      <c r="N43" s="19" t="str">
        <f>IFERROR(__xludf.DUMMYFUNCTION("IFNA(REGEXEXTRACT(E43, ""\d{1,2}""),"""")"),"")</f>
        <v/>
      </c>
      <c r="O43" s="14" t="b">
        <f t="shared" si="3"/>
        <v>0</v>
      </c>
    </row>
    <row r="44">
      <c r="A44" s="13" t="s">
        <v>1118</v>
      </c>
      <c r="B44" s="9" t="str">
        <f t="shared" si="1"/>
        <v>Лк.</v>
      </c>
      <c r="C44" s="11" t="str">
        <f t="shared" si="2"/>
        <v>8</v>
      </c>
      <c r="D44" s="80" t="s">
        <v>18</v>
      </c>
      <c r="E44" s="13" t="s">
        <v>1119</v>
      </c>
      <c r="F44" s="14"/>
      <c r="G44" s="15" t="s">
        <v>70</v>
      </c>
      <c r="H44" s="16" t="s">
        <v>71</v>
      </c>
      <c r="I44" s="73" t="s">
        <v>71</v>
      </c>
      <c r="J44" s="54"/>
      <c r="K44" s="55" t="s">
        <v>71</v>
      </c>
      <c r="L44" s="18" t="str">
        <f>IFNA( VLOOKUP(LEFT(E44, IFERROR(FIND(" ", E44, 1),1) - 1), lists!$A$31:$B$37, 2, FALSE),"")</f>
        <v/>
      </c>
      <c r="M44" s="18" t="str">
        <f>IFERROR(__xludf.DUMMYFUNCTION("IFNA(VLOOKUP(IFNA(REGEXEXTRACT(E44, ""(Пасхи|50-ці|посту)""),""""),lists!$A$39:$B$41,2,FALSE),"""")"),"")</f>
        <v/>
      </c>
      <c r="N44" s="19" t="str">
        <f>IFERROR(__xludf.DUMMYFUNCTION("IFNA(REGEXEXTRACT(E44, ""\d{1,2}""),"""")"),"")</f>
        <v/>
      </c>
      <c r="O44" s="14" t="b">
        <f t="shared" si="3"/>
        <v>0</v>
      </c>
    </row>
    <row r="45">
      <c r="A45" s="13" t="s">
        <v>1120</v>
      </c>
      <c r="B45" s="9" t="str">
        <f t="shared" si="1"/>
        <v>Лк.</v>
      </c>
      <c r="C45" s="11" t="str">
        <f t="shared" si="2"/>
        <v>8</v>
      </c>
      <c r="D45" s="80" t="s">
        <v>22</v>
      </c>
      <c r="E45" s="13" t="s">
        <v>1121</v>
      </c>
      <c r="F45" s="9"/>
      <c r="G45" s="15" t="s">
        <v>70</v>
      </c>
      <c r="H45" s="16" t="s">
        <v>71</v>
      </c>
      <c r="I45" s="73" t="s">
        <v>71</v>
      </c>
      <c r="J45" s="55"/>
      <c r="K45" s="55" t="s">
        <v>71</v>
      </c>
      <c r="L45" s="18" t="str">
        <f>IFNA( VLOOKUP(LEFT(E45, IFERROR(FIND(" ", E45, 1),1) - 1), lists!$A$31:$B$37, 2, FALSE),"")</f>
        <v/>
      </c>
      <c r="M45" s="18" t="str">
        <f>IFERROR(__xludf.DUMMYFUNCTION("IFNA(VLOOKUP(IFNA(REGEXEXTRACT(E45, ""(Пасхи|50-ці|посту)""),""""),lists!$A$39:$B$41,2,FALSE),"""")"),"")</f>
        <v/>
      </c>
      <c r="N45" s="19" t="str">
        <f>IFERROR(__xludf.DUMMYFUNCTION("IFNA(REGEXEXTRACT(E45, ""\d{1,2}""),"""")"),"")</f>
        <v/>
      </c>
      <c r="O45" s="14" t="b">
        <f t="shared" si="3"/>
        <v>0</v>
      </c>
    </row>
    <row r="46">
      <c r="A46" s="13" t="s">
        <v>1122</v>
      </c>
      <c r="B46" s="9" t="str">
        <f t="shared" si="1"/>
        <v>Лк.</v>
      </c>
      <c r="C46" s="11" t="str">
        <f t="shared" si="2"/>
        <v>9</v>
      </c>
      <c r="D46" s="9"/>
      <c r="E46" s="13" t="s">
        <v>1123</v>
      </c>
      <c r="F46" s="14"/>
      <c r="G46" s="15" t="s">
        <v>70</v>
      </c>
      <c r="H46" s="16" t="s">
        <v>71</v>
      </c>
      <c r="I46" s="73" t="s">
        <v>71</v>
      </c>
      <c r="J46" s="55"/>
      <c r="K46" s="55" t="s">
        <v>71</v>
      </c>
      <c r="L46" s="18" t="str">
        <f>IFNA( VLOOKUP(LEFT(E46, IFERROR(FIND(" ", E46, 1),1) - 1), lists!$A$31:$B$37, 2, FALSE),"")</f>
        <v/>
      </c>
      <c r="M46" s="18" t="str">
        <f>IFERROR(__xludf.DUMMYFUNCTION("IFNA(VLOOKUP(IFNA(REGEXEXTRACT(E46, ""(Пасхи|50-ці|посту)""),""""),lists!$A$39:$B$41,2,FALSE),"""")"),"")</f>
        <v/>
      </c>
      <c r="N46" s="19" t="str">
        <f>IFERROR(__xludf.DUMMYFUNCTION("IFNA(REGEXEXTRACT(E46, ""\d{1,2}""),"""")"),"")</f>
        <v/>
      </c>
      <c r="O46" s="14" t="b">
        <f t="shared" si="3"/>
        <v>0</v>
      </c>
    </row>
    <row r="47">
      <c r="A47" s="13" t="s">
        <v>1130</v>
      </c>
      <c r="B47" s="9" t="str">
        <f t="shared" si="1"/>
        <v>Лк.</v>
      </c>
      <c r="C47" s="11" t="str">
        <f t="shared" si="2"/>
        <v>13</v>
      </c>
      <c r="D47" s="9"/>
      <c r="E47" s="13" t="s">
        <v>1131</v>
      </c>
      <c r="F47" s="36"/>
      <c r="G47" s="15" t="s">
        <v>70</v>
      </c>
      <c r="H47" s="16" t="s">
        <v>29</v>
      </c>
      <c r="I47" s="73">
        <v>18.0</v>
      </c>
      <c r="J47" s="54"/>
      <c r="K47" s="55">
        <v>4.0</v>
      </c>
      <c r="L47" s="18">
        <f>IFNA( VLOOKUP(LEFT(E47, IFERROR(FIND(" ", E47, 1),1) - 1), lists!$A$31:$B$37, 2, FALSE),"")</f>
        <v>4</v>
      </c>
      <c r="M47" s="18" t="str">
        <f>IFERROR(__xludf.DUMMYFUNCTION("IFNA(VLOOKUP(IFNA(REGEXEXTRACT(E47, ""(Пасхи|50-ці|посту)""),""""),lists!$A$39:$B$41,2,FALSE),"""")"),"")</f>
        <v/>
      </c>
      <c r="N47" s="19" t="str">
        <f>IFERROR(__xludf.DUMMYFUNCTION("IFNA(REGEXEXTRACT(E47, ""\d{1,2}""),"""")"),"18")</f>
        <v>18</v>
      </c>
      <c r="O47" s="14" t="b">
        <f t="shared" si="3"/>
        <v>0</v>
      </c>
    </row>
    <row r="48">
      <c r="A48" s="13" t="s">
        <v>1132</v>
      </c>
      <c r="B48" s="9" t="str">
        <f t="shared" si="1"/>
        <v>Лк.</v>
      </c>
      <c r="C48" s="11" t="str">
        <f t="shared" si="2"/>
        <v>14</v>
      </c>
      <c r="D48" s="9"/>
      <c r="E48" s="13" t="s">
        <v>1133</v>
      </c>
      <c r="F48" s="36"/>
      <c r="G48" s="15" t="s">
        <v>70</v>
      </c>
      <c r="H48" s="16" t="s">
        <v>29</v>
      </c>
      <c r="I48" s="73">
        <v>18.0</v>
      </c>
      <c r="J48" s="54"/>
      <c r="K48" s="55">
        <v>5.0</v>
      </c>
      <c r="L48" s="18">
        <f>IFNA( VLOOKUP(LEFT(E48, IFERROR(FIND(" ", E48, 1),1) - 1), lists!$A$31:$B$37, 2, FALSE),"")</f>
        <v>5</v>
      </c>
      <c r="M48" s="18" t="str">
        <f>IFERROR(__xludf.DUMMYFUNCTION("IFNA(VLOOKUP(IFNA(REGEXEXTRACT(E48, ""(Пасхи|50-ці|посту)""),""""),lists!$A$39:$B$41,2,FALSE),"""")"),"")</f>
        <v/>
      </c>
      <c r="N48" s="19" t="str">
        <f>IFERROR(__xludf.DUMMYFUNCTION("IFNA(REGEXEXTRACT(E48, ""\d{1,2}""),"""")"),"18")</f>
        <v>18</v>
      </c>
      <c r="O48" s="14" t="b">
        <f t="shared" si="3"/>
        <v>0</v>
      </c>
    </row>
    <row r="49">
      <c r="A49" s="79" t="s">
        <v>1152</v>
      </c>
      <c r="B49" s="9" t="str">
        <f t="shared" si="1"/>
        <v>Лк.</v>
      </c>
      <c r="C49" s="11" t="str">
        <f t="shared" si="2"/>
        <v>24</v>
      </c>
      <c r="D49" s="9"/>
      <c r="E49" s="13" t="s">
        <v>1739</v>
      </c>
      <c r="F49" s="36"/>
      <c r="G49" s="15" t="s">
        <v>70</v>
      </c>
      <c r="H49" s="16" t="s">
        <v>29</v>
      </c>
      <c r="I49" s="73">
        <v>19.0</v>
      </c>
      <c r="J49" s="54"/>
      <c r="K49" s="55">
        <v>5.0</v>
      </c>
      <c r="L49" s="18">
        <f>IFNA( VLOOKUP(LEFT(E49, IFERROR(FIND(" ", E49, 1),1) - 1), lists!$A$31:$B$37, 2, FALSE),"")</f>
        <v>5</v>
      </c>
      <c r="M49" s="18" t="str">
        <f>IFERROR(__xludf.DUMMYFUNCTION("IFNA(VLOOKUP(IFNA(REGEXEXTRACT(E49, ""(Пасхи|50-ці|посту)""),""""),lists!$A$39:$B$41,2,FALSE),"""")"),"")</f>
        <v/>
      </c>
      <c r="N49" s="19" t="str">
        <f>IFERROR(__xludf.DUMMYFUNCTION("IFNA(REGEXEXTRACT(E49, ""\d{1,2}""),"""")"),"19")</f>
        <v>19</v>
      </c>
      <c r="O49" s="14" t="b">
        <f t="shared" si="3"/>
        <v>0</v>
      </c>
    </row>
    <row r="50">
      <c r="A50" s="13" t="s">
        <v>1166</v>
      </c>
      <c r="B50" s="9" t="str">
        <f t="shared" si="1"/>
        <v>Лк.</v>
      </c>
      <c r="C50" s="11" t="str">
        <f t="shared" si="2"/>
        <v>31</v>
      </c>
      <c r="D50" s="9"/>
      <c r="E50" s="13" t="s">
        <v>1167</v>
      </c>
      <c r="F50" s="36"/>
      <c r="G50" s="15" t="s">
        <v>70</v>
      </c>
      <c r="H50" s="16" t="s">
        <v>29</v>
      </c>
      <c r="I50" s="73">
        <v>20.0</v>
      </c>
      <c r="J50" s="54"/>
      <c r="K50" s="55">
        <v>4.0</v>
      </c>
      <c r="L50" s="18">
        <f>IFNA( VLOOKUP(LEFT(E50, IFERROR(FIND(" ", E50, 1),1) - 1), lists!$A$31:$B$37, 2, FALSE),"")</f>
        <v>4</v>
      </c>
      <c r="M50" s="18" t="str">
        <f>IFERROR(__xludf.DUMMYFUNCTION("IFNA(VLOOKUP(IFNA(REGEXEXTRACT(E50, ""(Пасхи|50-ці|посту)""),""""),lists!$A$39:$B$41,2,FALSE),"""")"),"")</f>
        <v/>
      </c>
      <c r="N50" s="19" t="str">
        <f>IFERROR(__xludf.DUMMYFUNCTION("IFNA(REGEXEXTRACT(E50, ""\d{1,2}""),"""")"),"20")</f>
        <v>20</v>
      </c>
      <c r="O50" s="14" t="b">
        <f t="shared" si="3"/>
        <v>0</v>
      </c>
    </row>
    <row r="51">
      <c r="A51" s="13" t="s">
        <v>1170</v>
      </c>
      <c r="B51" s="9" t="str">
        <f t="shared" si="1"/>
        <v>Лк.</v>
      </c>
      <c r="C51" s="11" t="str">
        <f t="shared" si="2"/>
        <v>33</v>
      </c>
      <c r="D51" s="9"/>
      <c r="E51" s="13" t="s">
        <v>1171</v>
      </c>
      <c r="F51" s="36"/>
      <c r="G51" s="15" t="s">
        <v>70</v>
      </c>
      <c r="H51" s="16" t="s">
        <v>29</v>
      </c>
      <c r="I51" s="73">
        <v>21.0</v>
      </c>
      <c r="J51" s="54"/>
      <c r="K51" s="55">
        <v>1.0</v>
      </c>
      <c r="L51" s="18">
        <f>IFNA( VLOOKUP(LEFT(E51, IFERROR(FIND(" ", E51, 1),1) - 1), lists!$A$31:$B$37, 2, FALSE),"")</f>
        <v>1</v>
      </c>
      <c r="M51" s="18" t="str">
        <f>IFERROR(__xludf.DUMMYFUNCTION("IFNA(VLOOKUP(IFNA(REGEXEXTRACT(E51, ""(Пасхи|50-ці|посту)""),""""),lists!$A$39:$B$41,2,FALSE),"""")"),"")</f>
        <v/>
      </c>
      <c r="N51" s="19" t="str">
        <f>IFERROR(__xludf.DUMMYFUNCTION("IFNA(REGEXEXTRACT(E51, ""\d{1,2}""),"""")"),"21")</f>
        <v>21</v>
      </c>
      <c r="O51" s="14" t="b">
        <f t="shared" si="3"/>
        <v>0</v>
      </c>
    </row>
    <row r="52">
      <c r="A52" s="13" t="s">
        <v>1176</v>
      </c>
      <c r="B52" s="9" t="str">
        <f t="shared" si="1"/>
        <v>Лк.</v>
      </c>
      <c r="C52" s="11" t="str">
        <f t="shared" si="2"/>
        <v>36</v>
      </c>
      <c r="D52" s="9"/>
      <c r="E52" s="13" t="s">
        <v>1177</v>
      </c>
      <c r="F52" s="36"/>
      <c r="G52" s="15" t="s">
        <v>70</v>
      </c>
      <c r="H52" s="16" t="s">
        <v>29</v>
      </c>
      <c r="I52" s="73">
        <v>23.0</v>
      </c>
      <c r="J52" s="54"/>
      <c r="K52" s="55">
        <v>6.0</v>
      </c>
      <c r="L52" s="18">
        <f>IFNA( VLOOKUP(LEFT(E52, IFERROR(FIND(" ", E52, 1),1) - 1), lists!$A$31:$B$37, 2, FALSE),"")</f>
        <v>6</v>
      </c>
      <c r="M52" s="18" t="str">
        <f>IFERROR(__xludf.DUMMYFUNCTION("IFNA(VLOOKUP(IFNA(REGEXEXTRACT(E52, ""(Пасхи|50-ці|посту)""),""""),lists!$A$39:$B$41,2,FALSE),"""")"),"")</f>
        <v/>
      </c>
      <c r="N52" s="19" t="str">
        <f>IFERROR(__xludf.DUMMYFUNCTION("IFNA(REGEXEXTRACT(E52, ""\d{1,2}""),"""")"),"23")</f>
        <v>23</v>
      </c>
      <c r="O52" s="14" t="b">
        <f t="shared" si="3"/>
        <v>0</v>
      </c>
    </row>
    <row r="53">
      <c r="A53" s="13" t="s">
        <v>1194</v>
      </c>
      <c r="B53" s="9" t="str">
        <f t="shared" si="1"/>
        <v>Лк.</v>
      </c>
      <c r="C53" s="11" t="str">
        <f t="shared" si="2"/>
        <v>45</v>
      </c>
      <c r="D53" s="9"/>
      <c r="E53" s="13" t="s">
        <v>1195</v>
      </c>
      <c r="F53" s="9" t="s">
        <v>1196</v>
      </c>
      <c r="G53" s="15" t="s">
        <v>70</v>
      </c>
      <c r="H53" s="16" t="s">
        <v>71</v>
      </c>
      <c r="I53" s="73" t="s">
        <v>71</v>
      </c>
      <c r="J53" s="54"/>
      <c r="K53" s="55" t="s">
        <v>71</v>
      </c>
      <c r="L53" s="18" t="str">
        <f>IFNA( VLOOKUP(LEFT(E53, IFERROR(FIND(" ", E53, 1),1) - 1), lists!$A$31:$B$37, 2, FALSE),"")</f>
        <v/>
      </c>
      <c r="M53" s="18" t="str">
        <f>IFERROR(__xludf.DUMMYFUNCTION("IFNA(VLOOKUP(IFNA(REGEXEXTRACT(E53, ""(Пасхи|50-ці|посту)""),""""),lists!$A$39:$B$41,2,FALSE),"""")"),"")</f>
        <v/>
      </c>
      <c r="N53" s="19" t="str">
        <f>IFERROR(__xludf.DUMMYFUNCTION("IFNA(REGEXEXTRACT(E53, ""\d{1,2}""),"""")"),"")</f>
        <v/>
      </c>
      <c r="O53" s="14" t="b">
        <f t="shared" si="3"/>
        <v>0</v>
      </c>
    </row>
    <row r="54">
      <c r="A54" s="13" t="s">
        <v>1203</v>
      </c>
      <c r="B54" s="9" t="str">
        <f t="shared" si="1"/>
        <v>Лк.</v>
      </c>
      <c r="C54" s="11" t="str">
        <f t="shared" si="2"/>
        <v>48</v>
      </c>
      <c r="D54" s="12" t="s">
        <v>22</v>
      </c>
      <c r="E54" s="13" t="s">
        <v>1204</v>
      </c>
      <c r="F54" s="14"/>
      <c r="G54" s="15" t="s">
        <v>70</v>
      </c>
      <c r="H54" s="16" t="s">
        <v>71</v>
      </c>
      <c r="I54" s="73" t="s">
        <v>71</v>
      </c>
      <c r="J54" s="54"/>
      <c r="K54" s="55" t="s">
        <v>71</v>
      </c>
      <c r="L54" s="18" t="str">
        <f>IFNA( VLOOKUP(LEFT(E54, IFERROR(FIND(" ", E54, 1),1) - 1), lists!$A$31:$B$37, 2, FALSE),"")</f>
        <v/>
      </c>
      <c r="M54" s="18" t="str">
        <f>IFERROR(__xludf.DUMMYFUNCTION("IFNA(VLOOKUP(IFNA(REGEXEXTRACT(E54, ""(Пасхи|50-ці|посту)""),""""),lists!$A$39:$B$41,2,FALSE),"""")"),"")</f>
        <v/>
      </c>
      <c r="N54" s="19" t="str">
        <f>IFERROR(__xludf.DUMMYFUNCTION("IFNA(REGEXEXTRACT(E54, ""\d{1,2}""),"""")"),"")</f>
        <v/>
      </c>
      <c r="O54" s="14" t="b">
        <f t="shared" si="3"/>
        <v>0</v>
      </c>
    </row>
    <row r="55">
      <c r="A55" s="13" t="s">
        <v>1207</v>
      </c>
      <c r="B55" s="9" t="str">
        <f t="shared" si="1"/>
        <v>Лк.</v>
      </c>
      <c r="C55" s="11" t="str">
        <f t="shared" si="2"/>
        <v>50</v>
      </c>
      <c r="D55" s="9"/>
      <c r="E55" s="13" t="s">
        <v>1208</v>
      </c>
      <c r="F55" s="14"/>
      <c r="G55" s="15" t="s">
        <v>70</v>
      </c>
      <c r="H55" s="16" t="s">
        <v>71</v>
      </c>
      <c r="I55" s="73">
        <v>22.0</v>
      </c>
      <c r="J55" s="55"/>
      <c r="K55" s="55">
        <v>5.0</v>
      </c>
      <c r="L55" s="18">
        <f>IFNA( VLOOKUP(LEFT(E55, IFERROR(FIND(" ", E55, 1),1) - 1), lists!$A$31:$B$37, 2, FALSE),"")</f>
        <v>5</v>
      </c>
      <c r="M55" s="18" t="str">
        <f>IFERROR(__xludf.DUMMYFUNCTION("IFNA(VLOOKUP(IFNA(REGEXEXTRACT(E55, ""(Пасхи|50-ці|посту)""),""""),lists!$A$39:$B$41,2,FALSE),"""")"),"")</f>
        <v/>
      </c>
      <c r="N55" s="19" t="str">
        <f>IFERROR(__xludf.DUMMYFUNCTION("IFNA(REGEXEXTRACT(E55, ""\d{1,2}""),"""")"),"22")</f>
        <v>22</v>
      </c>
      <c r="O55" s="14" t="b">
        <f t="shared" si="3"/>
        <v>0</v>
      </c>
    </row>
    <row r="56">
      <c r="A56" s="13" t="s">
        <v>1211</v>
      </c>
      <c r="B56" s="9" t="str">
        <f t="shared" si="1"/>
        <v>Лк.</v>
      </c>
      <c r="C56" s="11" t="str">
        <f t="shared" si="2"/>
        <v>51</v>
      </c>
      <c r="D56" s="12" t="s">
        <v>22</v>
      </c>
      <c r="E56" s="13" t="s">
        <v>1212</v>
      </c>
      <c r="F56" s="14"/>
      <c r="G56" s="15" t="s">
        <v>70</v>
      </c>
      <c r="H56" s="16" t="s">
        <v>71</v>
      </c>
      <c r="I56" s="73" t="s">
        <v>71</v>
      </c>
      <c r="J56" s="54"/>
      <c r="K56" s="55" t="s">
        <v>71</v>
      </c>
      <c r="L56" s="18" t="str">
        <f>IFNA( VLOOKUP(LEFT(E56, IFERROR(FIND(" ", E56, 1),1) - 1), lists!$A$31:$B$37, 2, FALSE),"")</f>
        <v/>
      </c>
      <c r="M56" s="18" t="str">
        <f>IFERROR(__xludf.DUMMYFUNCTION("IFNA(VLOOKUP(IFNA(REGEXEXTRACT(E56, ""(Пасхи|50-ці|посту)""),""""),lists!$A$39:$B$41,2,FALSE),"""")"),"")</f>
        <v/>
      </c>
      <c r="N56" s="19" t="str">
        <f>IFERROR(__xludf.DUMMYFUNCTION("IFNA(REGEXEXTRACT(E56, ""\d{1,2}""),"""")"),"")</f>
        <v/>
      </c>
      <c r="O56" s="14" t="b">
        <f t="shared" si="3"/>
        <v>0</v>
      </c>
    </row>
    <row r="57">
      <c r="A57" s="13" t="s">
        <v>1217</v>
      </c>
      <c r="B57" s="9" t="str">
        <f t="shared" si="1"/>
        <v>Лк.</v>
      </c>
      <c r="C57" s="11" t="str">
        <f t="shared" si="2"/>
        <v>54</v>
      </c>
      <c r="D57" s="9"/>
      <c r="E57" s="13" t="s">
        <v>1218</v>
      </c>
      <c r="F57" s="14"/>
      <c r="G57" s="15" t="s">
        <v>70</v>
      </c>
      <c r="H57" s="16" t="s">
        <v>71</v>
      </c>
      <c r="I57" s="73" t="s">
        <v>71</v>
      </c>
      <c r="J57" s="54"/>
      <c r="K57" s="55" t="s">
        <v>71</v>
      </c>
      <c r="L57" s="18" t="str">
        <f>IFNA( VLOOKUP(LEFT(E57, IFERROR(FIND(" ", E57, 1),1) - 1), lists!$A$31:$B$37, 2, FALSE),"")</f>
        <v/>
      </c>
      <c r="M57" s="18" t="str">
        <f>IFERROR(__xludf.DUMMYFUNCTION("IFNA(VLOOKUP(IFNA(REGEXEXTRACT(E57, ""(Пасхи|50-ці|посту)""),""""),lists!$A$39:$B$41,2,FALSE),"""")"),"")</f>
        <v/>
      </c>
      <c r="N57" s="19" t="str">
        <f>IFERROR(__xludf.DUMMYFUNCTION("IFNA(REGEXEXTRACT(E57, ""\d{1,2}""),"""")"),"")</f>
        <v/>
      </c>
      <c r="O57" s="14" t="b">
        <f t="shared" si="3"/>
        <v>0</v>
      </c>
    </row>
    <row r="58">
      <c r="A58" s="13" t="s">
        <v>1237</v>
      </c>
      <c r="B58" s="9" t="str">
        <f t="shared" si="1"/>
        <v>Лк.</v>
      </c>
      <c r="C58" s="11" t="str">
        <f t="shared" si="2"/>
        <v>63</v>
      </c>
      <c r="D58" s="80" t="s">
        <v>22</v>
      </c>
      <c r="E58" s="13" t="s">
        <v>1238</v>
      </c>
      <c r="F58" s="14"/>
      <c r="G58" s="15" t="s">
        <v>70</v>
      </c>
      <c r="H58" s="16" t="s">
        <v>71</v>
      </c>
      <c r="I58" s="73" t="s">
        <v>71</v>
      </c>
      <c r="J58" s="54"/>
      <c r="K58" s="55" t="s">
        <v>71</v>
      </c>
      <c r="L58" s="18" t="str">
        <f>IFNA( VLOOKUP(LEFT(E58, IFERROR(FIND(" ", E58, 1),1) - 1), lists!$A$31:$B$37, 2, FALSE),"")</f>
        <v/>
      </c>
      <c r="M58" s="18" t="str">
        <f>IFERROR(__xludf.DUMMYFUNCTION("IFNA(VLOOKUP(IFNA(REGEXEXTRACT(E58, ""(Пасхи|50-ці|посту)""),""""),lists!$A$39:$B$41,2,FALSE),"""")"),"")</f>
        <v/>
      </c>
      <c r="N58" s="19" t="str">
        <f>IFERROR(__xludf.DUMMYFUNCTION("IFNA(REGEXEXTRACT(E58, ""\d{1,2}""),"""")"),"")</f>
        <v/>
      </c>
      <c r="O58" s="14" t="b">
        <f t="shared" si="3"/>
        <v>0</v>
      </c>
    </row>
    <row r="59">
      <c r="A59" s="13" t="s">
        <v>1239</v>
      </c>
      <c r="B59" s="9" t="str">
        <f t="shared" si="1"/>
        <v>Лк.</v>
      </c>
      <c r="C59" s="11" t="str">
        <f t="shared" si="2"/>
        <v>64</v>
      </c>
      <c r="D59" s="9"/>
      <c r="E59" s="13" t="s">
        <v>1240</v>
      </c>
      <c r="F59" s="14"/>
      <c r="G59" s="15" t="s">
        <v>70</v>
      </c>
      <c r="H59" s="16" t="s">
        <v>71</v>
      </c>
      <c r="I59" s="73">
        <v>6.0</v>
      </c>
      <c r="J59" s="54"/>
      <c r="K59" s="55" t="s">
        <v>71</v>
      </c>
      <c r="L59" s="18" t="str">
        <f>IFNA( VLOOKUP(LEFT(E59, IFERROR(FIND(" ", E59, 1),1) - 1), lists!$A$31:$B$37, 2, FALSE),"")</f>
        <v/>
      </c>
      <c r="M59" s="18" t="str">
        <f>IFERROR(__xludf.DUMMYFUNCTION("IFNA(VLOOKUP(IFNA(REGEXEXTRACT(E59, ""(Пасхи|50-ці|посту)""),""""),lists!$A$39:$B$41,2,FALSE),"""")"),"")</f>
        <v/>
      </c>
      <c r="N59" s="19" t="str">
        <f>IFERROR(__xludf.DUMMYFUNCTION("IFNA(REGEXEXTRACT(E59, ""\d{1,2}""),"""")"),"6")</f>
        <v>6</v>
      </c>
      <c r="O59" s="14" t="b">
        <f t="shared" si="3"/>
        <v>0</v>
      </c>
    </row>
    <row r="60">
      <c r="A60" s="13" t="s">
        <v>1255</v>
      </c>
      <c r="B60" s="9" t="str">
        <f t="shared" si="1"/>
        <v>Лк.</v>
      </c>
      <c r="C60" s="11" t="str">
        <f t="shared" si="2"/>
        <v>72</v>
      </c>
      <c r="D60" s="9"/>
      <c r="E60" s="13" t="s">
        <v>1256</v>
      </c>
      <c r="F60" s="14"/>
      <c r="G60" s="15" t="s">
        <v>70</v>
      </c>
      <c r="H60" s="16" t="s">
        <v>29</v>
      </c>
      <c r="I60" s="73">
        <v>29.0</v>
      </c>
      <c r="J60" s="54"/>
      <c r="K60" s="55">
        <v>6.0</v>
      </c>
      <c r="L60" s="18">
        <f>IFNA( VLOOKUP(LEFT(E60, IFERROR(FIND(" ", E60, 1),1) - 1), lists!$A$31:$B$37, 2, FALSE),"")</f>
        <v>6</v>
      </c>
      <c r="M60" s="18" t="str">
        <f>IFERROR(__xludf.DUMMYFUNCTION("IFNA(VLOOKUP(IFNA(REGEXEXTRACT(E60, ""(Пасхи|50-ці|посту)""),""""),lists!$A$39:$B$41,2,FALSE),"""")"),"")</f>
        <v/>
      </c>
      <c r="N60" s="19" t="str">
        <f>IFERROR(__xludf.DUMMYFUNCTION("IFNA(REGEXEXTRACT(E60, ""\d{1,2}""),"""")"),"29")</f>
        <v>29</v>
      </c>
      <c r="O60" s="14" t="b">
        <f t="shared" si="3"/>
        <v>0</v>
      </c>
    </row>
    <row r="61">
      <c r="A61" s="13" t="s">
        <v>1263</v>
      </c>
      <c r="B61" s="9" t="str">
        <f t="shared" si="1"/>
        <v>Лк.</v>
      </c>
      <c r="C61" s="11" t="str">
        <f t="shared" si="2"/>
        <v>76</v>
      </c>
      <c r="D61" s="9"/>
      <c r="E61" s="13" t="s">
        <v>1264</v>
      </c>
      <c r="F61" s="14"/>
      <c r="G61" s="15" t="s">
        <v>70</v>
      </c>
      <c r="H61" s="16" t="s">
        <v>29</v>
      </c>
      <c r="I61" s="73">
        <v>28.0</v>
      </c>
      <c r="J61" s="54"/>
      <c r="K61" s="55">
        <v>7.0</v>
      </c>
      <c r="L61" s="18">
        <f>IFNA( VLOOKUP(LEFT(E61, IFERROR(FIND(" ", E61, 1),1) - 1), lists!$A$31:$B$37, 2, FALSE),"")</f>
        <v>7</v>
      </c>
      <c r="M61" s="18" t="str">
        <f>IFERROR(__xludf.DUMMYFUNCTION("IFNA(VLOOKUP(IFNA(REGEXEXTRACT(E61, ""(Пасхи|50-ці|посту)""),""""),lists!$A$39:$B$41,2,FALSE),"""")"),"")</f>
        <v/>
      </c>
      <c r="N61" s="19" t="str">
        <f>IFERROR(__xludf.DUMMYFUNCTION("IFNA(REGEXEXTRACT(E61, ""\d{1,2}""),"""")"),"28")</f>
        <v>28</v>
      </c>
      <c r="O61" s="14" t="b">
        <f t="shared" si="3"/>
        <v>0</v>
      </c>
    </row>
    <row r="62">
      <c r="A62" s="13" t="s">
        <v>1334</v>
      </c>
      <c r="B62" s="9" t="str">
        <f t="shared" si="1"/>
        <v>Лк.</v>
      </c>
      <c r="C62" s="11" t="str">
        <f t="shared" si="2"/>
        <v>111</v>
      </c>
      <c r="D62" s="9"/>
      <c r="E62" s="13" t="s">
        <v>1335</v>
      </c>
      <c r="F62" s="14"/>
      <c r="G62" s="15" t="s">
        <v>70</v>
      </c>
      <c r="H62" s="16" t="s">
        <v>71</v>
      </c>
      <c r="I62" s="73">
        <v>8.0</v>
      </c>
      <c r="J62" s="54"/>
      <c r="K62" s="55" t="s">
        <v>71</v>
      </c>
      <c r="L62" s="18" t="str">
        <f>IFNA( VLOOKUP(LEFT(E62, IFERROR(FIND(" ", E62, 1),1) - 1), lists!$A$31:$B$37, 2, FALSE),"")</f>
        <v/>
      </c>
      <c r="M62" s="18" t="str">
        <f>IFERROR(__xludf.DUMMYFUNCTION("IFNA(VLOOKUP(IFNA(REGEXEXTRACT(E62, ""(Пасхи|50-ці|посту)""),""""),lists!$A$39:$B$41,2,FALSE),"""")"),"")</f>
        <v/>
      </c>
      <c r="N62" s="19" t="str">
        <f>IFERROR(__xludf.DUMMYFUNCTION("IFNA(REGEXEXTRACT(E62, ""\d{1,2}""),"""")"),"8")</f>
        <v>8</v>
      </c>
      <c r="O62" s="14" t="b">
        <f t="shared" si="3"/>
        <v>0</v>
      </c>
    </row>
    <row r="63">
      <c r="A63" s="13" t="s">
        <v>1336</v>
      </c>
      <c r="B63" s="9" t="str">
        <f t="shared" si="1"/>
        <v>Лк.</v>
      </c>
      <c r="C63" s="11" t="str">
        <f t="shared" si="2"/>
        <v>112</v>
      </c>
      <c r="D63" s="9"/>
      <c r="E63" s="13" t="s">
        <v>1337</v>
      </c>
      <c r="F63" s="14"/>
      <c r="G63" s="15" t="s">
        <v>70</v>
      </c>
      <c r="H63" s="16" t="s">
        <v>71</v>
      </c>
      <c r="I63" s="73">
        <v>4.0</v>
      </c>
      <c r="J63" s="54"/>
      <c r="K63" s="55" t="s">
        <v>71</v>
      </c>
      <c r="L63" s="18" t="str">
        <f>IFNA( VLOOKUP(LEFT(E63, IFERROR(FIND(" ", E63, 1),1) - 1), lists!$A$31:$B$37, 2, FALSE),"")</f>
        <v/>
      </c>
      <c r="M63" s="18" t="str">
        <f>IFERROR(__xludf.DUMMYFUNCTION("IFNA(VLOOKUP(IFNA(REGEXEXTRACT(E63, ""(Пасхи|50-ці|посту)""),""""),lists!$A$39:$B$41,2,FALSE),"""")"),"")</f>
        <v/>
      </c>
      <c r="N63" s="19" t="str">
        <f>IFERROR(__xludf.DUMMYFUNCTION("IFNA(REGEXEXTRACT(E63, ""\d{1,2}""),"""")"),"4")</f>
        <v>4</v>
      </c>
      <c r="O63" s="14" t="b">
        <f t="shared" si="3"/>
        <v>0</v>
      </c>
    </row>
    <row r="64">
      <c r="A64" s="13" t="s">
        <v>1338</v>
      </c>
      <c r="B64" s="9" t="str">
        <f t="shared" si="1"/>
        <v>Лк.</v>
      </c>
      <c r="C64" s="11" t="str">
        <f t="shared" si="2"/>
        <v>113</v>
      </c>
      <c r="D64" s="9"/>
      <c r="E64" s="13" t="s">
        <v>1740</v>
      </c>
      <c r="F64" s="14"/>
      <c r="G64" s="15" t="s">
        <v>70</v>
      </c>
      <c r="H64" s="16" t="s">
        <v>24</v>
      </c>
      <c r="I64" s="53">
        <v>1.0</v>
      </c>
      <c r="J64" s="54"/>
      <c r="K64" s="55">
        <v>2.0</v>
      </c>
      <c r="L64" s="18">
        <f>IFNA( VLOOKUP(LEFT(E64, IFERROR(FIND(" ", E64, 1),1) - 1), lists!$A$31:$B$37, 2, FALSE),"")</f>
        <v>2</v>
      </c>
      <c r="M64" s="18" t="str">
        <f>IFERROR(__xludf.DUMMYFUNCTION("IFNA(VLOOKUP(IFNA(REGEXEXTRACT(E64, ""(Пасхи|50-ці|посту)""),""""),lists!$A$39:$B$41,2,FALSE),"""")"),"")</f>
        <v/>
      </c>
      <c r="N64" s="19" t="str">
        <f>IFERROR(__xludf.DUMMYFUNCTION("IFNA(REGEXEXTRACT(E64, ""\d{1,2}""),"""")"),"5")</f>
        <v>5</v>
      </c>
      <c r="O64" s="14" t="b">
        <f t="shared" si="3"/>
        <v>0</v>
      </c>
    </row>
    <row r="65">
      <c r="A65" s="13" t="s">
        <v>1340</v>
      </c>
      <c r="B65" s="9" t="str">
        <f t="shared" si="1"/>
        <v>Лк.</v>
      </c>
      <c r="C65" s="11" t="str">
        <f t="shared" si="2"/>
        <v>114</v>
      </c>
      <c r="D65" s="9"/>
      <c r="E65" s="13" t="s">
        <v>1341</v>
      </c>
      <c r="F65" s="14"/>
      <c r="G65" s="15" t="s">
        <v>70</v>
      </c>
      <c r="H65" s="16" t="s">
        <v>24</v>
      </c>
      <c r="I65" s="53">
        <v>5.0</v>
      </c>
      <c r="J65" s="54"/>
      <c r="K65" s="55">
        <v>4.0</v>
      </c>
      <c r="L65" s="18" t="str">
        <f>IFNA( VLOOKUP(LEFT(E65, IFERROR(FIND(" ", E65, 1),1) - 1), lists!$A$31:$B$37, 2, FALSE),"")</f>
        <v/>
      </c>
      <c r="M65" s="18" t="str">
        <f>IFERROR(__xludf.DUMMYFUNCTION("IFNA(VLOOKUP(IFNA(REGEXEXTRACT(E65, ""(Пасхи|50-ці|посту)""),""""),lists!$A$39:$B$41,2,FALSE),"""")"),"")</f>
        <v/>
      </c>
      <c r="N65" s="19" t="str">
        <f>IFERROR(__xludf.DUMMYFUNCTION("IFNA(REGEXEXTRACT(E65, ""\d{1,2}""),"""")"),"6")</f>
        <v>6</v>
      </c>
      <c r="O65" s="14" t="b">
        <f t="shared" si="3"/>
        <v>0</v>
      </c>
    </row>
    <row r="66">
      <c r="A66" s="13" t="s">
        <v>1342</v>
      </c>
      <c r="B66" s="9" t="str">
        <f t="shared" si="1"/>
        <v>Мр.</v>
      </c>
      <c r="C66" s="11" t="str">
        <f t="shared" si="2"/>
        <v>1</v>
      </c>
      <c r="D66" s="9"/>
      <c r="E66" s="13" t="s">
        <v>1344</v>
      </c>
      <c r="F66" s="14"/>
      <c r="G66" s="15" t="s">
        <v>70</v>
      </c>
      <c r="H66" s="16" t="s">
        <v>71</v>
      </c>
      <c r="I66" s="73">
        <v>3.0</v>
      </c>
      <c r="J66" s="54"/>
      <c r="K66" s="55">
        <v>7.0</v>
      </c>
      <c r="L66" s="18">
        <f>IFNA( VLOOKUP(LEFT(E66, IFERROR(FIND(" ", E66, 1),1) - 1), lists!$A$31:$B$37, 2, FALSE),"")</f>
        <v>7</v>
      </c>
      <c r="M66" s="18" t="str">
        <f>IFERROR(__xludf.DUMMYFUNCTION("IFNA(VLOOKUP(IFNA(REGEXEXTRACT(E66, ""(Пасхи|50-ці|посту)""),""""),lists!$A$39:$B$41,2,FALSE),"""")"),"")</f>
        <v/>
      </c>
      <c r="N66" s="19" t="str">
        <f>IFERROR(__xludf.DUMMYFUNCTION("IFNA(REGEXEXTRACT(E66, ""\d{1,2}""),"""")"),"3")</f>
        <v>3</v>
      </c>
      <c r="O66" s="14" t="b">
        <f t="shared" si="3"/>
        <v>0</v>
      </c>
    </row>
    <row r="67">
      <c r="A67" s="13" t="s">
        <v>1345</v>
      </c>
      <c r="B67" s="9" t="str">
        <f t="shared" si="1"/>
        <v>Мр.</v>
      </c>
      <c r="C67" s="11" t="str">
        <f t="shared" si="2"/>
        <v>2</v>
      </c>
      <c r="D67" s="26" t="s">
        <v>22</v>
      </c>
      <c r="E67" s="13" t="s">
        <v>1346</v>
      </c>
      <c r="F67" s="14"/>
      <c r="G67" s="15" t="s">
        <v>70</v>
      </c>
      <c r="H67" s="16" t="s">
        <v>71</v>
      </c>
      <c r="I67" s="73" t="s">
        <v>71</v>
      </c>
      <c r="J67" s="54"/>
      <c r="K67" s="55" t="s">
        <v>71</v>
      </c>
      <c r="L67" s="18" t="str">
        <f>IFNA( VLOOKUP(LEFT(E67, IFERROR(FIND(" ", E67, 1),1) - 1), lists!$A$31:$B$37, 2, FALSE),"")</f>
        <v/>
      </c>
      <c r="M67" s="18" t="str">
        <f>IFERROR(__xludf.DUMMYFUNCTION("IFNA(VLOOKUP(IFNA(REGEXEXTRACT(E67, ""(Пасхи|50-ці|посту)""),""""),lists!$A$39:$B$41,2,FALSE),"""")"),"")</f>
        <v/>
      </c>
      <c r="N67" s="19" t="str">
        <f>IFERROR(__xludf.DUMMYFUNCTION("IFNA(REGEXEXTRACT(E67, ""\d{1,2}""),"""")"),"")</f>
        <v/>
      </c>
      <c r="O67" s="14" t="b">
        <f t="shared" si="3"/>
        <v>0</v>
      </c>
    </row>
    <row r="68">
      <c r="A68" s="13" t="s">
        <v>1347</v>
      </c>
      <c r="B68" s="9" t="str">
        <f t="shared" si="1"/>
        <v>Мр.</v>
      </c>
      <c r="C68" s="11" t="str">
        <f t="shared" si="2"/>
        <v>2</v>
      </c>
      <c r="D68" s="26" t="s">
        <v>18</v>
      </c>
      <c r="E68" s="13" t="s">
        <v>1348</v>
      </c>
      <c r="F68" s="14"/>
      <c r="G68" s="15" t="s">
        <v>70</v>
      </c>
      <c r="H68" s="16" t="s">
        <v>29</v>
      </c>
      <c r="I68" s="73">
        <v>12.0</v>
      </c>
      <c r="J68" s="54"/>
      <c r="K68" s="55">
        <v>1.0</v>
      </c>
      <c r="L68" s="18">
        <f>IFNA( VLOOKUP(LEFT(E68, IFERROR(FIND(" ", E68, 1),1) - 1), lists!$A$31:$B$37, 2, FALSE),"")</f>
        <v>1</v>
      </c>
      <c r="M68" s="18" t="str">
        <f>IFERROR(__xludf.DUMMYFUNCTION("IFNA(VLOOKUP(IFNA(REGEXEXTRACT(E68, ""(Пасхи|50-ці|посту)""),""""),lists!$A$39:$B$41,2,FALSE),"""")"),"")</f>
        <v/>
      </c>
      <c r="N68" s="19" t="str">
        <f>IFERROR(__xludf.DUMMYFUNCTION("IFNA(REGEXEXTRACT(E68, ""\d{1,2}""),"""")"),"12")</f>
        <v>12</v>
      </c>
      <c r="O68" s="14" t="b">
        <f t="shared" si="3"/>
        <v>0</v>
      </c>
    </row>
    <row r="69">
      <c r="A69" s="13" t="s">
        <v>1392</v>
      </c>
      <c r="B69" s="9" t="str">
        <f t="shared" si="1"/>
        <v>Мр.</v>
      </c>
      <c r="C69" s="11" t="str">
        <f t="shared" si="2"/>
        <v>24</v>
      </c>
      <c r="D69" s="9"/>
      <c r="E69" s="13" t="s">
        <v>1393</v>
      </c>
      <c r="F69" s="14"/>
      <c r="G69" s="15" t="s">
        <v>70</v>
      </c>
      <c r="H69" s="16" t="s">
        <v>71</v>
      </c>
      <c r="I69" s="73">
        <v>29.0</v>
      </c>
      <c r="J69" s="54"/>
      <c r="K69" s="55" t="s">
        <v>71</v>
      </c>
      <c r="L69" s="18" t="str">
        <f>IFNA( VLOOKUP(LEFT(E69, IFERROR(FIND(" ", E69, 1),1) - 1), lists!$A$31:$B$37, 2, FALSE),"")</f>
        <v/>
      </c>
      <c r="M69" s="18" t="str">
        <f>IFERROR(__xludf.DUMMYFUNCTION("IFNA(VLOOKUP(IFNA(REGEXEXTRACT(E69, ""(Пасхи|50-ці|посту)""),""""),lists!$A$39:$B$41,2,FALSE),"""")"),"")</f>
        <v/>
      </c>
      <c r="N69" s="19" t="str">
        <f>IFERROR(__xludf.DUMMYFUNCTION("IFNA(REGEXEXTRACT(E69, ""\d{1,2}""),"""")"),"29")</f>
        <v>29</v>
      </c>
      <c r="O69" s="14" t="b">
        <f t="shared" si="3"/>
        <v>0</v>
      </c>
    </row>
    <row r="70">
      <c r="A70" s="13" t="s">
        <v>1418</v>
      </c>
      <c r="B70" s="9" t="str">
        <f t="shared" si="1"/>
        <v>Мр.</v>
      </c>
      <c r="C70" s="11" t="str">
        <f t="shared" si="2"/>
        <v>37</v>
      </c>
      <c r="D70" s="9"/>
      <c r="E70" s="13" t="s">
        <v>1419</v>
      </c>
      <c r="F70" s="14"/>
      <c r="G70" s="15" t="s">
        <v>70</v>
      </c>
      <c r="H70" s="16" t="s">
        <v>20</v>
      </c>
      <c r="I70" s="73">
        <v>3.0</v>
      </c>
      <c r="J70" s="54"/>
      <c r="K70" s="55">
        <v>7.0</v>
      </c>
      <c r="L70" s="18">
        <f>IFNA( VLOOKUP(LEFT(E70, IFERROR(FIND(" ", E70, 1),1) - 1), lists!$A$31:$B$37, 2, FALSE),"")</f>
        <v>7</v>
      </c>
      <c r="M70" s="18" t="str">
        <f>IFERROR(__xludf.DUMMYFUNCTION("IFNA(VLOOKUP(IFNA(REGEXEXTRACT(E70, ""(Пасхи|50-ці|посту)""),""""),lists!$A$39:$B$41,2,FALSE),"""")"),"lent")</f>
        <v>lent</v>
      </c>
      <c r="N70" s="19" t="str">
        <f>IFERROR(__xludf.DUMMYFUNCTION("IFNA(REGEXEXTRACT(E70, ""\d{1,2}""),"""")"),"3")</f>
        <v>3</v>
      </c>
      <c r="O70" s="14" t="b">
        <f t="shared" si="3"/>
        <v>0</v>
      </c>
    </row>
    <row r="71">
      <c r="A71" s="13" t="s">
        <v>1420</v>
      </c>
      <c r="B71" s="9" t="str">
        <f t="shared" si="1"/>
        <v>Мр.</v>
      </c>
      <c r="C71" s="11" t="str">
        <f t="shared" si="2"/>
        <v>38</v>
      </c>
      <c r="D71" s="9"/>
      <c r="E71" s="13" t="s">
        <v>1421</v>
      </c>
      <c r="F71" s="14"/>
      <c r="G71" s="15" t="s">
        <v>70</v>
      </c>
      <c r="H71" s="16" t="s">
        <v>71</v>
      </c>
      <c r="I71" s="73" t="s">
        <v>71</v>
      </c>
      <c r="J71" s="54"/>
      <c r="K71" s="55" t="s">
        <v>71</v>
      </c>
      <c r="L71" s="18" t="str">
        <f>IFNA( VLOOKUP(LEFT(E71, IFERROR(FIND(" ", E71, 1),1) - 1), lists!$A$31:$B$37, 2, FALSE),"")</f>
        <v/>
      </c>
      <c r="M71" s="18" t="str">
        <f>IFERROR(__xludf.DUMMYFUNCTION("IFNA(VLOOKUP(IFNA(REGEXEXTRACT(E71, ""(Пасхи|50-ці|посту)""),""""),lists!$A$39:$B$41,2,FALSE),"""")"),"")</f>
        <v/>
      </c>
      <c r="N71" s="19" t="str">
        <f>IFERROR(__xludf.DUMMYFUNCTION("IFNA(REGEXEXTRACT(E71, ""\d{1,2}""),"""")"),"")</f>
        <v/>
      </c>
      <c r="O71" s="14" t="b">
        <f t="shared" si="3"/>
        <v>0</v>
      </c>
    </row>
    <row r="72">
      <c r="A72" s="13" t="s">
        <v>1426</v>
      </c>
      <c r="B72" s="9" t="str">
        <f t="shared" si="1"/>
        <v>Мр.</v>
      </c>
      <c r="C72" s="11" t="str">
        <f t="shared" si="2"/>
        <v>41</v>
      </c>
      <c r="D72" s="9"/>
      <c r="E72" s="13" t="s">
        <v>1427</v>
      </c>
      <c r="F72" s="14"/>
      <c r="G72" s="15" t="s">
        <v>70</v>
      </c>
      <c r="H72" s="16" t="s">
        <v>29</v>
      </c>
      <c r="I72" s="73">
        <v>30.0</v>
      </c>
      <c r="J72" s="54"/>
      <c r="K72" s="55">
        <v>5.0</v>
      </c>
      <c r="L72" s="18">
        <f>IFNA( VLOOKUP(LEFT(E72, IFERROR(FIND(" ", E72, 1),1) - 1), lists!$A$31:$B$37, 2, FALSE),"")</f>
        <v>5</v>
      </c>
      <c r="M72" s="18" t="str">
        <f>IFERROR(__xludf.DUMMYFUNCTION("IFNA(VLOOKUP(IFNA(REGEXEXTRACT(E72, ""(Пасхи|50-ці|посту)""),""""),lists!$A$39:$B$41,2,FALSE),"""")"),"")</f>
        <v/>
      </c>
      <c r="N72" s="19" t="str">
        <f>IFERROR(__xludf.DUMMYFUNCTION("IFNA(REGEXEXTRACT(E72, ""\d{1,2}""),"""")"),"30")</f>
        <v>30</v>
      </c>
      <c r="O72" s="14" t="b">
        <f t="shared" si="3"/>
        <v>0</v>
      </c>
    </row>
    <row r="73">
      <c r="A73" s="13" t="s">
        <v>1478</v>
      </c>
      <c r="B73" s="9" t="str">
        <f t="shared" si="1"/>
        <v>Мр.</v>
      </c>
      <c r="C73" s="11" t="str">
        <f t="shared" si="2"/>
        <v>67</v>
      </c>
      <c r="D73" s="12" t="s">
        <v>18</v>
      </c>
      <c r="E73" s="13" t="s">
        <v>1479</v>
      </c>
      <c r="F73" s="14"/>
      <c r="G73" s="15" t="s">
        <v>70</v>
      </c>
      <c r="H73" s="16"/>
      <c r="I73" s="73"/>
      <c r="J73" s="54"/>
      <c r="K73" s="55" t="s">
        <v>71</v>
      </c>
      <c r="L73" s="18" t="str">
        <f>IFNA( VLOOKUP(LEFT(E73, IFERROR(FIND(" ", E73, 1),1) - 1), lists!$A$31:$B$37, 2, FALSE),"")</f>
        <v/>
      </c>
      <c r="M73" s="18" t="str">
        <f>IFERROR(__xludf.DUMMYFUNCTION("IFNA(VLOOKUP(IFNA(REGEXEXTRACT(E73, ""(Пасхи|50-ці|посту)""),""""),lists!$A$39:$B$41,2,FALSE),"""")"),"")</f>
        <v/>
      </c>
      <c r="N73" s="19" t="str">
        <f>IFERROR(__xludf.DUMMYFUNCTION("IFNA(REGEXEXTRACT(E73, ""\d{1,2}""),"""")"),"6")</f>
        <v>6</v>
      </c>
      <c r="O73" s="14" t="b">
        <f t="shared" si="3"/>
        <v>0</v>
      </c>
    </row>
    <row r="74">
      <c r="A74" s="13" t="s">
        <v>1480</v>
      </c>
      <c r="B74" s="9" t="str">
        <f t="shared" si="1"/>
        <v>Мр.</v>
      </c>
      <c r="C74" s="11" t="str">
        <f t="shared" si="2"/>
        <v>67</v>
      </c>
      <c r="D74" s="12" t="s">
        <v>22</v>
      </c>
      <c r="E74" s="13" t="s">
        <v>1481</v>
      </c>
      <c r="F74" s="14"/>
      <c r="G74" s="15" t="s">
        <v>70</v>
      </c>
      <c r="H74" s="16" t="s">
        <v>71</v>
      </c>
      <c r="I74" s="73"/>
      <c r="J74" s="54"/>
      <c r="K74" s="55" t="s">
        <v>71</v>
      </c>
      <c r="L74" s="18" t="str">
        <f>IFNA( VLOOKUP(LEFT(E74, IFERROR(FIND(" ", E74, 1),1) - 1), lists!$A$31:$B$37, 2, FALSE),"")</f>
        <v/>
      </c>
      <c r="M74" s="18" t="str">
        <f>IFERROR(__xludf.DUMMYFUNCTION("IFNA(VLOOKUP(IFNA(REGEXEXTRACT(E74, ""(Пасхи|50-ці|посту)""),""""),lists!$A$39:$B$41,2,FALSE),"""")"),"")</f>
        <v/>
      </c>
      <c r="N74" s="19" t="str">
        <f>IFERROR(__xludf.DUMMYFUNCTION("IFNA(REGEXEXTRACT(E74, ""\d{1,2}""),"""")"),"3")</f>
        <v>3</v>
      </c>
      <c r="O74" s="14" t="b">
        <f t="shared" si="3"/>
        <v>0</v>
      </c>
    </row>
    <row r="75">
      <c r="A75" s="13" t="s">
        <v>1486</v>
      </c>
      <c r="B75" s="9" t="str">
        <f t="shared" si="1"/>
        <v>Мр.</v>
      </c>
      <c r="C75" s="11" t="str">
        <f t="shared" si="2"/>
        <v>69</v>
      </c>
      <c r="D75" s="26" t="s">
        <v>22</v>
      </c>
      <c r="E75" s="13" t="s">
        <v>1487</v>
      </c>
      <c r="F75" s="14"/>
      <c r="G75" s="15" t="s">
        <v>70</v>
      </c>
      <c r="H75" s="16" t="s">
        <v>71</v>
      </c>
      <c r="I75" s="73">
        <v>6.0</v>
      </c>
      <c r="J75" s="54"/>
      <c r="K75" s="55" t="s">
        <v>71</v>
      </c>
      <c r="L75" s="18" t="str">
        <f>IFNA( VLOOKUP(LEFT(E75, IFERROR(FIND(" ", E75, 1),1) - 1), lists!$A$31:$B$37, 2, FALSE),"")</f>
        <v/>
      </c>
      <c r="M75" s="18" t="str">
        <f>IFERROR(__xludf.DUMMYFUNCTION("IFNA(VLOOKUP(IFNA(REGEXEXTRACT(E75, ""(Пасхи|50-ці|посту)""),""""),lists!$A$39:$B$41,2,FALSE),"""")"),"")</f>
        <v/>
      </c>
      <c r="N75" s="19" t="str">
        <f>IFERROR(__xludf.DUMMYFUNCTION("IFNA(REGEXEXTRACT(E75, ""\d{1,2}""),"""")"),"6")</f>
        <v>6</v>
      </c>
      <c r="O75" s="14" t="b">
        <f t="shared" si="3"/>
        <v>0</v>
      </c>
    </row>
    <row r="76">
      <c r="A76" s="13" t="s">
        <v>1488</v>
      </c>
      <c r="B76" s="9" t="str">
        <f t="shared" si="1"/>
        <v>Мр.</v>
      </c>
      <c r="C76" s="11" t="str">
        <f t="shared" si="2"/>
        <v>70</v>
      </c>
      <c r="D76" s="9"/>
      <c r="E76" s="13" t="s">
        <v>1489</v>
      </c>
      <c r="F76" s="14"/>
      <c r="G76" s="15" t="s">
        <v>70</v>
      </c>
      <c r="H76" s="16" t="s">
        <v>71</v>
      </c>
      <c r="I76" s="73">
        <v>2.0</v>
      </c>
      <c r="J76" s="54"/>
      <c r="K76" s="55" t="s">
        <v>71</v>
      </c>
      <c r="L76" s="18" t="str">
        <f>IFNA( VLOOKUP(LEFT(E76, IFERROR(FIND(" ", E76, 1),1) - 1), lists!$A$31:$B$37, 2, FALSE),"")</f>
        <v/>
      </c>
      <c r="M76" s="18" t="str">
        <f>IFERROR(__xludf.DUMMYFUNCTION("IFNA(VLOOKUP(IFNA(REGEXEXTRACT(E76, ""(Пасхи|50-ці|посту)""),""""),lists!$A$39:$B$41,2,FALSE),"""")"),"")</f>
        <v/>
      </c>
      <c r="N76" s="19" t="str">
        <f>IFERROR(__xludf.DUMMYFUNCTION("IFNA(REGEXEXTRACT(E76, ""\d{1,2}""),"""")"),"2")</f>
        <v>2</v>
      </c>
      <c r="O76" s="14" t="b">
        <f t="shared" si="3"/>
        <v>0</v>
      </c>
    </row>
    <row r="77">
      <c r="A77" s="13" t="s">
        <v>1490</v>
      </c>
      <c r="B77" s="9" t="str">
        <f t="shared" si="1"/>
        <v>Мр.</v>
      </c>
      <c r="C77" s="11" t="str">
        <f t="shared" si="2"/>
        <v>71</v>
      </c>
      <c r="D77" s="9"/>
      <c r="E77" s="13" t="s">
        <v>1741</v>
      </c>
      <c r="F77" s="14"/>
      <c r="G77" s="15" t="s">
        <v>70</v>
      </c>
      <c r="H77" s="16" t="s">
        <v>24</v>
      </c>
      <c r="I77" s="53">
        <v>5.0</v>
      </c>
      <c r="J77" s="54"/>
      <c r="K77" s="55">
        <v>4.0</v>
      </c>
      <c r="L77" s="18" t="str">
        <f>IFNA( VLOOKUP(LEFT(E77, IFERROR(FIND(" ", E77, 1),1) - 1), lists!$A$31:$B$37, 2, FALSE),"")</f>
        <v/>
      </c>
      <c r="M77" s="18" t="str">
        <f>IFERROR(__xludf.DUMMYFUNCTION("IFNA(VLOOKUP(IFNA(REGEXEXTRACT(E77, ""(Пасхи|50-ці|посту)""),""""),lists!$A$39:$B$41,2,FALSE),"""")"),"")</f>
        <v/>
      </c>
      <c r="N77" s="19" t="str">
        <f>IFERROR(__xludf.DUMMYFUNCTION("IFNA(REGEXEXTRACT(E77, ""\d{1,2}""),"""")"),"3")</f>
        <v>3</v>
      </c>
      <c r="O77" s="14" t="b">
        <f t="shared" si="3"/>
        <v>0</v>
      </c>
    </row>
    <row r="78">
      <c r="A78" s="13" t="s">
        <v>1492</v>
      </c>
      <c r="B78" s="9" t="str">
        <f t="shared" si="1"/>
        <v>Мт.</v>
      </c>
      <c r="C78" s="11" t="str">
        <f t="shared" si="2"/>
        <v>1</v>
      </c>
      <c r="D78" s="9"/>
      <c r="E78" s="13" t="s">
        <v>822</v>
      </c>
      <c r="F78" s="14"/>
      <c r="G78" s="15" t="s">
        <v>70</v>
      </c>
      <c r="H78" s="16" t="s">
        <v>71</v>
      </c>
      <c r="I78" s="73" t="s">
        <v>71</v>
      </c>
      <c r="J78" s="54"/>
      <c r="K78" s="55">
        <v>7.0</v>
      </c>
      <c r="L78" s="18">
        <f>IFNA( VLOOKUP(LEFT(E78, IFERROR(FIND(" ", E78, 1),1) - 1), lists!$A$31:$B$37, 2, FALSE),"")</f>
        <v>7</v>
      </c>
      <c r="M78" s="18" t="str">
        <f>IFERROR(__xludf.DUMMYFUNCTION("IFNA(VLOOKUP(IFNA(REGEXEXTRACT(E78, ""(Пасхи|50-ці|посту)""),""""),lists!$A$39:$B$41,2,FALSE),"""")"),"")</f>
        <v/>
      </c>
      <c r="N78" s="19" t="str">
        <f>IFERROR(__xludf.DUMMYFUNCTION("IFNA(REGEXEXTRACT(E78, ""\d{1,2}""),"""")"),"")</f>
        <v/>
      </c>
      <c r="O78" s="14" t="b">
        <f t="shared" si="3"/>
        <v>0</v>
      </c>
    </row>
    <row r="79">
      <c r="A79" s="13" t="s">
        <v>1494</v>
      </c>
      <c r="B79" s="9" t="str">
        <f t="shared" si="1"/>
        <v>Мт.</v>
      </c>
      <c r="C79" s="11" t="str">
        <f t="shared" si="2"/>
        <v>2</v>
      </c>
      <c r="D79" s="9"/>
      <c r="E79" s="13" t="s">
        <v>1495</v>
      </c>
      <c r="F79" s="14"/>
      <c r="G79" s="15" t="s">
        <v>70</v>
      </c>
      <c r="H79" s="16" t="s">
        <v>71</v>
      </c>
      <c r="I79" s="73" t="s">
        <v>71</v>
      </c>
      <c r="J79" s="54"/>
      <c r="K79" s="55" t="s">
        <v>71</v>
      </c>
      <c r="L79" s="18" t="str">
        <f>IFNA( VLOOKUP(LEFT(E79, IFERROR(FIND(" ", E79, 1),1) - 1), lists!$A$31:$B$37, 2, FALSE),"")</f>
        <v/>
      </c>
      <c r="M79" s="18" t="str">
        <f>IFERROR(__xludf.DUMMYFUNCTION("IFNA(VLOOKUP(IFNA(REGEXEXTRACT(E79, ""(Пасхи|50-ці|посту)""),""""),lists!$A$39:$B$41,2,FALSE),"""")"),"")</f>
        <v/>
      </c>
      <c r="N79" s="19" t="str">
        <f>IFERROR(__xludf.DUMMYFUNCTION("IFNA(REGEXEXTRACT(E79, ""\d{1,2}""),"""")"),"")</f>
        <v/>
      </c>
      <c r="O79" s="14" t="b">
        <f t="shared" si="3"/>
        <v>0</v>
      </c>
    </row>
    <row r="80">
      <c r="A80" s="13" t="s">
        <v>1496</v>
      </c>
      <c r="B80" s="9" t="str">
        <f t="shared" si="1"/>
        <v>Мт.</v>
      </c>
      <c r="C80" s="11" t="str">
        <f t="shared" si="2"/>
        <v>3</v>
      </c>
      <c r="D80" s="9"/>
      <c r="E80" s="13" t="s">
        <v>1497</v>
      </c>
      <c r="F80" s="14"/>
      <c r="G80" s="15" t="s">
        <v>70</v>
      </c>
      <c r="H80" s="16" t="s">
        <v>71</v>
      </c>
      <c r="I80" s="73" t="s">
        <v>71</v>
      </c>
      <c r="J80" s="54"/>
      <c r="K80" s="55" t="s">
        <v>71</v>
      </c>
      <c r="L80" s="18" t="str">
        <f>IFNA( VLOOKUP(LEFT(E80, IFERROR(FIND(" ", E80, 1),1) - 1), lists!$A$31:$B$37, 2, FALSE),"")</f>
        <v/>
      </c>
      <c r="M80" s="18" t="str">
        <f>IFERROR(__xludf.DUMMYFUNCTION("IFNA(VLOOKUP(IFNA(REGEXEXTRACT(E80, ""(Пасхи|50-ці|посту)""),""""),lists!$A$39:$B$41,2,FALSE),"""")"),"")</f>
        <v/>
      </c>
      <c r="N80" s="19" t="str">
        <f>IFERROR(__xludf.DUMMYFUNCTION("IFNA(REGEXEXTRACT(E80, ""\d{1,2}""),"""")"),"")</f>
        <v/>
      </c>
      <c r="O80" s="14" t="b">
        <f t="shared" si="3"/>
        <v>0</v>
      </c>
    </row>
    <row r="81">
      <c r="A81" s="79" t="s">
        <v>1498</v>
      </c>
      <c r="B81" s="9" t="str">
        <f t="shared" si="1"/>
        <v>Мт.</v>
      </c>
      <c r="C81" s="11" t="str">
        <f t="shared" si="2"/>
        <v>4</v>
      </c>
      <c r="D81" s="9"/>
      <c r="E81" s="13" t="s">
        <v>1499</v>
      </c>
      <c r="F81" s="14"/>
      <c r="G81" s="15" t="s">
        <v>70</v>
      </c>
      <c r="H81" s="16" t="s">
        <v>71</v>
      </c>
      <c r="I81" s="73">
        <v>26.0</v>
      </c>
      <c r="J81" s="54"/>
      <c r="K81" s="55" t="s">
        <v>71</v>
      </c>
      <c r="L81" s="18" t="str">
        <f>IFNA( VLOOKUP(LEFT(E81, IFERROR(FIND(" ", E81, 1),1) - 1), lists!$A$31:$B$37, 2, FALSE),"")</f>
        <v/>
      </c>
      <c r="M81" s="18" t="str">
        <f>IFERROR(__xludf.DUMMYFUNCTION("IFNA(VLOOKUP(IFNA(REGEXEXTRACT(E81, ""(Пасхи|50-ці|посту)""),""""),lists!$A$39:$B$41,2,FALSE),"""")"),"")</f>
        <v/>
      </c>
      <c r="N81" s="19" t="str">
        <f>IFERROR(__xludf.DUMMYFUNCTION("IFNA(REGEXEXTRACT(E81, ""\d{1,2}""),"""")"),"26")</f>
        <v>26</v>
      </c>
      <c r="O81" s="14" t="b">
        <f t="shared" si="3"/>
        <v>0</v>
      </c>
    </row>
    <row r="82">
      <c r="A82" s="13" t="s">
        <v>1500</v>
      </c>
      <c r="B82" s="9" t="str">
        <f t="shared" si="1"/>
        <v>Мт.</v>
      </c>
      <c r="C82" s="11" t="str">
        <f t="shared" si="2"/>
        <v>5</v>
      </c>
      <c r="D82" s="9"/>
      <c r="E82" s="13" t="s">
        <v>1501</v>
      </c>
      <c r="F82" s="14"/>
      <c r="G82" s="15" t="s">
        <v>70</v>
      </c>
      <c r="H82" s="16" t="s">
        <v>71</v>
      </c>
      <c r="I82" s="73" t="s">
        <v>71</v>
      </c>
      <c r="J82" s="54"/>
      <c r="K82" s="55">
        <v>6.0</v>
      </c>
      <c r="L82" s="18">
        <f>IFNA( VLOOKUP(LEFT(E82, IFERROR(FIND(" ", E82, 1),1) - 1), lists!$A$31:$B$37, 2, FALSE),"")</f>
        <v>6</v>
      </c>
      <c r="M82" s="18" t="str">
        <f>IFERROR(__xludf.DUMMYFUNCTION("IFNA(VLOOKUP(IFNA(REGEXEXTRACT(E82, ""(Пасхи|50-ці|посту)""),""""),lists!$A$39:$B$41,2,FALSE),"""")"),"")</f>
        <v/>
      </c>
      <c r="N82" s="19" t="str">
        <f>IFERROR(__xludf.DUMMYFUNCTION("IFNA(REGEXEXTRACT(E82, ""\d{1,2}""),"""")"),"")</f>
        <v/>
      </c>
      <c r="O82" s="14" t="b">
        <f t="shared" si="3"/>
        <v>0</v>
      </c>
    </row>
    <row r="83">
      <c r="A83" s="13" t="s">
        <v>1502</v>
      </c>
      <c r="B83" s="9" t="str">
        <f t="shared" si="1"/>
        <v>Мт.</v>
      </c>
      <c r="C83" s="11" t="str">
        <f t="shared" si="2"/>
        <v>6</v>
      </c>
      <c r="D83" s="9"/>
      <c r="E83" s="13" t="s">
        <v>1503</v>
      </c>
      <c r="F83" s="14"/>
      <c r="G83" s="15" t="s">
        <v>70</v>
      </c>
      <c r="H83" s="16" t="s">
        <v>71</v>
      </c>
      <c r="I83" s="73" t="s">
        <v>71</v>
      </c>
      <c r="J83" s="54"/>
      <c r="K83" s="55" t="s">
        <v>71</v>
      </c>
      <c r="L83" s="18" t="str">
        <f>IFNA( VLOOKUP(LEFT(E83, IFERROR(FIND(" ", E83, 1),1) - 1), lists!$A$31:$B$37, 2, FALSE),"")</f>
        <v/>
      </c>
      <c r="M83" s="18" t="str">
        <f>IFERROR(__xludf.DUMMYFUNCTION("IFNA(VLOOKUP(IFNA(REGEXEXTRACT(E83, ""(Пасхи|50-ці|посту)""),""""),lists!$A$39:$B$41,2,FALSE),"""")"),"")</f>
        <v/>
      </c>
      <c r="N83" s="19" t="str">
        <f>IFERROR(__xludf.DUMMYFUNCTION("IFNA(REGEXEXTRACT(E83, ""\d{1,2}""),"""")"),"")</f>
        <v/>
      </c>
      <c r="O83" s="14" t="b">
        <f t="shared" si="3"/>
        <v>0</v>
      </c>
    </row>
    <row r="84">
      <c r="A84" s="13" t="s">
        <v>1504</v>
      </c>
      <c r="B84" s="9" t="str">
        <f t="shared" si="1"/>
        <v>Мт.</v>
      </c>
      <c r="C84" s="11" t="str">
        <f t="shared" si="2"/>
        <v>7</v>
      </c>
      <c r="D84" s="9"/>
      <c r="E84" s="13" t="s">
        <v>1505</v>
      </c>
      <c r="F84" s="14"/>
      <c r="G84" s="15" t="s">
        <v>70</v>
      </c>
      <c r="H84" s="16" t="s">
        <v>71</v>
      </c>
      <c r="I84" s="73" t="s">
        <v>71</v>
      </c>
      <c r="J84" s="54"/>
      <c r="K84" s="55">
        <v>6.0</v>
      </c>
      <c r="L84" s="18">
        <f>IFNA( VLOOKUP(LEFT(E84, IFERROR(FIND(" ", E84, 1),1) - 1), lists!$A$31:$B$37, 2, FALSE),"")</f>
        <v>6</v>
      </c>
      <c r="M84" s="18" t="str">
        <f>IFERROR(__xludf.DUMMYFUNCTION("IFNA(VLOOKUP(IFNA(REGEXEXTRACT(E84, ""(Пасхи|50-ці|посту)""),""""),lists!$A$39:$B$41,2,FALSE),"""")"),"")</f>
        <v/>
      </c>
      <c r="N84" s="19" t="str">
        <f>IFERROR(__xludf.DUMMYFUNCTION("IFNA(REGEXEXTRACT(E84, ""\d{1,2}""),"""")"),"")</f>
        <v/>
      </c>
      <c r="O84" s="14" t="b">
        <f t="shared" si="3"/>
        <v>0</v>
      </c>
    </row>
    <row r="85">
      <c r="A85" s="13" t="s">
        <v>1506</v>
      </c>
      <c r="B85" s="9" t="str">
        <f t="shared" si="1"/>
        <v>Мт.</v>
      </c>
      <c r="C85" s="11" t="str">
        <f t="shared" si="2"/>
        <v>8</v>
      </c>
      <c r="D85" s="9"/>
      <c r="E85" s="13" t="s">
        <v>1507</v>
      </c>
      <c r="F85" s="14"/>
      <c r="G85" s="15" t="s">
        <v>70</v>
      </c>
      <c r="H85" s="16" t="s">
        <v>71</v>
      </c>
      <c r="I85" s="73" t="s">
        <v>71</v>
      </c>
      <c r="J85" s="54"/>
      <c r="K85" s="55">
        <v>7.0</v>
      </c>
      <c r="L85" s="18">
        <f>IFNA( VLOOKUP(LEFT(E85, IFERROR(FIND(" ", E85, 1),1) - 1), lists!$A$31:$B$37, 2, FALSE),"")</f>
        <v>7</v>
      </c>
      <c r="M85" s="18" t="str">
        <f>IFERROR(__xludf.DUMMYFUNCTION("IFNA(VLOOKUP(IFNA(REGEXEXTRACT(E85, ""(Пасхи|50-ці|посту)""),""""),lists!$A$39:$B$41,2,FALSE),"""")"),"")</f>
        <v/>
      </c>
      <c r="N85" s="19" t="str">
        <f>IFERROR(__xludf.DUMMYFUNCTION("IFNA(REGEXEXTRACT(E85, ""\d{1,2}""),"""")"),"")</f>
        <v/>
      </c>
      <c r="O85" s="14" t="b">
        <f t="shared" si="3"/>
        <v>0</v>
      </c>
    </row>
    <row r="86">
      <c r="A86" s="13" t="s">
        <v>1514</v>
      </c>
      <c r="B86" s="9" t="str">
        <f t="shared" si="1"/>
        <v>Мт.</v>
      </c>
      <c r="C86" s="11" t="str">
        <f t="shared" si="2"/>
        <v>10</v>
      </c>
      <c r="D86" s="12" t="s">
        <v>116</v>
      </c>
      <c r="E86" s="13" t="s">
        <v>1515</v>
      </c>
      <c r="F86" s="14"/>
      <c r="G86" s="15" t="s">
        <v>70</v>
      </c>
      <c r="H86" s="16" t="s">
        <v>71</v>
      </c>
      <c r="I86" s="73" t="s">
        <v>71</v>
      </c>
      <c r="J86" s="54"/>
      <c r="K86" s="55" t="s">
        <v>71</v>
      </c>
      <c r="L86" s="18" t="str">
        <f>IFNA( VLOOKUP(LEFT(E86, IFERROR(FIND(" ", E86, 1),1) - 1), lists!$A$31:$B$37, 2, FALSE),"")</f>
        <v/>
      </c>
      <c r="M86" s="18" t="str">
        <f>IFERROR(__xludf.DUMMYFUNCTION("IFNA(VLOOKUP(IFNA(REGEXEXTRACT(E86, ""(Пасхи|50-ці|посту)""),""""),lists!$A$39:$B$41,2,FALSE),"""")"),"")</f>
        <v/>
      </c>
      <c r="N86" s="19" t="str">
        <f>IFERROR(__xludf.DUMMYFUNCTION("IFNA(REGEXEXTRACT(E86, ""\d{1,2}""),"""")"),"")</f>
        <v/>
      </c>
      <c r="O86" s="14" t="b">
        <f t="shared" si="3"/>
        <v>0</v>
      </c>
    </row>
    <row r="87">
      <c r="A87" s="13" t="s">
        <v>1516</v>
      </c>
      <c r="B87" s="9" t="str">
        <f t="shared" si="1"/>
        <v>Мт.</v>
      </c>
      <c r="C87" s="11" t="str">
        <f t="shared" si="2"/>
        <v>11</v>
      </c>
      <c r="D87" s="9"/>
      <c r="E87" s="13" t="s">
        <v>1517</v>
      </c>
      <c r="F87" s="14"/>
      <c r="G87" s="15" t="s">
        <v>70</v>
      </c>
      <c r="H87" s="16" t="s">
        <v>71</v>
      </c>
      <c r="I87" s="73" t="s">
        <v>71</v>
      </c>
      <c r="J87" s="54"/>
      <c r="K87" s="55" t="s">
        <v>71</v>
      </c>
      <c r="L87" s="18" t="str">
        <f>IFNA( VLOOKUP(LEFT(E87, IFERROR(FIND(" ", E87, 1),1) - 1), lists!$A$31:$B$37, 2, FALSE),"")</f>
        <v/>
      </c>
      <c r="M87" s="18" t="str">
        <f>IFERROR(__xludf.DUMMYFUNCTION("IFNA(VLOOKUP(IFNA(REGEXEXTRACT(E87, ""(Пасхи|50-ці|посту)""),""""),lists!$A$39:$B$41,2,FALSE),"""")"),"")</f>
        <v/>
      </c>
      <c r="N87" s="19" t="str">
        <f>IFERROR(__xludf.DUMMYFUNCTION("IFNA(REGEXEXTRACT(E87, ""\d{1,2}""),"""")"),"")</f>
        <v/>
      </c>
      <c r="O87" s="14" t="b">
        <f t="shared" si="3"/>
        <v>0</v>
      </c>
    </row>
    <row r="88">
      <c r="A88" s="13" t="s">
        <v>1534</v>
      </c>
      <c r="B88" s="9" t="str">
        <f t="shared" si="1"/>
        <v>Мт.</v>
      </c>
      <c r="C88" s="11" t="str">
        <f t="shared" si="2"/>
        <v>20</v>
      </c>
      <c r="D88" s="80" t="s">
        <v>22</v>
      </c>
      <c r="E88" s="13" t="s">
        <v>1535</v>
      </c>
      <c r="F88" s="14"/>
      <c r="G88" s="15" t="s">
        <v>70</v>
      </c>
      <c r="H88" s="16" t="s">
        <v>71</v>
      </c>
      <c r="I88" s="73" t="s">
        <v>71</v>
      </c>
      <c r="J88" s="54"/>
      <c r="K88" s="55" t="s">
        <v>71</v>
      </c>
      <c r="L88" s="18" t="str">
        <f>IFNA( VLOOKUP(LEFT(E88, IFERROR(FIND(" ", E88, 1),1) - 1), lists!$A$31:$B$37, 2, FALSE),"")</f>
        <v/>
      </c>
      <c r="M88" s="18" t="str">
        <f>IFERROR(__xludf.DUMMYFUNCTION("IFNA(VLOOKUP(IFNA(REGEXEXTRACT(E88, ""(Пасхи|50-ці|посту)""),""""),lists!$A$39:$B$41,2,FALSE),"""")"),"")</f>
        <v/>
      </c>
      <c r="N88" s="19" t="str">
        <f>IFERROR(__xludf.DUMMYFUNCTION("IFNA(REGEXEXTRACT(E88, ""\d{1,2}""),"""")"),"")</f>
        <v/>
      </c>
      <c r="O88" s="14" t="b">
        <f t="shared" si="3"/>
        <v>0</v>
      </c>
    </row>
    <row r="89">
      <c r="A89" s="13" t="s">
        <v>1536</v>
      </c>
      <c r="B89" s="9" t="str">
        <f t="shared" si="1"/>
        <v>Мт.</v>
      </c>
      <c r="C89" s="11" t="str">
        <f t="shared" si="2"/>
        <v>21</v>
      </c>
      <c r="D89" s="9"/>
      <c r="E89" s="13" t="s">
        <v>1537</v>
      </c>
      <c r="F89" s="14"/>
      <c r="G89" s="15" t="s">
        <v>70</v>
      </c>
      <c r="H89" s="16" t="s">
        <v>71</v>
      </c>
      <c r="I89" s="73" t="s">
        <v>71</v>
      </c>
      <c r="J89" s="54"/>
      <c r="K89" s="55" t="s">
        <v>71</v>
      </c>
      <c r="L89" s="18" t="str">
        <f>IFNA( VLOOKUP(LEFT(E89, IFERROR(FIND(" ", E89, 1),1) - 1), lists!$A$31:$B$37, 2, FALSE),"")</f>
        <v/>
      </c>
      <c r="M89" s="18" t="str">
        <f>IFERROR(__xludf.DUMMYFUNCTION("IFNA(VLOOKUP(IFNA(REGEXEXTRACT(E89, ""(Пасхи|50-ці|посту)""),""""),lists!$A$39:$B$41,2,FALSE),"""")"),"")</f>
        <v/>
      </c>
      <c r="N89" s="19" t="str">
        <f>IFERROR(__xludf.DUMMYFUNCTION("IFNA(REGEXEXTRACT(E89, ""\d{1,2}""),"""")"),"")</f>
        <v/>
      </c>
      <c r="O89" s="14" t="b">
        <f t="shared" si="3"/>
        <v>0</v>
      </c>
    </row>
    <row r="90">
      <c r="A90" s="13" t="s">
        <v>1552</v>
      </c>
      <c r="B90" s="9" t="str">
        <f t="shared" si="1"/>
        <v>Мт.</v>
      </c>
      <c r="C90" s="11" t="str">
        <f t="shared" si="2"/>
        <v>30</v>
      </c>
      <c r="D90" s="9"/>
      <c r="E90" s="13" t="s">
        <v>1553</v>
      </c>
      <c r="F90" s="14"/>
      <c r="G90" s="15" t="s">
        <v>70</v>
      </c>
      <c r="H90" s="16" t="s">
        <v>29</v>
      </c>
      <c r="I90" s="73">
        <v>5.0</v>
      </c>
      <c r="J90" s="54"/>
      <c r="K90" s="55">
        <v>6.0</v>
      </c>
      <c r="L90" s="18">
        <f>IFNA( VLOOKUP(LEFT(E90, IFERROR(FIND(" ", E90, 1),1) - 1), lists!$A$31:$B$37, 2, FALSE),"")</f>
        <v>6</v>
      </c>
      <c r="M90" s="18" t="str">
        <f>IFERROR(__xludf.DUMMYFUNCTION("IFNA(VLOOKUP(IFNA(REGEXEXTRACT(E90, ""(Пасхи|50-ці|посту)""),""""),lists!$A$39:$B$41,2,FALSE),"""")"),"")</f>
        <v/>
      </c>
      <c r="N90" s="19" t="str">
        <f>IFERROR(__xludf.DUMMYFUNCTION("IFNA(REGEXEXTRACT(E90, ""\d{1,2}""),"""")"),"5")</f>
        <v>5</v>
      </c>
      <c r="O90" s="14" t="b">
        <f t="shared" si="3"/>
        <v>0</v>
      </c>
    </row>
    <row r="91">
      <c r="A91" s="21" t="s">
        <v>1559</v>
      </c>
      <c r="B91" s="9" t="str">
        <f t="shared" si="1"/>
        <v>Мт.</v>
      </c>
      <c r="C91" s="11" t="str">
        <f t="shared" si="2"/>
        <v>34</v>
      </c>
      <c r="D91" s="12" t="s">
        <v>22</v>
      </c>
      <c r="E91" s="13" t="s">
        <v>1560</v>
      </c>
      <c r="F91" s="14"/>
      <c r="G91" s="15" t="s">
        <v>70</v>
      </c>
      <c r="H91" s="16" t="s">
        <v>71</v>
      </c>
      <c r="I91" s="73">
        <v>1.0</v>
      </c>
      <c r="J91" s="54"/>
      <c r="K91" s="55" t="s">
        <v>71</v>
      </c>
      <c r="L91" s="18" t="str">
        <f>IFNA( VLOOKUP(LEFT(E91, IFERROR(FIND(" ", E91, 1),1) - 1), lists!$A$31:$B$37, 2, FALSE),"")</f>
        <v/>
      </c>
      <c r="M91" s="18" t="str">
        <f>IFERROR(__xludf.DUMMYFUNCTION("IFNA(VLOOKUP(IFNA(REGEXEXTRACT(E91, ""(Пасхи|50-ці|посту)""),""""),lists!$A$39:$B$41,2,FALSE),"""")"),"")</f>
        <v/>
      </c>
      <c r="N91" s="19" t="str">
        <f>IFERROR(__xludf.DUMMYFUNCTION("IFNA(REGEXEXTRACT(E91, ""\d{1,2}""),"""")"),"1")</f>
        <v>1</v>
      </c>
      <c r="O91" s="14" t="b">
        <f t="shared" si="3"/>
        <v>0</v>
      </c>
    </row>
    <row r="92">
      <c r="A92" s="13" t="s">
        <v>1562</v>
      </c>
      <c r="B92" s="9" t="str">
        <f t="shared" si="1"/>
        <v>Мт.</v>
      </c>
      <c r="C92" s="11" t="str">
        <f t="shared" si="2"/>
        <v>36</v>
      </c>
      <c r="D92" s="9"/>
      <c r="E92" s="13" t="s">
        <v>1563</v>
      </c>
      <c r="F92" s="14"/>
      <c r="G92" s="15" t="s">
        <v>70</v>
      </c>
      <c r="H92" s="16" t="s">
        <v>29</v>
      </c>
      <c r="I92" s="73">
        <v>3.0</v>
      </c>
      <c r="J92" s="54"/>
      <c r="K92" s="55">
        <v>3.0</v>
      </c>
      <c r="L92" s="18">
        <f>IFNA( VLOOKUP(LEFT(E92, IFERROR(FIND(" ", E92, 1),1) - 1), lists!$A$31:$B$37, 2, FALSE),"")</f>
        <v>3</v>
      </c>
      <c r="M92" s="18" t="str">
        <f>IFERROR(__xludf.DUMMYFUNCTION("IFNA(VLOOKUP(IFNA(REGEXEXTRACT(E92, ""(Пасхи|50-ці|посту)""),""""),lists!$A$39:$B$41,2,FALSE),"""")"),"")</f>
        <v/>
      </c>
      <c r="N92" s="19" t="str">
        <f>IFERROR(__xludf.DUMMYFUNCTION("IFNA(REGEXEXTRACT(E92, ""\d{1,2}""),"""")"),"3")</f>
        <v>3</v>
      </c>
      <c r="O92" s="14" t="b">
        <f t="shared" si="3"/>
        <v>0</v>
      </c>
    </row>
    <row r="93">
      <c r="A93" s="13" t="s">
        <v>1568</v>
      </c>
      <c r="B93" s="9" t="str">
        <f t="shared" si="1"/>
        <v>Мт.</v>
      </c>
      <c r="C93" s="11" t="str">
        <f t="shared" si="2"/>
        <v>39</v>
      </c>
      <c r="D93" s="9"/>
      <c r="E93" s="13" t="s">
        <v>1569</v>
      </c>
      <c r="F93" s="14"/>
      <c r="G93" s="15" t="s">
        <v>70</v>
      </c>
      <c r="H93" s="16" t="s">
        <v>29</v>
      </c>
      <c r="I93" s="73">
        <v>7.0</v>
      </c>
      <c r="J93" s="54"/>
      <c r="K93" s="55">
        <v>6.0</v>
      </c>
      <c r="L93" s="18">
        <f>IFNA( VLOOKUP(LEFT(E93, IFERROR(FIND(" ", E93, 1),1) - 1), lists!$A$31:$B$37, 2, FALSE),"")</f>
        <v>6</v>
      </c>
      <c r="M93" s="18" t="str">
        <f>IFERROR(__xludf.DUMMYFUNCTION("IFNA(VLOOKUP(IFNA(REGEXEXTRACT(E93, ""(Пасхи|50-ці|посту)""),""""),lists!$A$39:$B$41,2,FALSE),"""")"),"")</f>
        <v/>
      </c>
      <c r="N93" s="19" t="str">
        <f>IFERROR(__xludf.DUMMYFUNCTION("IFNA(REGEXEXTRACT(E93, ""\d{1,2}""),"""")"),"7")</f>
        <v>7</v>
      </c>
      <c r="O93" s="14" t="b">
        <f t="shared" si="3"/>
        <v>0</v>
      </c>
    </row>
    <row r="94">
      <c r="A94" s="13" t="s">
        <v>1570</v>
      </c>
      <c r="B94" s="9" t="str">
        <f t="shared" si="1"/>
        <v>Мт.</v>
      </c>
      <c r="C94" s="11" t="str">
        <f t="shared" si="2"/>
        <v>40</v>
      </c>
      <c r="D94" s="9"/>
      <c r="E94" s="13" t="s">
        <v>1571</v>
      </c>
      <c r="F94" s="14"/>
      <c r="G94" s="15" t="s">
        <v>70</v>
      </c>
      <c r="H94" s="16" t="s">
        <v>29</v>
      </c>
      <c r="I94" s="73">
        <v>4.0</v>
      </c>
      <c r="J94" s="54"/>
      <c r="K94" s="55">
        <v>1.0</v>
      </c>
      <c r="L94" s="18">
        <f>IFNA( VLOOKUP(LEFT(E94, IFERROR(FIND(" ", E94, 1),1) - 1), lists!$A$31:$B$37, 2, FALSE),"")</f>
        <v>1</v>
      </c>
      <c r="M94" s="18" t="str">
        <f>IFERROR(__xludf.DUMMYFUNCTION("IFNA(VLOOKUP(IFNA(REGEXEXTRACT(E94, ""(Пасхи|50-ці|посту)""),""""),lists!$A$39:$B$41,2,FALSE),"""")"),"")</f>
        <v/>
      </c>
      <c r="N94" s="19" t="str">
        <f>IFERROR(__xludf.DUMMYFUNCTION("IFNA(REGEXEXTRACT(E94, ""\d{1,2}""),"""")"),"4")</f>
        <v>4</v>
      </c>
      <c r="O94" s="14" t="b">
        <f t="shared" si="3"/>
        <v>0</v>
      </c>
    </row>
    <row r="95">
      <c r="A95" s="13" t="s">
        <v>1580</v>
      </c>
      <c r="B95" s="9" t="str">
        <f t="shared" si="1"/>
        <v>Мт.</v>
      </c>
      <c r="C95" s="11" t="str">
        <f t="shared" si="2"/>
        <v>46</v>
      </c>
      <c r="D95" s="12" t="s">
        <v>22</v>
      </c>
      <c r="E95" s="13" t="s">
        <v>724</v>
      </c>
      <c r="F95" s="14"/>
      <c r="G95" s="15" t="s">
        <v>70</v>
      </c>
      <c r="H95" s="16" t="s">
        <v>71</v>
      </c>
      <c r="I95" s="73" t="s">
        <v>71</v>
      </c>
      <c r="J95" s="54"/>
      <c r="K95" s="55">
        <v>6.0</v>
      </c>
      <c r="L95" s="18">
        <f>IFNA( VLOOKUP(LEFT(E95, IFERROR(FIND(" ", E95, 1),1) - 1), lists!$A$31:$B$37, 2, FALSE),"")</f>
        <v>6</v>
      </c>
      <c r="M95" s="18" t="str">
        <f>IFERROR(__xludf.DUMMYFUNCTION("IFNA(VLOOKUP(IFNA(REGEXEXTRACT(E95, ""(Пасхи|50-ці|посту)""),""""),lists!$A$39:$B$41,2,FALSE),"""")"),"")</f>
        <v/>
      </c>
      <c r="N95" s="19" t="str">
        <f>IFERROR(__xludf.DUMMYFUNCTION("IFNA(REGEXEXTRACT(E95, ""\d{1,2}""),"""")"),"")</f>
        <v/>
      </c>
      <c r="O95" s="14" t="b">
        <f t="shared" si="3"/>
        <v>0</v>
      </c>
    </row>
    <row r="96">
      <c r="A96" s="13" t="s">
        <v>1587</v>
      </c>
      <c r="B96" s="9" t="str">
        <f t="shared" si="1"/>
        <v>Мт.</v>
      </c>
      <c r="C96" s="11" t="str">
        <f t="shared" si="2"/>
        <v>52</v>
      </c>
      <c r="D96" s="80" t="s">
        <v>22</v>
      </c>
      <c r="E96" s="13" t="s">
        <v>1588</v>
      </c>
      <c r="F96" s="14"/>
      <c r="G96" s="15" t="s">
        <v>70</v>
      </c>
      <c r="H96" s="16" t="s">
        <v>71</v>
      </c>
      <c r="I96" s="73" t="s">
        <v>71</v>
      </c>
      <c r="J96" s="54"/>
      <c r="K96" s="55" t="s">
        <v>71</v>
      </c>
      <c r="L96" s="18" t="str">
        <f>IFNA( VLOOKUP(LEFT(E96, IFERROR(FIND(" ", E96, 1),1) - 1), lists!$A$31:$B$37, 2, FALSE),"")</f>
        <v/>
      </c>
      <c r="M96" s="18" t="str">
        <f>IFERROR(__xludf.DUMMYFUNCTION("IFNA(VLOOKUP(IFNA(REGEXEXTRACT(E96, ""(Пасхи|50-ці|посту)""),""""),lists!$A$39:$B$41,2,FALSE),"""")"),"")</f>
        <v/>
      </c>
      <c r="N96" s="19" t="str">
        <f>IFERROR(__xludf.DUMMYFUNCTION("IFNA(REGEXEXTRACT(E96, ""\d{1,2}""),"""")"),"")</f>
        <v/>
      </c>
      <c r="O96" s="14" t="b">
        <f t="shared" si="3"/>
        <v>0</v>
      </c>
    </row>
    <row r="97">
      <c r="A97" s="13" t="s">
        <v>1593</v>
      </c>
      <c r="B97" s="9" t="str">
        <f t="shared" si="1"/>
        <v>Мт.</v>
      </c>
      <c r="C97" s="11" t="str">
        <f t="shared" si="2"/>
        <v>55</v>
      </c>
      <c r="D97" s="9"/>
      <c r="E97" s="13" t="s">
        <v>1594</v>
      </c>
      <c r="F97" s="14"/>
      <c r="G97" s="15" t="s">
        <v>70</v>
      </c>
      <c r="H97" s="16" t="s">
        <v>29</v>
      </c>
      <c r="I97" s="73">
        <v>6.0</v>
      </c>
      <c r="J97" s="54"/>
      <c r="K97" s="55">
        <v>5.0</v>
      </c>
      <c r="L97" s="18">
        <f>IFNA( VLOOKUP(LEFT(E97, IFERROR(FIND(" ", E97, 1),1) - 1), lists!$A$31:$B$37, 2, FALSE),"")</f>
        <v>5</v>
      </c>
      <c r="M97" s="18" t="str">
        <f>IFERROR(__xludf.DUMMYFUNCTION("IFNA(VLOOKUP(IFNA(REGEXEXTRACT(E97, ""(Пасхи|50-ці|посту)""),""""),lists!$A$39:$B$41,2,FALSE),"""")"),"")</f>
        <v/>
      </c>
      <c r="N97" s="19" t="str">
        <f>IFERROR(__xludf.DUMMYFUNCTION("IFNA(REGEXEXTRACT(E97, ""\d{1,2}""),"""")"),"6")</f>
        <v>6</v>
      </c>
      <c r="O97" s="14" t="b">
        <f t="shared" si="3"/>
        <v>0</v>
      </c>
    </row>
    <row r="98">
      <c r="A98" s="13" t="s">
        <v>1598</v>
      </c>
      <c r="B98" s="9" t="str">
        <f t="shared" si="1"/>
        <v>Мт.</v>
      </c>
      <c r="C98" s="11" t="str">
        <f t="shared" si="2"/>
        <v>57</v>
      </c>
      <c r="D98" s="9"/>
      <c r="E98" s="13" t="s">
        <v>1599</v>
      </c>
      <c r="F98" s="9" t="s">
        <v>1600</v>
      </c>
      <c r="G98" s="15" t="s">
        <v>70</v>
      </c>
      <c r="H98" s="16" t="s">
        <v>29</v>
      </c>
      <c r="I98" s="73">
        <v>7.0</v>
      </c>
      <c r="J98" s="55"/>
      <c r="K98" s="55">
        <v>2.0</v>
      </c>
      <c r="L98" s="18">
        <f>IFNA( VLOOKUP(LEFT(E98, IFERROR(FIND(" ", E98, 1),1) - 1), lists!$A$31:$B$37, 2, FALSE),"")</f>
        <v>2</v>
      </c>
      <c r="M98" s="18" t="str">
        <f>IFERROR(__xludf.DUMMYFUNCTION("IFNA(VLOOKUP(IFNA(REGEXEXTRACT(E98, ""(Пасхи|50-ці|посту)""),""""),lists!$A$39:$B$41,2,FALSE),"""")"),"")</f>
        <v/>
      </c>
      <c r="N98" s="19" t="str">
        <f>IFERROR(__xludf.DUMMYFUNCTION("IFNA(REGEXEXTRACT(E98, ""\d{1,2}""),"""")"),"7")</f>
        <v>7</v>
      </c>
      <c r="O98" s="14" t="b">
        <f t="shared" si="3"/>
        <v>0</v>
      </c>
    </row>
    <row r="99">
      <c r="A99" s="13" t="s">
        <v>1616</v>
      </c>
      <c r="B99" s="9" t="str">
        <f t="shared" si="1"/>
        <v>Мт.</v>
      </c>
      <c r="C99" s="11" t="str">
        <f t="shared" si="2"/>
        <v>67</v>
      </c>
      <c r="D99" s="12" t="s">
        <v>18</v>
      </c>
      <c r="E99" s="13" t="s">
        <v>1742</v>
      </c>
      <c r="F99" s="14"/>
      <c r="G99" s="15" t="s">
        <v>70</v>
      </c>
      <c r="H99" s="16" t="s">
        <v>71</v>
      </c>
      <c r="I99" s="73">
        <v>29.0</v>
      </c>
      <c r="J99" s="54"/>
      <c r="K99" s="55" t="s">
        <v>71</v>
      </c>
      <c r="L99" s="18" t="str">
        <f>IFNA( VLOOKUP(LEFT(E99, IFERROR(FIND(" ", E99, 1),1) - 1), lists!$A$31:$B$37, 2, FALSE),"")</f>
        <v/>
      </c>
      <c r="M99" s="18" t="str">
        <f>IFERROR(__xludf.DUMMYFUNCTION("IFNA(VLOOKUP(IFNA(REGEXEXTRACT(E99, ""(Пасхи|50-ці|посту)""),""""),lists!$A$39:$B$41,2,FALSE),"""")"),"")</f>
        <v/>
      </c>
      <c r="N99" s="19" t="str">
        <f>IFERROR(__xludf.DUMMYFUNCTION("IFNA(REGEXEXTRACT(E99, ""\d{1,2}""),"""")"),"29")</f>
        <v>29</v>
      </c>
      <c r="O99" s="14" t="b">
        <f t="shared" si="3"/>
        <v>0</v>
      </c>
    </row>
    <row r="100">
      <c r="A100" s="13" t="s">
        <v>1618</v>
      </c>
      <c r="B100" s="9" t="str">
        <f t="shared" si="1"/>
        <v>Мт.</v>
      </c>
      <c r="C100" s="11" t="str">
        <f t="shared" si="2"/>
        <v>67</v>
      </c>
      <c r="D100" s="12" t="s">
        <v>22</v>
      </c>
      <c r="E100" s="13" t="s">
        <v>1619</v>
      </c>
      <c r="F100" s="14"/>
      <c r="G100" s="15" t="s">
        <v>70</v>
      </c>
      <c r="H100" s="16" t="s">
        <v>71</v>
      </c>
      <c r="I100" s="73" t="s">
        <v>71</v>
      </c>
      <c r="J100" s="54"/>
      <c r="K100" s="55" t="s">
        <v>71</v>
      </c>
      <c r="L100" s="18" t="str">
        <f>IFNA( VLOOKUP(LEFT(E100, IFERROR(FIND(" ", E100, 1),1) - 1), lists!$A$31:$B$37, 2, FALSE),"")</f>
        <v/>
      </c>
      <c r="M100" s="18" t="str">
        <f>IFERROR(__xludf.DUMMYFUNCTION("IFNA(VLOOKUP(IFNA(REGEXEXTRACT(E100, ""(Пасхи|50-ці|посту)""),""""),lists!$A$39:$B$41,2,FALSE),"""")"),"")</f>
        <v/>
      </c>
      <c r="N100" s="19" t="str">
        <f>IFERROR(__xludf.DUMMYFUNCTION("IFNA(REGEXEXTRACT(E100, ""\d{1,2}""),"""")"),"")</f>
        <v/>
      </c>
      <c r="O100" s="14" t="b">
        <f t="shared" si="3"/>
        <v>0</v>
      </c>
    </row>
    <row r="101">
      <c r="A101" s="13" t="s">
        <v>1624</v>
      </c>
      <c r="B101" s="9" t="str">
        <f t="shared" si="1"/>
        <v>Мт.</v>
      </c>
      <c r="C101" s="11" t="str">
        <f t="shared" si="2"/>
        <v>70</v>
      </c>
      <c r="D101" s="9"/>
      <c r="E101" s="13" t="s">
        <v>1625</v>
      </c>
      <c r="F101" s="14"/>
      <c r="G101" s="15" t="s">
        <v>70</v>
      </c>
      <c r="H101" s="16" t="s">
        <v>71</v>
      </c>
      <c r="I101" s="73">
        <v>6.0</v>
      </c>
      <c r="J101" s="54"/>
      <c r="K101" s="55" t="s">
        <v>71</v>
      </c>
      <c r="L101" s="18" t="str">
        <f>IFNA( VLOOKUP(LEFT(E101, IFERROR(FIND(" ", E101, 1),1) - 1), lists!$A$31:$B$37, 2, FALSE),"")</f>
        <v/>
      </c>
      <c r="M101" s="18" t="str">
        <f>IFERROR(__xludf.DUMMYFUNCTION("IFNA(VLOOKUP(IFNA(REGEXEXTRACT(E101, ""(Пасхи|50-ці|посту)""),""""),lists!$A$39:$B$41,2,FALSE),"""")"),"")</f>
        <v/>
      </c>
      <c r="N101" s="19" t="str">
        <f>IFERROR(__xludf.DUMMYFUNCTION("IFNA(REGEXEXTRACT(E101, ""\d{1,2}""),"""")"),"6")</f>
        <v>6</v>
      </c>
      <c r="O101" s="14" t="b">
        <f t="shared" si="3"/>
        <v>0</v>
      </c>
    </row>
    <row r="102">
      <c r="A102" s="13" t="s">
        <v>1644</v>
      </c>
      <c r="B102" s="9" t="str">
        <f t="shared" si="1"/>
        <v>Мт.</v>
      </c>
      <c r="C102" s="11" t="str">
        <f t="shared" si="2"/>
        <v>80</v>
      </c>
      <c r="D102" s="9"/>
      <c r="E102" s="21" t="s">
        <v>1645</v>
      </c>
      <c r="F102" s="14"/>
      <c r="G102" s="15" t="s">
        <v>70</v>
      </c>
      <c r="H102" s="16" t="s">
        <v>29</v>
      </c>
      <c r="I102" s="73">
        <v>9.0</v>
      </c>
      <c r="J102" s="54"/>
      <c r="K102" s="55">
        <v>3.0</v>
      </c>
      <c r="L102" s="18">
        <f>IFNA( VLOOKUP(LEFT(E102, IFERROR(FIND(" ", E102, 1),1) - 1), lists!$A$31:$B$37, 2, FALSE),"")</f>
        <v>3</v>
      </c>
      <c r="M102" s="18" t="str">
        <f>IFERROR(__xludf.DUMMYFUNCTION("IFNA(VLOOKUP(IFNA(REGEXEXTRACT(E102, ""(Пасхи|50-ці|посту)""),""""),lists!$A$39:$B$41,2,FALSE),"""")"),"")</f>
        <v/>
      </c>
      <c r="N102" s="19" t="str">
        <f>IFERROR(__xludf.DUMMYFUNCTION("IFNA(REGEXEXTRACT(E102, ""\d{1,2}""),"""")"),"9")</f>
        <v>9</v>
      </c>
      <c r="O102" s="14" t="b">
        <f t="shared" si="3"/>
        <v>0</v>
      </c>
    </row>
    <row r="103">
      <c r="A103" s="13" t="s">
        <v>1662</v>
      </c>
      <c r="B103" s="9" t="str">
        <f t="shared" si="1"/>
        <v>Мт.</v>
      </c>
      <c r="C103" s="11" t="str">
        <f t="shared" si="2"/>
        <v>87</v>
      </c>
      <c r="D103" s="9"/>
      <c r="E103" s="13" t="s">
        <v>1663</v>
      </c>
      <c r="F103" s="14"/>
      <c r="G103" s="15" t="s">
        <v>70</v>
      </c>
      <c r="H103" s="16" t="s">
        <v>29</v>
      </c>
      <c r="I103" s="73">
        <v>13.0</v>
      </c>
      <c r="J103" s="54"/>
      <c r="K103" s="55">
        <v>7.0</v>
      </c>
      <c r="L103" s="18">
        <f>IFNA( VLOOKUP(LEFT(E103, IFERROR(FIND(" ", E103, 1),1) - 1), lists!$A$31:$B$37, 2, FALSE),"")</f>
        <v>7</v>
      </c>
      <c r="M103" s="18" t="str">
        <f>IFERROR(__xludf.DUMMYFUNCTION("IFNA(VLOOKUP(IFNA(REGEXEXTRACT(E103, ""(Пасхи|50-ці|посту)""),""""),lists!$A$39:$B$41,2,FALSE),"""")"),"")</f>
        <v/>
      </c>
      <c r="N103" s="19" t="str">
        <f>IFERROR(__xludf.DUMMYFUNCTION("IFNA(REGEXEXTRACT(E103, ""\d{1,2}""),"""")"),"13")</f>
        <v>13</v>
      </c>
      <c r="O103" s="14" t="b">
        <f t="shared" si="3"/>
        <v>0</v>
      </c>
    </row>
    <row r="104">
      <c r="A104" s="21" t="s">
        <v>1696</v>
      </c>
      <c r="B104" s="9" t="str">
        <f t="shared" si="1"/>
        <v>Мт.</v>
      </c>
      <c r="C104" s="11" t="str">
        <f t="shared" si="2"/>
        <v>103</v>
      </c>
      <c r="D104" s="9"/>
      <c r="E104" s="13" t="s">
        <v>1697</v>
      </c>
      <c r="F104" s="14"/>
      <c r="G104" s="15" t="s">
        <v>70</v>
      </c>
      <c r="H104" s="16" t="s">
        <v>71</v>
      </c>
      <c r="I104" s="54">
        <v>30.0</v>
      </c>
      <c r="J104" s="54"/>
      <c r="K104" s="55" t="s">
        <v>71</v>
      </c>
      <c r="L104" s="18" t="str">
        <f>IFNA( VLOOKUP(LEFT(E104, IFERROR(FIND(" ", E104, 1),1) - 1), lists!$A$31:$B$37, 2, FALSE),"")</f>
        <v/>
      </c>
      <c r="M104" s="18" t="str">
        <f>IFERROR(__xludf.DUMMYFUNCTION("IFNA(VLOOKUP(IFNA(REGEXEXTRACT(E104, ""(Пасхи|50-ці|посту)""),""""),lists!$A$39:$B$41,2,FALSE),"""")"),"")</f>
        <v/>
      </c>
      <c r="N104" s="19" t="str">
        <f>IFERROR(__xludf.DUMMYFUNCTION("IFNA(REGEXEXTRACT(E104, ""\d{1,2}""),"""")"),"30")</f>
        <v>30</v>
      </c>
      <c r="O104" s="14" t="b">
        <f t="shared" si="3"/>
        <v>0</v>
      </c>
    </row>
    <row r="105">
      <c r="A105" s="13" t="s">
        <v>1698</v>
      </c>
      <c r="B105" s="9" t="str">
        <f t="shared" si="1"/>
        <v>Мт.</v>
      </c>
      <c r="C105" s="11" t="str">
        <f t="shared" si="2"/>
        <v>104</v>
      </c>
      <c r="D105" s="9"/>
      <c r="E105" s="13" t="s">
        <v>1699</v>
      </c>
      <c r="F105" s="14"/>
      <c r="G105" s="15" t="s">
        <v>70</v>
      </c>
      <c r="H105" s="16" t="s">
        <v>29</v>
      </c>
      <c r="I105" s="54">
        <v>17.0</v>
      </c>
      <c r="J105" s="54"/>
      <c r="K105" s="55">
        <v>6.0</v>
      </c>
      <c r="L105" s="18">
        <f>IFNA( VLOOKUP(LEFT(E105, IFERROR(FIND(" ", E105, 1),1) - 1), lists!$A$31:$B$37, 2, FALSE),"")</f>
        <v>6</v>
      </c>
      <c r="M105" s="18" t="str">
        <f>IFERROR(__xludf.DUMMYFUNCTION("IFNA(VLOOKUP(IFNA(REGEXEXTRACT(E105, ""(Пасхи|50-ці|посту)""),""""),lists!$A$39:$B$41,2,FALSE),"""")"),"")</f>
        <v/>
      </c>
      <c r="N105" s="19" t="str">
        <f>IFERROR(__xludf.DUMMYFUNCTION("IFNA(REGEXEXTRACT(E105, ""\d{1,2}""),"""")"),"17")</f>
        <v>17</v>
      </c>
      <c r="O105" s="14" t="b">
        <f t="shared" si="3"/>
        <v>0</v>
      </c>
    </row>
    <row r="106">
      <c r="A106" s="13" t="s">
        <v>1712</v>
      </c>
      <c r="B106" s="9" t="str">
        <f t="shared" si="1"/>
        <v>Мт.</v>
      </c>
      <c r="C106" s="11" t="str">
        <f t="shared" si="2"/>
        <v>109</v>
      </c>
      <c r="D106" s="9"/>
      <c r="E106" s="13" t="s">
        <v>1713</v>
      </c>
      <c r="F106" s="14"/>
      <c r="G106" s="15" t="s">
        <v>70</v>
      </c>
      <c r="H106" s="16" t="s">
        <v>71</v>
      </c>
      <c r="I106" s="54">
        <v>3.0</v>
      </c>
      <c r="J106" s="54"/>
      <c r="K106" s="55" t="s">
        <v>71</v>
      </c>
      <c r="L106" s="18" t="str">
        <f>IFNA( VLOOKUP(LEFT(E106, IFERROR(FIND(" ", E106, 1),1) - 1), lists!$A$31:$B$37, 2, FALSE),"")</f>
        <v/>
      </c>
      <c r="M106" s="18" t="str">
        <f>IFERROR(__xludf.DUMMYFUNCTION("IFNA(VLOOKUP(IFNA(REGEXEXTRACT(E106, ""(Пасхи|50-ці|посту)""),""""),lists!$A$39:$B$41,2,FALSE),"""")"),"")</f>
        <v/>
      </c>
      <c r="N106" s="19" t="str">
        <f>IFERROR(__xludf.DUMMYFUNCTION("IFNA(REGEXEXTRACT(E106, ""\d{1,2}""),"""")"),"3")</f>
        <v>3</v>
      </c>
      <c r="O106" s="14" t="b">
        <f t="shared" si="3"/>
        <v>0</v>
      </c>
    </row>
    <row r="107">
      <c r="A107" s="21" t="s">
        <v>1714</v>
      </c>
      <c r="B107" s="9" t="str">
        <f t="shared" si="1"/>
        <v>Мт.</v>
      </c>
      <c r="C107" s="11" t="str">
        <f t="shared" si="2"/>
        <v>110</v>
      </c>
      <c r="D107" s="80" t="s">
        <v>22</v>
      </c>
      <c r="E107" s="13" t="s">
        <v>1715</v>
      </c>
      <c r="F107" s="14"/>
      <c r="G107" s="15" t="s">
        <v>70</v>
      </c>
      <c r="H107" s="16"/>
      <c r="I107" s="53"/>
      <c r="J107" s="54"/>
      <c r="K107" s="55"/>
      <c r="L107" s="18" t="str">
        <f>IFNA( VLOOKUP(LEFT(E107, IFERROR(FIND(" ", E107, 1),1) - 1), lists!$A$31:$B$37, 2, FALSE),"")</f>
        <v/>
      </c>
      <c r="M107" s="18" t="str">
        <f>IFERROR(__xludf.DUMMYFUNCTION("IFNA(VLOOKUP(IFNA(REGEXEXTRACT(E107, ""(Пасхи|50-ці|посту)""),""""),lists!$A$39:$B$41,2,FALSE),"""")"),"")</f>
        <v/>
      </c>
      <c r="N107" s="19" t="str">
        <f>IFERROR(__xludf.DUMMYFUNCTION("IFNA(REGEXEXTRACT(E107, ""\d{1,2}""),"""")"),"")</f>
        <v/>
      </c>
      <c r="O107" s="14" t="b">
        <f t="shared" si="3"/>
        <v>0</v>
      </c>
    </row>
    <row r="108">
      <c r="A108" s="13" t="s">
        <v>1717</v>
      </c>
      <c r="B108" s="9" t="str">
        <f t="shared" si="1"/>
        <v>Мт.</v>
      </c>
      <c r="C108" s="11" t="str">
        <f t="shared" si="2"/>
        <v>110</v>
      </c>
      <c r="D108" s="80" t="s">
        <v>18</v>
      </c>
      <c r="E108" s="13" t="s">
        <v>1718</v>
      </c>
      <c r="F108" s="14"/>
      <c r="G108" s="15" t="s">
        <v>70</v>
      </c>
      <c r="H108" s="16" t="s">
        <v>71</v>
      </c>
      <c r="I108" s="54">
        <v>1.0</v>
      </c>
      <c r="J108" s="54"/>
      <c r="K108" s="55" t="s">
        <v>71</v>
      </c>
      <c r="L108" s="18" t="str">
        <f>IFNA( VLOOKUP(LEFT(E108, IFERROR(FIND(" ", E108, 1),1) - 1), lists!$A$31:$B$37, 2, FALSE),"")</f>
        <v/>
      </c>
      <c r="M108" s="18" t="str">
        <f>IFERROR(__xludf.DUMMYFUNCTION("IFNA(VLOOKUP(IFNA(REGEXEXTRACT(E108, ""(Пасхи|50-ці|посту)""),""""),lists!$A$39:$B$41,2,FALSE),"""")"),"")</f>
        <v/>
      </c>
      <c r="N108" s="19" t="str">
        <f>IFERROR(__xludf.DUMMYFUNCTION("IFNA(REGEXEXTRACT(E108, ""\d{1,2}""),"""")"),"1")</f>
        <v>1</v>
      </c>
      <c r="O108" s="14" t="b">
        <f t="shared" si="3"/>
        <v>0</v>
      </c>
    </row>
    <row r="109">
      <c r="A109" s="21" t="s">
        <v>1719</v>
      </c>
      <c r="B109" s="9" t="str">
        <f t="shared" si="1"/>
        <v>Мт.</v>
      </c>
      <c r="C109" s="11" t="str">
        <f t="shared" si="2"/>
        <v>111</v>
      </c>
      <c r="D109" s="9"/>
      <c r="E109" s="13" t="s">
        <v>1720</v>
      </c>
      <c r="F109" s="14"/>
      <c r="G109" s="15" t="s">
        <v>70</v>
      </c>
      <c r="H109" s="16" t="s">
        <v>71</v>
      </c>
      <c r="I109" s="54">
        <v>5.0</v>
      </c>
      <c r="J109" s="54"/>
      <c r="K109" s="55" t="s">
        <v>71</v>
      </c>
      <c r="L109" s="18" t="str">
        <f>IFNA( VLOOKUP(LEFT(E109, IFERROR(FIND(" ", E109, 1),1) - 1), lists!$A$31:$B$37, 2, FALSE),"")</f>
        <v/>
      </c>
      <c r="M109" s="18" t="str">
        <f>IFERROR(__xludf.DUMMYFUNCTION("IFNA(VLOOKUP(IFNA(REGEXEXTRACT(E109, ""(Пасхи|50-ці|посту)""),""""),lists!$A$39:$B$41,2,FALSE),"""")"),"")</f>
        <v/>
      </c>
      <c r="N109" s="19" t="str">
        <f>IFERROR(__xludf.DUMMYFUNCTION("IFNA(REGEXEXTRACT(E109, ""\d{1,2}""),"""")"),"5")</f>
        <v>5</v>
      </c>
      <c r="O109" s="14" t="b">
        <f t="shared" si="3"/>
        <v>0</v>
      </c>
    </row>
    <row r="110">
      <c r="A110" s="21" t="s">
        <v>1721</v>
      </c>
      <c r="B110" s="9" t="str">
        <f t="shared" si="1"/>
        <v>Мт.</v>
      </c>
      <c r="C110" s="11" t="str">
        <f t="shared" si="2"/>
        <v>112</v>
      </c>
      <c r="D110" s="9"/>
      <c r="E110" s="13" t="s">
        <v>1722</v>
      </c>
      <c r="F110" s="14"/>
      <c r="G110" s="15" t="s">
        <v>70</v>
      </c>
      <c r="H110" s="16" t="s">
        <v>71</v>
      </c>
      <c r="I110" s="54" t="s">
        <v>71</v>
      </c>
      <c r="J110" s="54"/>
      <c r="K110" s="55" t="s">
        <v>71</v>
      </c>
      <c r="L110" s="18" t="str">
        <f>IFNA( VLOOKUP(LEFT(E110, IFERROR(FIND(" ", E110, 1),1) - 1), lists!$A$31:$B$37, 2, FALSE),"")</f>
        <v/>
      </c>
      <c r="M110" s="18" t="str">
        <f>IFERROR(__xludf.DUMMYFUNCTION("IFNA(VLOOKUP(IFNA(REGEXEXTRACT(E110, ""(Пасхи|50-ці|посту)""),""""),lists!$A$39:$B$41,2,FALSE),"""")"),"")</f>
        <v/>
      </c>
      <c r="N110" s="19" t="str">
        <f>IFERROR(__xludf.DUMMYFUNCTION("IFNA(REGEXEXTRACT(E110, ""\d{1,2}""),"""")"),"")</f>
        <v/>
      </c>
      <c r="O110" s="14" t="b">
        <f t="shared" si="3"/>
        <v>0</v>
      </c>
    </row>
    <row r="111">
      <c r="A111" s="21" t="s">
        <v>1723</v>
      </c>
      <c r="B111" s="9" t="str">
        <f t="shared" si="1"/>
        <v>Мт.</v>
      </c>
      <c r="C111" s="11" t="str">
        <f t="shared" si="2"/>
        <v>113</v>
      </c>
      <c r="D111" s="9"/>
      <c r="E111" s="13" t="s">
        <v>1724</v>
      </c>
      <c r="F111" s="14"/>
      <c r="G111" s="15" t="s">
        <v>70</v>
      </c>
      <c r="H111" s="16" t="s">
        <v>71</v>
      </c>
      <c r="I111" s="54">
        <v>7.0</v>
      </c>
      <c r="J111" s="54"/>
      <c r="K111" s="55" t="s">
        <v>71</v>
      </c>
      <c r="L111" s="18" t="str">
        <f>IFNA( VLOOKUP(LEFT(E111, IFERROR(FIND(" ", E111, 1),1) - 1), lists!$A$31:$B$37, 2, FALSE),"")</f>
        <v/>
      </c>
      <c r="M111" s="18" t="str">
        <f>IFERROR(__xludf.DUMMYFUNCTION("IFNA(VLOOKUP(IFNA(REGEXEXTRACT(E111, ""(Пасхи|50-ці|посту)""),""""),lists!$A$39:$B$41,2,FALSE),"""")"),"")</f>
        <v/>
      </c>
      <c r="N111" s="19" t="str">
        <f>IFERROR(__xludf.DUMMYFUNCTION("IFNA(REGEXEXTRACT(E111, ""\d{1,2}""),"""")"),"7")</f>
        <v>7</v>
      </c>
      <c r="O111" s="14" t="b">
        <f t="shared" si="3"/>
        <v>0</v>
      </c>
    </row>
    <row r="112">
      <c r="A112" s="13" t="s">
        <v>1725</v>
      </c>
      <c r="B112" s="9" t="str">
        <f t="shared" si="1"/>
        <v>Мт.</v>
      </c>
      <c r="C112" s="11" t="str">
        <f t="shared" si="2"/>
        <v>114</v>
      </c>
      <c r="D112" s="9"/>
      <c r="E112" s="21" t="s">
        <v>1726</v>
      </c>
      <c r="F112" s="14"/>
      <c r="G112" s="15" t="s">
        <v>70</v>
      </c>
      <c r="H112" s="16" t="s">
        <v>20</v>
      </c>
      <c r="I112" s="55">
        <v>7.0</v>
      </c>
      <c r="J112" s="54"/>
      <c r="K112" s="55">
        <v>6.0</v>
      </c>
      <c r="L112" s="18" t="str">
        <f>IFNA( VLOOKUP(LEFT(E112, IFERROR(FIND(" ", E112, 1),1) - 1), lists!$A$31:$B$37, 2, FALSE),"")</f>
        <v/>
      </c>
      <c r="M112" s="18" t="str">
        <f>IFERROR(__xludf.DUMMYFUNCTION("IFNA(VLOOKUP(IFNA(REGEXEXTRACT(E112, ""(Пасхи|50-ці|посту)""),""""),lists!$A$39:$B$41,2,FALSE),"""")"),"")</f>
        <v/>
      </c>
      <c r="N112" s="19" t="str">
        <f>IFERROR(__xludf.DUMMYFUNCTION("IFNA(REGEXEXTRACT(E112, ""\d{1,2}""),"""")"),"12")</f>
        <v>12</v>
      </c>
      <c r="O112" s="14" t="b">
        <f t="shared" si="3"/>
        <v>0</v>
      </c>
    </row>
    <row r="113">
      <c r="A113" s="13" t="s">
        <v>1729</v>
      </c>
      <c r="B113" s="9" t="str">
        <f t="shared" si="1"/>
        <v>Мт.</v>
      </c>
      <c r="C113" s="11" t="str">
        <f t="shared" si="2"/>
        <v>116</v>
      </c>
      <c r="D113" s="9"/>
      <c r="E113" s="13" t="s">
        <v>1743</v>
      </c>
      <c r="F113" s="14"/>
      <c r="G113" s="15" t="s">
        <v>70</v>
      </c>
      <c r="H113" s="16" t="s">
        <v>71</v>
      </c>
      <c r="I113" s="54">
        <v>1.0</v>
      </c>
      <c r="J113" s="54"/>
      <c r="K113" s="55" t="s">
        <v>71</v>
      </c>
      <c r="L113" s="18" t="str">
        <f>IFNA( VLOOKUP(LEFT(E113, IFERROR(FIND(" ", E113, 1),1) - 1), lists!$A$31:$B$37, 2, FALSE),"")</f>
        <v/>
      </c>
      <c r="M113" s="18" t="str">
        <f>IFERROR(__xludf.DUMMYFUNCTION("IFNA(VLOOKUP(IFNA(REGEXEXTRACT(E113, ""(Пасхи|50-ці|посту)""),""""),lists!$A$39:$B$41,2,FALSE),"""")"),"")</f>
        <v/>
      </c>
      <c r="N113" s="19" t="str">
        <f>IFERROR(__xludf.DUMMYFUNCTION("IFNA(REGEXEXTRACT(E113, ""\d{1,2}""),"""")"),"1")</f>
        <v>1</v>
      </c>
      <c r="O113" s="14" t="b">
        <f t="shared" si="3"/>
        <v>0</v>
      </c>
    </row>
    <row r="114" ht="15.75" customHeight="1">
      <c r="A114" s="49"/>
      <c r="C114" s="84"/>
      <c r="E114" s="49"/>
      <c r="G114" s="50"/>
      <c r="H114" s="51"/>
      <c r="I114" s="85"/>
      <c r="J114" s="85"/>
      <c r="K114" s="85"/>
      <c r="L114" s="52"/>
      <c r="M114" s="52"/>
      <c r="N114" s="52"/>
    </row>
    <row r="115" ht="15.75" customHeight="1">
      <c r="A115" s="49"/>
      <c r="C115" s="84"/>
      <c r="E115" s="49"/>
      <c r="G115" s="50"/>
      <c r="H115" s="51"/>
      <c r="I115" s="85"/>
      <c r="J115" s="85"/>
      <c r="K115" s="85"/>
      <c r="L115" s="52"/>
      <c r="M115" s="52"/>
      <c r="N115" s="52"/>
    </row>
    <row r="116" ht="15.75" customHeight="1">
      <c r="A116" s="49"/>
      <c r="C116" s="84"/>
      <c r="E116" s="49"/>
      <c r="G116" s="50"/>
      <c r="H116" s="51"/>
      <c r="I116" s="85"/>
      <c r="J116" s="85"/>
      <c r="K116" s="85"/>
      <c r="L116" s="52"/>
      <c r="M116" s="52"/>
      <c r="N116" s="52"/>
    </row>
    <row r="117" ht="15.75" customHeight="1">
      <c r="A117" s="49"/>
      <c r="C117" s="84"/>
      <c r="E117" s="49"/>
      <c r="G117" s="50"/>
      <c r="H117" s="51"/>
      <c r="I117" s="85"/>
      <c r="J117" s="85"/>
      <c r="K117" s="85"/>
      <c r="L117" s="52"/>
      <c r="M117" s="52"/>
      <c r="N117" s="52"/>
    </row>
    <row r="118" ht="15.75" customHeight="1">
      <c r="A118" s="49"/>
      <c r="C118" s="84"/>
      <c r="E118" s="49"/>
      <c r="G118" s="50"/>
      <c r="H118" s="51"/>
      <c r="I118" s="85"/>
      <c r="J118" s="85"/>
      <c r="K118" s="85"/>
      <c r="L118" s="52"/>
      <c r="M118" s="52"/>
      <c r="N118" s="52"/>
    </row>
    <row r="119" ht="15.75" customHeight="1">
      <c r="A119" s="49"/>
      <c r="C119" s="84"/>
      <c r="E119" s="49"/>
      <c r="G119" s="50"/>
      <c r="H119" s="51"/>
      <c r="I119" s="85"/>
      <c r="J119" s="85"/>
      <c r="K119" s="85"/>
      <c r="L119" s="52"/>
      <c r="M119" s="52"/>
      <c r="N119" s="52"/>
    </row>
    <row r="120" ht="15.75" customHeight="1">
      <c r="A120" s="49"/>
      <c r="C120" s="84"/>
      <c r="E120" s="49"/>
      <c r="G120" s="50"/>
      <c r="H120" s="51"/>
      <c r="I120" s="85"/>
      <c r="J120" s="85"/>
      <c r="K120" s="85"/>
      <c r="L120" s="52"/>
      <c r="M120" s="52"/>
      <c r="N120" s="52"/>
    </row>
    <row r="121" ht="15.75" customHeight="1">
      <c r="A121" s="49"/>
      <c r="C121" s="84"/>
      <c r="E121" s="49"/>
      <c r="G121" s="50"/>
      <c r="H121" s="51"/>
      <c r="I121" s="85"/>
      <c r="J121" s="85"/>
      <c r="K121" s="85"/>
      <c r="L121" s="52"/>
      <c r="M121" s="52"/>
      <c r="N121" s="52"/>
    </row>
    <row r="122" ht="15.75" customHeight="1">
      <c r="A122" s="49"/>
      <c r="C122" s="84"/>
      <c r="E122" s="49"/>
      <c r="G122" s="50"/>
      <c r="H122" s="51"/>
      <c r="I122" s="85"/>
      <c r="J122" s="85"/>
      <c r="K122" s="85"/>
      <c r="L122" s="52"/>
      <c r="M122" s="52"/>
      <c r="N122" s="52"/>
    </row>
    <row r="123" ht="15.75" customHeight="1">
      <c r="A123" s="49"/>
      <c r="C123" s="84"/>
      <c r="E123" s="49"/>
      <c r="G123" s="50"/>
      <c r="H123" s="51"/>
      <c r="I123" s="85"/>
      <c r="J123" s="85"/>
      <c r="K123" s="85"/>
      <c r="L123" s="52"/>
      <c r="M123" s="52"/>
      <c r="N123" s="52"/>
    </row>
    <row r="124" ht="15.75" customHeight="1">
      <c r="A124" s="49"/>
      <c r="C124" s="84"/>
      <c r="E124" s="49"/>
      <c r="G124" s="50"/>
      <c r="H124" s="51"/>
      <c r="I124" s="85"/>
      <c r="J124" s="85"/>
      <c r="K124" s="85"/>
      <c r="L124" s="52"/>
      <c r="M124" s="52"/>
      <c r="N124" s="52"/>
    </row>
    <row r="125" ht="15.75" customHeight="1">
      <c r="A125" s="49"/>
      <c r="C125" s="84"/>
      <c r="E125" s="49"/>
      <c r="G125" s="50"/>
      <c r="H125" s="51"/>
      <c r="I125" s="85"/>
      <c r="J125" s="85"/>
      <c r="K125" s="85"/>
      <c r="L125" s="52"/>
      <c r="M125" s="52"/>
      <c r="N125" s="52"/>
    </row>
    <row r="126" ht="15.75" customHeight="1">
      <c r="A126" s="49"/>
      <c r="C126" s="84"/>
      <c r="E126" s="49"/>
      <c r="G126" s="50"/>
      <c r="H126" s="51"/>
      <c r="I126" s="85"/>
      <c r="J126" s="85"/>
      <c r="K126" s="85"/>
      <c r="L126" s="52"/>
      <c r="M126" s="52"/>
      <c r="N126" s="52"/>
    </row>
    <row r="127" ht="15.75" customHeight="1">
      <c r="A127" s="49"/>
      <c r="C127" s="84"/>
      <c r="E127" s="49"/>
      <c r="G127" s="50"/>
      <c r="H127" s="51"/>
      <c r="I127" s="85"/>
      <c r="J127" s="85"/>
      <c r="K127" s="85"/>
      <c r="L127" s="52"/>
      <c r="M127" s="52"/>
      <c r="N127" s="52"/>
    </row>
    <row r="128" ht="15.75" customHeight="1">
      <c r="A128" s="49"/>
      <c r="C128" s="84"/>
      <c r="E128" s="49"/>
      <c r="G128" s="50"/>
      <c r="H128" s="51"/>
      <c r="I128" s="85"/>
      <c r="J128" s="85"/>
      <c r="K128" s="85"/>
      <c r="L128" s="52"/>
      <c r="M128" s="52"/>
      <c r="N128" s="52"/>
    </row>
    <row r="129" ht="15.75" customHeight="1">
      <c r="A129" s="49"/>
      <c r="C129" s="84"/>
      <c r="E129" s="49"/>
      <c r="G129" s="50"/>
      <c r="H129" s="51"/>
      <c r="I129" s="85"/>
      <c r="J129" s="85"/>
      <c r="K129" s="85"/>
      <c r="L129" s="52"/>
      <c r="M129" s="52"/>
      <c r="N129" s="52"/>
    </row>
    <row r="130" ht="15.75" customHeight="1">
      <c r="A130" s="49"/>
      <c r="C130" s="84"/>
      <c r="E130" s="49"/>
      <c r="G130" s="50"/>
      <c r="H130" s="51"/>
      <c r="I130" s="85"/>
      <c r="J130" s="85"/>
      <c r="K130" s="85"/>
      <c r="L130" s="52"/>
      <c r="M130" s="52"/>
      <c r="N130" s="52"/>
    </row>
    <row r="131" ht="15.75" customHeight="1">
      <c r="A131" s="49"/>
      <c r="C131" s="84"/>
      <c r="E131" s="49"/>
      <c r="G131" s="50"/>
      <c r="H131" s="51"/>
      <c r="I131" s="85"/>
      <c r="J131" s="85"/>
      <c r="K131" s="85"/>
      <c r="L131" s="52"/>
      <c r="M131" s="52"/>
      <c r="N131" s="52"/>
    </row>
    <row r="132" ht="15.75" customHeight="1">
      <c r="A132" s="49"/>
      <c r="C132" s="84"/>
      <c r="E132" s="49"/>
      <c r="G132" s="50"/>
      <c r="H132" s="51"/>
      <c r="I132" s="85"/>
      <c r="J132" s="85"/>
      <c r="K132" s="85"/>
      <c r="L132" s="52"/>
      <c r="M132" s="52"/>
      <c r="N132" s="52"/>
    </row>
    <row r="133" ht="15.75" customHeight="1">
      <c r="A133" s="49"/>
      <c r="C133" s="84"/>
      <c r="E133" s="49"/>
      <c r="G133" s="50"/>
      <c r="H133" s="51"/>
      <c r="I133" s="85"/>
      <c r="J133" s="85"/>
      <c r="K133" s="85"/>
      <c r="L133" s="52"/>
      <c r="M133" s="52"/>
      <c r="N133" s="52"/>
    </row>
    <row r="134" ht="15.75" customHeight="1">
      <c r="A134" s="49"/>
      <c r="C134" s="84"/>
      <c r="E134" s="49"/>
      <c r="G134" s="50"/>
      <c r="H134" s="51"/>
      <c r="I134" s="85"/>
      <c r="J134" s="85"/>
      <c r="K134" s="85"/>
      <c r="L134" s="52"/>
      <c r="M134" s="52"/>
      <c r="N134" s="52"/>
    </row>
    <row r="135" ht="15.75" customHeight="1">
      <c r="A135" s="49"/>
      <c r="C135" s="84"/>
      <c r="E135" s="49"/>
      <c r="G135" s="50"/>
      <c r="H135" s="51"/>
      <c r="I135" s="85"/>
      <c r="J135" s="85"/>
      <c r="K135" s="85"/>
      <c r="L135" s="52"/>
      <c r="M135" s="52"/>
      <c r="N135" s="52"/>
    </row>
    <row r="136" ht="15.75" customHeight="1">
      <c r="A136" s="49"/>
      <c r="C136" s="84"/>
      <c r="E136" s="49"/>
      <c r="G136" s="50"/>
      <c r="H136" s="51"/>
      <c r="I136" s="85"/>
      <c r="J136" s="85"/>
      <c r="K136" s="85"/>
      <c r="L136" s="52"/>
      <c r="M136" s="52"/>
      <c r="N136" s="52"/>
    </row>
    <row r="137" ht="15.75" customHeight="1">
      <c r="A137" s="49"/>
      <c r="C137" s="84"/>
      <c r="E137" s="49"/>
      <c r="G137" s="50"/>
      <c r="H137" s="51"/>
      <c r="I137" s="85"/>
      <c r="J137" s="85"/>
      <c r="K137" s="85"/>
      <c r="L137" s="52"/>
      <c r="M137" s="52"/>
      <c r="N137" s="52"/>
    </row>
    <row r="138" ht="15.75" customHeight="1">
      <c r="A138" s="49"/>
      <c r="C138" s="84"/>
      <c r="E138" s="49"/>
      <c r="G138" s="50"/>
      <c r="H138" s="51"/>
      <c r="I138" s="85"/>
      <c r="J138" s="85"/>
      <c r="K138" s="85"/>
      <c r="L138" s="52"/>
      <c r="M138" s="52"/>
      <c r="N138" s="52"/>
    </row>
    <row r="139" ht="15.75" customHeight="1">
      <c r="A139" s="49"/>
      <c r="C139" s="84"/>
      <c r="E139" s="49"/>
      <c r="G139" s="50"/>
      <c r="H139" s="51"/>
      <c r="I139" s="85"/>
      <c r="J139" s="85"/>
      <c r="K139" s="85"/>
      <c r="L139" s="52"/>
      <c r="M139" s="52"/>
      <c r="N139" s="52"/>
    </row>
    <row r="140" ht="15.75" customHeight="1">
      <c r="A140" s="49"/>
      <c r="C140" s="84"/>
      <c r="E140" s="49"/>
      <c r="G140" s="50"/>
      <c r="H140" s="51"/>
      <c r="I140" s="85"/>
      <c r="J140" s="85"/>
      <c r="K140" s="85"/>
      <c r="L140" s="52"/>
      <c r="M140" s="52"/>
      <c r="N140" s="52"/>
    </row>
    <row r="141" ht="15.75" customHeight="1">
      <c r="A141" s="49"/>
      <c r="C141" s="84"/>
      <c r="E141" s="49"/>
      <c r="G141" s="50"/>
      <c r="H141" s="51"/>
      <c r="I141" s="85"/>
      <c r="J141" s="85"/>
      <c r="K141" s="85"/>
      <c r="L141" s="52"/>
      <c r="M141" s="52"/>
      <c r="N141" s="52"/>
    </row>
    <row r="142" ht="15.75" customHeight="1">
      <c r="A142" s="49"/>
      <c r="C142" s="84"/>
      <c r="E142" s="49"/>
      <c r="G142" s="50"/>
      <c r="H142" s="51"/>
      <c r="I142" s="85"/>
      <c r="J142" s="85"/>
      <c r="K142" s="85"/>
      <c r="L142" s="52"/>
      <c r="M142" s="52"/>
      <c r="N142" s="52"/>
    </row>
    <row r="143" ht="15.75" customHeight="1">
      <c r="A143" s="49"/>
      <c r="C143" s="84"/>
      <c r="E143" s="49"/>
      <c r="G143" s="50"/>
      <c r="H143" s="51"/>
      <c r="I143" s="85"/>
      <c r="J143" s="85"/>
      <c r="K143" s="85"/>
      <c r="L143" s="52"/>
      <c r="M143" s="52"/>
      <c r="N143" s="52"/>
    </row>
    <row r="144" ht="15.75" customHeight="1">
      <c r="A144" s="49"/>
      <c r="C144" s="84"/>
      <c r="E144" s="49"/>
      <c r="G144" s="50"/>
      <c r="H144" s="51"/>
      <c r="I144" s="85"/>
      <c r="J144" s="85"/>
      <c r="K144" s="85"/>
      <c r="L144" s="52"/>
      <c r="M144" s="52"/>
      <c r="N144" s="52"/>
    </row>
    <row r="145" ht="15.75" customHeight="1">
      <c r="A145" s="49"/>
      <c r="C145" s="84"/>
      <c r="E145" s="49"/>
      <c r="G145" s="50"/>
      <c r="H145" s="51"/>
      <c r="I145" s="85"/>
      <c r="J145" s="85"/>
      <c r="K145" s="85"/>
      <c r="L145" s="52"/>
      <c r="M145" s="52"/>
      <c r="N145" s="52"/>
    </row>
    <row r="146" ht="15.75" customHeight="1">
      <c r="A146" s="49"/>
      <c r="C146" s="84"/>
      <c r="E146" s="49"/>
      <c r="G146" s="50"/>
      <c r="H146" s="51"/>
      <c r="I146" s="85"/>
      <c r="J146" s="85"/>
      <c r="K146" s="85"/>
      <c r="L146" s="52"/>
      <c r="M146" s="52"/>
      <c r="N146" s="52"/>
    </row>
    <row r="147" ht="15.75" customHeight="1">
      <c r="A147" s="49"/>
      <c r="C147" s="84"/>
      <c r="E147" s="49"/>
      <c r="G147" s="50"/>
      <c r="H147" s="51"/>
      <c r="I147" s="85"/>
      <c r="J147" s="85"/>
      <c r="K147" s="85"/>
      <c r="L147" s="52"/>
      <c r="M147" s="52"/>
      <c r="N147" s="52"/>
    </row>
    <row r="148" ht="15.75" customHeight="1">
      <c r="A148" s="49"/>
      <c r="C148" s="84"/>
      <c r="E148" s="49"/>
      <c r="G148" s="50"/>
      <c r="H148" s="51"/>
      <c r="I148" s="85"/>
      <c r="J148" s="85"/>
      <c r="K148" s="85"/>
      <c r="L148" s="52"/>
      <c r="M148" s="52"/>
      <c r="N148" s="52"/>
    </row>
    <row r="149" ht="15.75" customHeight="1">
      <c r="A149" s="49"/>
      <c r="C149" s="84"/>
      <c r="E149" s="49"/>
      <c r="G149" s="50"/>
      <c r="H149" s="51"/>
      <c r="I149" s="85"/>
      <c r="J149" s="85"/>
      <c r="K149" s="85"/>
      <c r="L149" s="52"/>
      <c r="M149" s="52"/>
      <c r="N149" s="52"/>
    </row>
    <row r="150" ht="15.75" customHeight="1">
      <c r="A150" s="49"/>
      <c r="C150" s="84"/>
      <c r="E150" s="49"/>
      <c r="G150" s="50"/>
      <c r="H150" s="51"/>
      <c r="I150" s="85"/>
      <c r="J150" s="85"/>
      <c r="K150" s="85"/>
      <c r="L150" s="52"/>
      <c r="M150" s="52"/>
      <c r="N150" s="52"/>
    </row>
    <row r="151" ht="15.75" customHeight="1">
      <c r="A151" s="49"/>
      <c r="C151" s="84"/>
      <c r="E151" s="49"/>
      <c r="G151" s="50"/>
      <c r="H151" s="51"/>
      <c r="I151" s="85"/>
      <c r="J151" s="85"/>
      <c r="K151" s="85"/>
      <c r="L151" s="52"/>
      <c r="M151" s="52"/>
      <c r="N151" s="52"/>
    </row>
    <row r="152" ht="15.75" customHeight="1">
      <c r="A152" s="49"/>
      <c r="C152" s="84"/>
      <c r="E152" s="49"/>
      <c r="G152" s="50"/>
      <c r="H152" s="51"/>
      <c r="I152" s="85"/>
      <c r="J152" s="85"/>
      <c r="K152" s="85"/>
      <c r="L152" s="52"/>
      <c r="M152" s="52"/>
      <c r="N152" s="52"/>
    </row>
    <row r="153" ht="15.75" customHeight="1">
      <c r="A153" s="49"/>
      <c r="C153" s="84"/>
      <c r="E153" s="49"/>
      <c r="G153" s="50"/>
      <c r="H153" s="51"/>
      <c r="I153" s="85"/>
      <c r="J153" s="85"/>
      <c r="K153" s="85"/>
      <c r="L153" s="52"/>
      <c r="M153" s="52"/>
      <c r="N153" s="52"/>
    </row>
    <row r="154" ht="15.75" customHeight="1">
      <c r="A154" s="49"/>
      <c r="C154" s="84"/>
      <c r="E154" s="49"/>
      <c r="G154" s="50"/>
      <c r="H154" s="51"/>
      <c r="I154" s="85"/>
      <c r="J154" s="85"/>
      <c r="K154" s="85"/>
      <c r="L154" s="52"/>
      <c r="M154" s="52"/>
      <c r="N154" s="52"/>
    </row>
    <row r="155" ht="15.75" customHeight="1">
      <c r="A155" s="49"/>
      <c r="C155" s="84"/>
      <c r="E155" s="49"/>
      <c r="G155" s="50"/>
      <c r="H155" s="51"/>
      <c r="I155" s="85"/>
      <c r="J155" s="85"/>
      <c r="K155" s="85"/>
      <c r="L155" s="52"/>
      <c r="M155" s="52"/>
      <c r="N155" s="52"/>
    </row>
    <row r="156" ht="15.75" customHeight="1">
      <c r="A156" s="49"/>
      <c r="C156" s="84"/>
      <c r="E156" s="49"/>
      <c r="G156" s="50"/>
      <c r="H156" s="51"/>
      <c r="I156" s="85"/>
      <c r="J156" s="85"/>
      <c r="K156" s="85"/>
      <c r="L156" s="52"/>
      <c r="M156" s="52"/>
      <c r="N156" s="52"/>
    </row>
    <row r="157" ht="15.75" customHeight="1">
      <c r="A157" s="49"/>
      <c r="C157" s="84"/>
      <c r="E157" s="49"/>
      <c r="G157" s="50"/>
      <c r="H157" s="51"/>
      <c r="I157" s="85"/>
      <c r="J157" s="85"/>
      <c r="K157" s="85"/>
      <c r="L157" s="52"/>
      <c r="M157" s="52"/>
      <c r="N157" s="52"/>
    </row>
    <row r="158" ht="15.75" customHeight="1">
      <c r="A158" s="49"/>
      <c r="C158" s="84"/>
      <c r="E158" s="49"/>
      <c r="G158" s="50"/>
      <c r="H158" s="51"/>
      <c r="I158" s="85"/>
      <c r="J158" s="85"/>
      <c r="K158" s="85"/>
      <c r="L158" s="52"/>
      <c r="M158" s="52"/>
      <c r="N158" s="52"/>
    </row>
    <row r="159" ht="15.75" customHeight="1">
      <c r="A159" s="49"/>
      <c r="C159" s="84"/>
      <c r="E159" s="49"/>
      <c r="G159" s="50"/>
      <c r="H159" s="51"/>
      <c r="I159" s="85"/>
      <c r="J159" s="85"/>
      <c r="K159" s="85"/>
      <c r="L159" s="52"/>
      <c r="M159" s="52"/>
      <c r="N159" s="52"/>
    </row>
    <row r="160" ht="15.75" customHeight="1">
      <c r="A160" s="49"/>
      <c r="C160" s="84"/>
      <c r="E160" s="49"/>
      <c r="G160" s="50"/>
      <c r="H160" s="51"/>
      <c r="I160" s="85"/>
      <c r="J160" s="85"/>
      <c r="K160" s="85"/>
      <c r="L160" s="52"/>
      <c r="M160" s="52"/>
      <c r="N160" s="52"/>
    </row>
    <row r="161" ht="15.75" customHeight="1">
      <c r="A161" s="49"/>
      <c r="C161" s="84"/>
      <c r="E161" s="49"/>
      <c r="G161" s="50"/>
      <c r="H161" s="51"/>
      <c r="I161" s="85"/>
      <c r="J161" s="85"/>
      <c r="K161" s="85"/>
      <c r="L161" s="52"/>
      <c r="M161" s="52"/>
      <c r="N161" s="52"/>
    </row>
    <row r="162" ht="15.75" customHeight="1">
      <c r="A162" s="49"/>
      <c r="C162" s="84"/>
      <c r="E162" s="49"/>
      <c r="G162" s="50"/>
      <c r="H162" s="51"/>
      <c r="I162" s="85"/>
      <c r="J162" s="85"/>
      <c r="K162" s="85"/>
      <c r="L162" s="52"/>
      <c r="M162" s="52"/>
      <c r="N162" s="52"/>
    </row>
    <row r="163" ht="15.75" customHeight="1">
      <c r="A163" s="49"/>
      <c r="C163" s="84"/>
      <c r="E163" s="49"/>
      <c r="G163" s="50"/>
      <c r="H163" s="51"/>
      <c r="I163" s="85"/>
      <c r="J163" s="85"/>
      <c r="K163" s="85"/>
      <c r="L163" s="52"/>
      <c r="M163" s="52"/>
      <c r="N163" s="52"/>
    </row>
    <row r="164" ht="15.75" customHeight="1">
      <c r="A164" s="49"/>
      <c r="C164" s="84"/>
      <c r="E164" s="49"/>
      <c r="G164" s="50"/>
      <c r="H164" s="51"/>
      <c r="I164" s="85"/>
      <c r="J164" s="85"/>
      <c r="K164" s="85"/>
      <c r="L164" s="52"/>
      <c r="M164" s="52"/>
      <c r="N164" s="52"/>
    </row>
    <row r="165" ht="15.75" customHeight="1">
      <c r="A165" s="49"/>
      <c r="C165" s="84"/>
      <c r="E165" s="49"/>
      <c r="G165" s="50"/>
      <c r="H165" s="51"/>
      <c r="I165" s="85"/>
      <c r="J165" s="85"/>
      <c r="K165" s="85"/>
      <c r="L165" s="52"/>
      <c r="M165" s="52"/>
      <c r="N165" s="52"/>
    </row>
    <row r="166" ht="15.75" customHeight="1">
      <c r="A166" s="49"/>
      <c r="C166" s="84"/>
      <c r="E166" s="49"/>
      <c r="G166" s="50"/>
      <c r="H166" s="51"/>
      <c r="I166" s="85"/>
      <c r="J166" s="85"/>
      <c r="K166" s="85"/>
      <c r="L166" s="52"/>
      <c r="M166" s="52"/>
      <c r="N166" s="52"/>
    </row>
    <row r="167" ht="15.75" customHeight="1">
      <c r="A167" s="49"/>
      <c r="C167" s="84"/>
      <c r="E167" s="49"/>
      <c r="G167" s="50"/>
      <c r="H167" s="51"/>
      <c r="I167" s="85"/>
      <c r="J167" s="85"/>
      <c r="K167" s="85"/>
      <c r="L167" s="52"/>
      <c r="M167" s="52"/>
      <c r="N167" s="52"/>
    </row>
    <row r="168" ht="15.75" customHeight="1">
      <c r="A168" s="49"/>
      <c r="C168" s="84"/>
      <c r="E168" s="49"/>
      <c r="G168" s="50"/>
      <c r="H168" s="51"/>
      <c r="I168" s="85"/>
      <c r="J168" s="85"/>
      <c r="K168" s="85"/>
      <c r="L168" s="52"/>
      <c r="M168" s="52"/>
      <c r="N168" s="52"/>
    </row>
    <row r="169" ht="15.75" customHeight="1">
      <c r="A169" s="49"/>
      <c r="C169" s="84"/>
      <c r="E169" s="49"/>
      <c r="G169" s="50"/>
      <c r="H169" s="51"/>
      <c r="I169" s="85"/>
      <c r="J169" s="85"/>
      <c r="K169" s="85"/>
      <c r="L169" s="52"/>
      <c r="M169" s="52"/>
      <c r="N169" s="52"/>
    </row>
    <row r="170" ht="15.75" customHeight="1">
      <c r="A170" s="49"/>
      <c r="C170" s="84"/>
      <c r="E170" s="49"/>
      <c r="G170" s="50"/>
      <c r="H170" s="51"/>
      <c r="I170" s="85"/>
      <c r="J170" s="85"/>
      <c r="K170" s="85"/>
      <c r="L170" s="52"/>
      <c r="M170" s="52"/>
      <c r="N170" s="52"/>
    </row>
    <row r="171" ht="15.75" customHeight="1">
      <c r="A171" s="49"/>
      <c r="C171" s="84"/>
      <c r="E171" s="49"/>
      <c r="G171" s="50"/>
      <c r="H171" s="51"/>
      <c r="I171" s="85"/>
      <c r="J171" s="85"/>
      <c r="K171" s="85"/>
      <c r="L171" s="52"/>
      <c r="M171" s="52"/>
      <c r="N171" s="52"/>
    </row>
    <row r="172" ht="15.75" customHeight="1">
      <c r="A172" s="49"/>
      <c r="C172" s="84"/>
      <c r="E172" s="49"/>
      <c r="G172" s="50"/>
      <c r="H172" s="51"/>
      <c r="I172" s="85"/>
      <c r="J172" s="85"/>
      <c r="K172" s="85"/>
      <c r="L172" s="52"/>
      <c r="M172" s="52"/>
      <c r="N172" s="52"/>
    </row>
    <row r="173" ht="15.75" customHeight="1">
      <c r="A173" s="49"/>
      <c r="C173" s="84"/>
      <c r="E173" s="49"/>
      <c r="G173" s="50"/>
      <c r="H173" s="51"/>
      <c r="I173" s="85"/>
      <c r="J173" s="85"/>
      <c r="K173" s="85"/>
      <c r="L173" s="52"/>
      <c r="M173" s="52"/>
      <c r="N173" s="52"/>
    </row>
    <row r="174" ht="15.75" customHeight="1">
      <c r="A174" s="49"/>
      <c r="C174" s="84"/>
      <c r="E174" s="49"/>
      <c r="G174" s="50"/>
      <c r="H174" s="51"/>
      <c r="I174" s="85"/>
      <c r="J174" s="85"/>
      <c r="K174" s="85"/>
      <c r="L174" s="52"/>
      <c r="M174" s="52"/>
      <c r="N174" s="52"/>
    </row>
    <row r="175" ht="15.75" customHeight="1">
      <c r="A175" s="49"/>
      <c r="C175" s="84"/>
      <c r="E175" s="49"/>
      <c r="G175" s="50"/>
      <c r="H175" s="51"/>
      <c r="I175" s="85"/>
      <c r="J175" s="85"/>
      <c r="K175" s="85"/>
      <c r="L175" s="52"/>
      <c r="M175" s="52"/>
      <c r="N175" s="52"/>
    </row>
    <row r="176" ht="15.75" customHeight="1">
      <c r="A176" s="49"/>
      <c r="C176" s="84"/>
      <c r="E176" s="49"/>
      <c r="G176" s="50"/>
      <c r="H176" s="51"/>
      <c r="I176" s="85"/>
      <c r="J176" s="85"/>
      <c r="K176" s="85"/>
      <c r="L176" s="52"/>
      <c r="M176" s="52"/>
      <c r="N176" s="52"/>
    </row>
    <row r="177" ht="15.75" customHeight="1">
      <c r="A177" s="49"/>
      <c r="C177" s="84"/>
      <c r="E177" s="49"/>
      <c r="G177" s="50"/>
      <c r="H177" s="51"/>
      <c r="I177" s="85"/>
      <c r="J177" s="85"/>
      <c r="K177" s="85"/>
      <c r="L177" s="52"/>
      <c r="M177" s="52"/>
      <c r="N177" s="52"/>
    </row>
    <row r="178" ht="15.75" customHeight="1">
      <c r="A178" s="49"/>
      <c r="C178" s="84"/>
      <c r="E178" s="49"/>
      <c r="G178" s="50"/>
      <c r="H178" s="51"/>
      <c r="I178" s="85"/>
      <c r="J178" s="85"/>
      <c r="K178" s="85"/>
      <c r="L178" s="52"/>
      <c r="M178" s="52"/>
      <c r="N178" s="52"/>
    </row>
    <row r="179" ht="15.75" customHeight="1">
      <c r="A179" s="49"/>
      <c r="C179" s="84"/>
      <c r="E179" s="49"/>
      <c r="G179" s="50"/>
      <c r="H179" s="51"/>
      <c r="I179" s="85"/>
      <c r="J179" s="85"/>
      <c r="K179" s="85"/>
      <c r="L179" s="52"/>
      <c r="M179" s="52"/>
      <c r="N179" s="52"/>
    </row>
    <row r="180" ht="15.75" customHeight="1">
      <c r="A180" s="49"/>
      <c r="C180" s="84"/>
      <c r="E180" s="49"/>
      <c r="G180" s="50"/>
      <c r="H180" s="51"/>
      <c r="I180" s="85"/>
      <c r="J180" s="85"/>
      <c r="K180" s="85"/>
      <c r="L180" s="52"/>
      <c r="M180" s="52"/>
      <c r="N180" s="52"/>
    </row>
    <row r="181" ht="15.75" customHeight="1">
      <c r="A181" s="49"/>
      <c r="C181" s="84"/>
      <c r="E181" s="49"/>
      <c r="G181" s="50"/>
      <c r="H181" s="51"/>
      <c r="I181" s="85"/>
      <c r="J181" s="85"/>
      <c r="K181" s="85"/>
      <c r="L181" s="52"/>
      <c r="M181" s="52"/>
      <c r="N181" s="52"/>
    </row>
    <row r="182" ht="15.75" customHeight="1">
      <c r="A182" s="49"/>
      <c r="C182" s="84"/>
      <c r="E182" s="49"/>
      <c r="G182" s="50"/>
      <c r="H182" s="51"/>
      <c r="I182" s="85"/>
      <c r="J182" s="85"/>
      <c r="K182" s="85"/>
      <c r="L182" s="52"/>
      <c r="M182" s="52"/>
      <c r="N182" s="52"/>
    </row>
    <row r="183" ht="15.75" customHeight="1">
      <c r="A183" s="49"/>
      <c r="C183" s="84"/>
      <c r="E183" s="49"/>
      <c r="G183" s="50"/>
      <c r="H183" s="51"/>
      <c r="I183" s="85"/>
      <c r="J183" s="85"/>
      <c r="K183" s="85"/>
      <c r="L183" s="52"/>
      <c r="M183" s="52"/>
      <c r="N183" s="52"/>
    </row>
    <row r="184" ht="15.75" customHeight="1">
      <c r="A184" s="49"/>
      <c r="C184" s="84"/>
      <c r="E184" s="49"/>
      <c r="G184" s="50"/>
      <c r="H184" s="51"/>
      <c r="I184" s="85"/>
      <c r="J184" s="85"/>
      <c r="K184" s="85"/>
      <c r="L184" s="52"/>
      <c r="M184" s="52"/>
      <c r="N184" s="52"/>
    </row>
    <row r="185" ht="15.75" customHeight="1">
      <c r="A185" s="49"/>
      <c r="C185" s="84"/>
      <c r="E185" s="49"/>
      <c r="G185" s="50"/>
      <c r="H185" s="51"/>
      <c r="I185" s="85"/>
      <c r="J185" s="85"/>
      <c r="K185" s="85"/>
      <c r="L185" s="52"/>
      <c r="M185" s="52"/>
      <c r="N185" s="52"/>
    </row>
    <row r="186" ht="15.75" customHeight="1">
      <c r="A186" s="49"/>
      <c r="C186" s="84"/>
      <c r="E186" s="49"/>
      <c r="G186" s="50"/>
      <c r="H186" s="51"/>
      <c r="I186" s="85"/>
      <c r="J186" s="85"/>
      <c r="K186" s="85"/>
      <c r="L186" s="52"/>
      <c r="M186" s="52"/>
      <c r="N186" s="52"/>
    </row>
    <row r="187" ht="15.75" customHeight="1">
      <c r="A187" s="49"/>
      <c r="C187" s="84"/>
      <c r="E187" s="49"/>
      <c r="G187" s="50"/>
      <c r="H187" s="51"/>
      <c r="I187" s="85"/>
      <c r="J187" s="85"/>
      <c r="K187" s="85"/>
      <c r="L187" s="52"/>
      <c r="M187" s="52"/>
      <c r="N187" s="52"/>
    </row>
    <row r="188" ht="15.75" customHeight="1">
      <c r="A188" s="49"/>
      <c r="C188" s="84"/>
      <c r="E188" s="49"/>
      <c r="G188" s="50"/>
      <c r="H188" s="51"/>
      <c r="I188" s="85"/>
      <c r="J188" s="85"/>
      <c r="K188" s="85"/>
      <c r="L188" s="52"/>
      <c r="M188" s="52"/>
      <c r="N188" s="52"/>
    </row>
    <row r="189" ht="15.75" customHeight="1">
      <c r="A189" s="49"/>
      <c r="C189" s="84"/>
      <c r="E189" s="49"/>
      <c r="G189" s="50"/>
      <c r="H189" s="51"/>
      <c r="I189" s="85"/>
      <c r="J189" s="85"/>
      <c r="K189" s="85"/>
      <c r="L189" s="52"/>
      <c r="M189" s="52"/>
      <c r="N189" s="52"/>
    </row>
    <row r="190" ht="15.75" customHeight="1">
      <c r="A190" s="49"/>
      <c r="C190" s="84"/>
      <c r="E190" s="49"/>
      <c r="G190" s="50"/>
      <c r="H190" s="51"/>
      <c r="I190" s="85"/>
      <c r="J190" s="85"/>
      <c r="K190" s="85"/>
      <c r="L190" s="52"/>
      <c r="M190" s="52"/>
      <c r="N190" s="52"/>
    </row>
    <row r="191" ht="15.75" customHeight="1">
      <c r="A191" s="49"/>
      <c r="C191" s="84"/>
      <c r="E191" s="49"/>
      <c r="G191" s="50"/>
      <c r="H191" s="51"/>
      <c r="I191" s="85"/>
      <c r="J191" s="85"/>
      <c r="K191" s="85"/>
      <c r="L191" s="52"/>
      <c r="M191" s="52"/>
      <c r="N191" s="52"/>
    </row>
    <row r="192" ht="15.75" customHeight="1">
      <c r="A192" s="49"/>
      <c r="C192" s="84"/>
      <c r="E192" s="49"/>
      <c r="G192" s="50"/>
      <c r="H192" s="51"/>
      <c r="I192" s="85"/>
      <c r="J192" s="85"/>
      <c r="K192" s="85"/>
      <c r="L192" s="52"/>
      <c r="M192" s="52"/>
      <c r="N192" s="52"/>
    </row>
    <row r="193" ht="15.75" customHeight="1">
      <c r="A193" s="49"/>
      <c r="C193" s="84"/>
      <c r="E193" s="49"/>
      <c r="G193" s="50"/>
      <c r="H193" s="51"/>
      <c r="I193" s="85"/>
      <c r="J193" s="85"/>
      <c r="K193" s="85"/>
      <c r="L193" s="52"/>
      <c r="M193" s="52"/>
      <c r="N193" s="52"/>
    </row>
    <row r="194" ht="15.75" customHeight="1">
      <c r="A194" s="49"/>
      <c r="C194" s="84"/>
      <c r="E194" s="49"/>
      <c r="G194" s="50"/>
      <c r="H194" s="51"/>
      <c r="I194" s="85"/>
      <c r="J194" s="85"/>
      <c r="K194" s="85"/>
      <c r="L194" s="52"/>
      <c r="M194" s="52"/>
      <c r="N194" s="52"/>
    </row>
    <row r="195" ht="15.75" customHeight="1">
      <c r="A195" s="49"/>
      <c r="C195" s="84"/>
      <c r="E195" s="49"/>
      <c r="G195" s="50"/>
      <c r="H195" s="51"/>
      <c r="I195" s="85"/>
      <c r="J195" s="85"/>
      <c r="K195" s="85"/>
      <c r="L195" s="52"/>
      <c r="M195" s="52"/>
      <c r="N195" s="52"/>
    </row>
    <row r="196" ht="15.75" customHeight="1">
      <c r="A196" s="49"/>
      <c r="C196" s="84"/>
      <c r="E196" s="49"/>
      <c r="G196" s="50"/>
      <c r="H196" s="51"/>
      <c r="I196" s="85"/>
      <c r="J196" s="85"/>
      <c r="K196" s="85"/>
      <c r="L196" s="52"/>
      <c r="M196" s="52"/>
      <c r="N196" s="52"/>
    </row>
    <row r="197" ht="15.75" customHeight="1">
      <c r="A197" s="49"/>
      <c r="C197" s="84"/>
      <c r="E197" s="49"/>
      <c r="G197" s="50"/>
      <c r="H197" s="51"/>
      <c r="I197" s="85"/>
      <c r="J197" s="85"/>
      <c r="K197" s="85"/>
      <c r="L197" s="52"/>
      <c r="M197" s="52"/>
      <c r="N197" s="52"/>
    </row>
    <row r="198" ht="15.75" customHeight="1">
      <c r="A198" s="49"/>
      <c r="C198" s="84"/>
      <c r="E198" s="49"/>
      <c r="G198" s="50"/>
      <c r="H198" s="51"/>
      <c r="I198" s="85"/>
      <c r="J198" s="85"/>
      <c r="K198" s="85"/>
      <c r="L198" s="52"/>
      <c r="M198" s="52"/>
      <c r="N198" s="52"/>
    </row>
    <row r="199" ht="15.75" customHeight="1">
      <c r="A199" s="49"/>
      <c r="C199" s="84"/>
      <c r="E199" s="49"/>
      <c r="G199" s="50"/>
      <c r="H199" s="51"/>
      <c r="I199" s="85"/>
      <c r="J199" s="85"/>
      <c r="K199" s="85"/>
      <c r="L199" s="52"/>
      <c r="M199" s="52"/>
      <c r="N199" s="52"/>
    </row>
    <row r="200" ht="15.75" customHeight="1">
      <c r="A200" s="49"/>
      <c r="C200" s="84"/>
      <c r="E200" s="49"/>
      <c r="G200" s="50"/>
      <c r="H200" s="51"/>
      <c r="I200" s="85"/>
      <c r="J200" s="85"/>
      <c r="K200" s="85"/>
      <c r="L200" s="52"/>
      <c r="M200" s="52"/>
      <c r="N200" s="52"/>
    </row>
    <row r="201" ht="15.75" customHeight="1">
      <c r="A201" s="49"/>
      <c r="C201" s="84"/>
      <c r="E201" s="49"/>
      <c r="G201" s="50"/>
      <c r="H201" s="51"/>
      <c r="I201" s="85"/>
      <c r="J201" s="85"/>
      <c r="K201" s="85"/>
      <c r="L201" s="52"/>
      <c r="M201" s="52"/>
      <c r="N201" s="52"/>
    </row>
    <row r="202" ht="15.75" customHeight="1">
      <c r="A202" s="49"/>
      <c r="C202" s="84"/>
      <c r="E202" s="49"/>
      <c r="G202" s="50"/>
      <c r="H202" s="51"/>
      <c r="I202" s="85"/>
      <c r="J202" s="85"/>
      <c r="K202" s="85"/>
      <c r="L202" s="52"/>
      <c r="M202" s="52"/>
      <c r="N202" s="52"/>
    </row>
    <row r="203" ht="15.75" customHeight="1">
      <c r="A203" s="49"/>
      <c r="C203" s="84"/>
      <c r="E203" s="49"/>
      <c r="G203" s="50"/>
      <c r="H203" s="51"/>
      <c r="I203" s="85"/>
      <c r="J203" s="85"/>
      <c r="K203" s="85"/>
      <c r="L203" s="52"/>
      <c r="M203" s="52"/>
      <c r="N203" s="52"/>
    </row>
    <row r="204" ht="15.75" customHeight="1">
      <c r="A204" s="49"/>
      <c r="C204" s="84"/>
      <c r="E204" s="49"/>
      <c r="G204" s="50"/>
      <c r="H204" s="51"/>
      <c r="I204" s="85"/>
      <c r="J204" s="85"/>
      <c r="K204" s="85"/>
      <c r="L204" s="52"/>
      <c r="M204" s="52"/>
      <c r="N204" s="52"/>
    </row>
    <row r="205" ht="15.75" customHeight="1">
      <c r="A205" s="49"/>
      <c r="C205" s="84"/>
      <c r="E205" s="49"/>
      <c r="G205" s="50"/>
      <c r="H205" s="51"/>
      <c r="I205" s="85"/>
      <c r="J205" s="85"/>
      <c r="K205" s="85"/>
      <c r="L205" s="52"/>
      <c r="M205" s="52"/>
      <c r="N205" s="52"/>
    </row>
    <row r="206" ht="15.75" customHeight="1">
      <c r="A206" s="49"/>
      <c r="C206" s="84"/>
      <c r="E206" s="49"/>
      <c r="G206" s="50"/>
      <c r="H206" s="51"/>
      <c r="I206" s="85"/>
      <c r="J206" s="85"/>
      <c r="K206" s="85"/>
      <c r="L206" s="52"/>
      <c r="M206" s="52"/>
      <c r="N206" s="52"/>
    </row>
    <row r="207" ht="15.75" customHeight="1">
      <c r="A207" s="49"/>
      <c r="C207" s="84"/>
      <c r="E207" s="49"/>
      <c r="G207" s="50"/>
      <c r="H207" s="51"/>
      <c r="I207" s="85"/>
      <c r="J207" s="85"/>
      <c r="K207" s="85"/>
      <c r="L207" s="52"/>
      <c r="M207" s="52"/>
      <c r="N207" s="52"/>
    </row>
    <row r="208" ht="15.75" customHeight="1">
      <c r="A208" s="49"/>
      <c r="C208" s="84"/>
      <c r="E208" s="49"/>
      <c r="G208" s="50"/>
      <c r="H208" s="51"/>
      <c r="I208" s="85"/>
      <c r="J208" s="85"/>
      <c r="K208" s="85"/>
      <c r="L208" s="52"/>
      <c r="M208" s="52"/>
      <c r="N208" s="52"/>
    </row>
    <row r="209" ht="15.75" customHeight="1">
      <c r="A209" s="49"/>
      <c r="C209" s="84"/>
      <c r="E209" s="49"/>
      <c r="G209" s="50"/>
      <c r="H209" s="51"/>
      <c r="I209" s="85"/>
      <c r="J209" s="85"/>
      <c r="K209" s="85"/>
      <c r="L209" s="52"/>
      <c r="M209" s="52"/>
      <c r="N209" s="52"/>
    </row>
    <row r="210" ht="15.75" customHeight="1">
      <c r="A210" s="49"/>
      <c r="C210" s="84"/>
      <c r="E210" s="49"/>
      <c r="G210" s="50"/>
      <c r="H210" s="51"/>
      <c r="I210" s="85"/>
      <c r="J210" s="85"/>
      <c r="K210" s="85"/>
      <c r="L210" s="52"/>
      <c r="M210" s="52"/>
      <c r="N210" s="52"/>
    </row>
    <row r="211" ht="15.75" customHeight="1">
      <c r="A211" s="49"/>
      <c r="C211" s="84"/>
      <c r="E211" s="49"/>
      <c r="G211" s="50"/>
      <c r="H211" s="51"/>
      <c r="I211" s="85"/>
      <c r="J211" s="85"/>
      <c r="K211" s="85"/>
      <c r="L211" s="52"/>
      <c r="M211" s="52"/>
      <c r="N211" s="52"/>
    </row>
    <row r="212" ht="15.75" customHeight="1">
      <c r="A212" s="49"/>
      <c r="C212" s="84"/>
      <c r="E212" s="49"/>
      <c r="G212" s="50"/>
      <c r="H212" s="51"/>
      <c r="I212" s="85"/>
      <c r="J212" s="85"/>
      <c r="K212" s="85"/>
      <c r="L212" s="52"/>
      <c r="M212" s="52"/>
      <c r="N212" s="52"/>
    </row>
    <row r="213" ht="15.75" customHeight="1">
      <c r="A213" s="49"/>
      <c r="C213" s="84"/>
      <c r="E213" s="49"/>
      <c r="G213" s="50"/>
      <c r="H213" s="51"/>
      <c r="I213" s="85"/>
      <c r="J213" s="85"/>
      <c r="K213" s="85"/>
      <c r="L213" s="52"/>
      <c r="M213" s="52"/>
      <c r="N213" s="52"/>
    </row>
    <row r="214" ht="15.75" customHeight="1">
      <c r="A214" s="49"/>
      <c r="C214" s="84"/>
      <c r="E214" s="49"/>
      <c r="G214" s="50"/>
      <c r="H214" s="51"/>
      <c r="I214" s="85"/>
      <c r="J214" s="85"/>
      <c r="K214" s="85"/>
      <c r="L214" s="52"/>
      <c r="M214" s="52"/>
      <c r="N214" s="52"/>
    </row>
    <row r="215" ht="15.75" customHeight="1">
      <c r="A215" s="49"/>
      <c r="C215" s="84"/>
      <c r="E215" s="49"/>
      <c r="G215" s="50"/>
      <c r="H215" s="51"/>
      <c r="I215" s="85"/>
      <c r="J215" s="85"/>
      <c r="K215" s="85"/>
      <c r="L215" s="52"/>
      <c r="M215" s="52"/>
      <c r="N215" s="52"/>
    </row>
    <row r="216" ht="15.75" customHeight="1">
      <c r="A216" s="49"/>
      <c r="C216" s="84"/>
      <c r="E216" s="49"/>
      <c r="G216" s="50"/>
      <c r="H216" s="51"/>
      <c r="I216" s="85"/>
      <c r="J216" s="85"/>
      <c r="K216" s="85"/>
      <c r="L216" s="52"/>
      <c r="M216" s="52"/>
      <c r="N216" s="52"/>
    </row>
    <row r="217" ht="15.75" customHeight="1">
      <c r="A217" s="49"/>
      <c r="C217" s="84"/>
      <c r="E217" s="49"/>
      <c r="G217" s="50"/>
      <c r="H217" s="51"/>
      <c r="I217" s="85"/>
      <c r="J217" s="85"/>
      <c r="K217" s="85"/>
      <c r="L217" s="52"/>
      <c r="M217" s="52"/>
      <c r="N217" s="52"/>
    </row>
    <row r="218" ht="15.75" customHeight="1">
      <c r="A218" s="49"/>
      <c r="C218" s="84"/>
      <c r="E218" s="49"/>
      <c r="G218" s="50"/>
      <c r="H218" s="51"/>
      <c r="I218" s="85"/>
      <c r="J218" s="85"/>
      <c r="K218" s="85"/>
      <c r="L218" s="52"/>
      <c r="M218" s="52"/>
      <c r="N218" s="52"/>
    </row>
    <row r="219" ht="15.75" customHeight="1">
      <c r="A219" s="49"/>
      <c r="C219" s="84"/>
      <c r="E219" s="49"/>
      <c r="G219" s="50"/>
      <c r="H219" s="51"/>
      <c r="I219" s="85"/>
      <c r="J219" s="85"/>
      <c r="K219" s="85"/>
      <c r="L219" s="52"/>
      <c r="M219" s="52"/>
      <c r="N219" s="52"/>
    </row>
    <row r="220" ht="15.75" customHeight="1">
      <c r="A220" s="49"/>
      <c r="C220" s="84"/>
      <c r="E220" s="49"/>
      <c r="G220" s="50"/>
      <c r="H220" s="51"/>
      <c r="I220" s="85"/>
      <c r="J220" s="85"/>
      <c r="K220" s="85"/>
      <c r="L220" s="52"/>
      <c r="M220" s="52"/>
      <c r="N220" s="52"/>
    </row>
    <row r="221" ht="15.75" customHeight="1">
      <c r="A221" s="49"/>
      <c r="C221" s="84"/>
      <c r="E221" s="49"/>
      <c r="G221" s="50"/>
      <c r="H221" s="51"/>
      <c r="I221" s="85"/>
      <c r="J221" s="85"/>
      <c r="K221" s="85"/>
      <c r="L221" s="52"/>
      <c r="M221" s="52"/>
      <c r="N221" s="52"/>
    </row>
    <row r="222" ht="15.75" customHeight="1">
      <c r="A222" s="49"/>
      <c r="C222" s="84"/>
      <c r="E222" s="49"/>
      <c r="G222" s="50"/>
      <c r="H222" s="51"/>
      <c r="I222" s="85"/>
      <c r="J222" s="85"/>
      <c r="K222" s="85"/>
      <c r="L222" s="52"/>
      <c r="M222" s="52"/>
      <c r="N222" s="52"/>
    </row>
    <row r="223" ht="15.75" customHeight="1">
      <c r="A223" s="49"/>
      <c r="C223" s="84"/>
      <c r="E223" s="49"/>
      <c r="G223" s="50"/>
      <c r="H223" s="51"/>
      <c r="I223" s="85"/>
      <c r="J223" s="85"/>
      <c r="K223" s="85"/>
      <c r="L223" s="52"/>
      <c r="M223" s="52"/>
      <c r="N223" s="52"/>
    </row>
    <row r="224" ht="15.75" customHeight="1">
      <c r="A224" s="49"/>
      <c r="C224" s="84"/>
      <c r="E224" s="49"/>
      <c r="G224" s="50"/>
      <c r="H224" s="51"/>
      <c r="I224" s="85"/>
      <c r="J224" s="85"/>
      <c r="K224" s="85"/>
      <c r="L224" s="52"/>
      <c r="M224" s="52"/>
      <c r="N224" s="52"/>
    </row>
    <row r="225" ht="15.75" customHeight="1">
      <c r="A225" s="49"/>
      <c r="C225" s="84"/>
      <c r="E225" s="49"/>
      <c r="G225" s="50"/>
      <c r="H225" s="51"/>
      <c r="I225" s="85"/>
      <c r="J225" s="85"/>
      <c r="K225" s="85"/>
      <c r="L225" s="52"/>
      <c r="M225" s="52"/>
      <c r="N225" s="52"/>
    </row>
    <row r="226" ht="15.75" customHeight="1">
      <c r="A226" s="49"/>
      <c r="C226" s="84"/>
      <c r="E226" s="49"/>
      <c r="G226" s="50"/>
      <c r="H226" s="51"/>
      <c r="I226" s="85"/>
      <c r="J226" s="85"/>
      <c r="K226" s="85"/>
      <c r="L226" s="52"/>
      <c r="M226" s="52"/>
      <c r="N226" s="52"/>
    </row>
    <row r="227" ht="15.75" customHeight="1">
      <c r="A227" s="49"/>
      <c r="C227" s="84"/>
      <c r="E227" s="49"/>
      <c r="G227" s="50"/>
      <c r="H227" s="51"/>
      <c r="I227" s="85"/>
      <c r="J227" s="85"/>
      <c r="K227" s="85"/>
      <c r="L227" s="52"/>
      <c r="M227" s="52"/>
      <c r="N227" s="52"/>
    </row>
    <row r="228" ht="15.75" customHeight="1">
      <c r="A228" s="49"/>
      <c r="C228" s="84"/>
      <c r="E228" s="49"/>
      <c r="G228" s="50"/>
      <c r="H228" s="51"/>
      <c r="I228" s="85"/>
      <c r="J228" s="85"/>
      <c r="K228" s="85"/>
      <c r="L228" s="52"/>
      <c r="M228" s="52"/>
      <c r="N228" s="52"/>
    </row>
    <row r="229" ht="15.75" customHeight="1">
      <c r="A229" s="49"/>
      <c r="C229" s="84"/>
      <c r="E229" s="49"/>
      <c r="G229" s="50"/>
      <c r="H229" s="51"/>
      <c r="I229" s="85"/>
      <c r="J229" s="85"/>
      <c r="K229" s="85"/>
      <c r="L229" s="52"/>
      <c r="M229" s="52"/>
      <c r="N229" s="52"/>
    </row>
    <row r="230" ht="15.75" customHeight="1">
      <c r="A230" s="49"/>
      <c r="C230" s="84"/>
      <c r="E230" s="49"/>
      <c r="G230" s="50"/>
      <c r="H230" s="51"/>
      <c r="I230" s="85"/>
      <c r="J230" s="85"/>
      <c r="K230" s="85"/>
      <c r="L230" s="52"/>
      <c r="M230" s="52"/>
      <c r="N230" s="52"/>
    </row>
    <row r="231" ht="15.75" customHeight="1">
      <c r="A231" s="49"/>
      <c r="C231" s="84"/>
      <c r="E231" s="49"/>
      <c r="G231" s="50"/>
      <c r="H231" s="51"/>
      <c r="I231" s="85"/>
      <c r="J231" s="85"/>
      <c r="K231" s="85"/>
      <c r="L231" s="52"/>
      <c r="M231" s="52"/>
      <c r="N231" s="52"/>
    </row>
    <row r="232" ht="15.75" customHeight="1">
      <c r="A232" s="49"/>
      <c r="C232" s="84"/>
      <c r="E232" s="49"/>
      <c r="G232" s="50"/>
      <c r="H232" s="51"/>
      <c r="I232" s="85"/>
      <c r="J232" s="85"/>
      <c r="K232" s="85"/>
      <c r="L232" s="52"/>
      <c r="M232" s="52"/>
      <c r="N232" s="52"/>
    </row>
    <row r="233" ht="15.75" customHeight="1">
      <c r="A233" s="49"/>
      <c r="C233" s="84"/>
      <c r="E233" s="49"/>
      <c r="G233" s="50"/>
      <c r="H233" s="51"/>
      <c r="I233" s="85"/>
      <c r="J233" s="85"/>
      <c r="K233" s="85"/>
      <c r="L233" s="52"/>
      <c r="M233" s="52"/>
      <c r="N233" s="52"/>
    </row>
    <row r="234" ht="15.75" customHeight="1">
      <c r="A234" s="49"/>
      <c r="C234" s="84"/>
      <c r="E234" s="49"/>
      <c r="G234" s="50"/>
      <c r="H234" s="51"/>
      <c r="I234" s="85"/>
      <c r="J234" s="85"/>
      <c r="K234" s="85"/>
      <c r="L234" s="52"/>
      <c r="M234" s="52"/>
      <c r="N234" s="52"/>
    </row>
    <row r="235" ht="15.75" customHeight="1">
      <c r="A235" s="49"/>
      <c r="C235" s="84"/>
      <c r="E235" s="49"/>
      <c r="G235" s="50"/>
      <c r="H235" s="51"/>
      <c r="I235" s="85"/>
      <c r="J235" s="85"/>
      <c r="K235" s="85"/>
      <c r="L235" s="52"/>
      <c r="M235" s="52"/>
      <c r="N235" s="52"/>
    </row>
    <row r="236" ht="15.75" customHeight="1">
      <c r="A236" s="49"/>
      <c r="C236" s="84"/>
      <c r="E236" s="49"/>
      <c r="G236" s="50"/>
      <c r="H236" s="51"/>
      <c r="I236" s="85"/>
      <c r="J236" s="85"/>
      <c r="K236" s="85"/>
      <c r="L236" s="52"/>
      <c r="M236" s="52"/>
      <c r="N236" s="52"/>
    </row>
    <row r="237" ht="15.75" customHeight="1">
      <c r="A237" s="49"/>
      <c r="C237" s="84"/>
      <c r="E237" s="49"/>
      <c r="G237" s="50"/>
      <c r="H237" s="51"/>
      <c r="I237" s="85"/>
      <c r="J237" s="85"/>
      <c r="K237" s="85"/>
      <c r="L237" s="52"/>
      <c r="M237" s="52"/>
      <c r="N237" s="52"/>
    </row>
    <row r="238" ht="15.75" customHeight="1">
      <c r="A238" s="49"/>
      <c r="C238" s="84"/>
      <c r="E238" s="49"/>
      <c r="G238" s="50"/>
      <c r="H238" s="51"/>
      <c r="I238" s="85"/>
      <c r="J238" s="85"/>
      <c r="K238" s="85"/>
      <c r="L238" s="52"/>
      <c r="M238" s="52"/>
      <c r="N238" s="52"/>
    </row>
    <row r="239" ht="15.75" customHeight="1">
      <c r="A239" s="49"/>
      <c r="C239" s="84"/>
      <c r="E239" s="49"/>
      <c r="G239" s="50"/>
      <c r="H239" s="51"/>
      <c r="I239" s="85"/>
      <c r="J239" s="85"/>
      <c r="K239" s="85"/>
      <c r="L239" s="52"/>
      <c r="M239" s="52"/>
      <c r="N239" s="52"/>
    </row>
    <row r="240" ht="15.75" customHeight="1">
      <c r="A240" s="49"/>
      <c r="C240" s="84"/>
      <c r="E240" s="49"/>
      <c r="G240" s="50"/>
      <c r="H240" s="51"/>
      <c r="I240" s="85"/>
      <c r="J240" s="85"/>
      <c r="K240" s="85"/>
      <c r="L240" s="52"/>
      <c r="M240" s="52"/>
      <c r="N240" s="52"/>
    </row>
    <row r="241" ht="15.75" customHeight="1">
      <c r="A241" s="49"/>
      <c r="C241" s="84"/>
      <c r="E241" s="49"/>
      <c r="G241" s="50"/>
      <c r="H241" s="51"/>
      <c r="I241" s="85"/>
      <c r="J241" s="85"/>
      <c r="K241" s="85"/>
      <c r="L241" s="52"/>
      <c r="M241" s="52"/>
      <c r="N241" s="52"/>
    </row>
    <row r="242" ht="15.75" customHeight="1">
      <c r="A242" s="49"/>
      <c r="C242" s="84"/>
      <c r="E242" s="49"/>
      <c r="G242" s="50"/>
      <c r="H242" s="51"/>
      <c r="I242" s="85"/>
      <c r="J242" s="85"/>
      <c r="K242" s="85"/>
      <c r="L242" s="52"/>
      <c r="M242" s="52"/>
      <c r="N242" s="52"/>
    </row>
    <row r="243" ht="15.75" customHeight="1">
      <c r="A243" s="49"/>
      <c r="C243" s="84"/>
      <c r="E243" s="49"/>
      <c r="G243" s="50"/>
      <c r="H243" s="51"/>
      <c r="I243" s="85"/>
      <c r="J243" s="85"/>
      <c r="K243" s="85"/>
      <c r="L243" s="52"/>
      <c r="M243" s="52"/>
      <c r="N243" s="52"/>
    </row>
    <row r="244" ht="15.75" customHeight="1">
      <c r="A244" s="49"/>
      <c r="C244" s="84"/>
      <c r="E244" s="49"/>
      <c r="G244" s="50"/>
      <c r="H244" s="51"/>
      <c r="I244" s="85"/>
      <c r="J244" s="85"/>
      <c r="K244" s="85"/>
      <c r="L244" s="52"/>
      <c r="M244" s="52"/>
      <c r="N244" s="52"/>
    </row>
    <row r="245" ht="15.75" customHeight="1">
      <c r="A245" s="49"/>
      <c r="C245" s="84"/>
      <c r="E245" s="49"/>
      <c r="G245" s="50"/>
      <c r="H245" s="51"/>
      <c r="I245" s="85"/>
      <c r="J245" s="85"/>
      <c r="K245" s="85"/>
      <c r="L245" s="52"/>
      <c r="M245" s="52"/>
      <c r="N245" s="52"/>
    </row>
    <row r="246" ht="15.75" customHeight="1">
      <c r="A246" s="49"/>
      <c r="C246" s="84"/>
      <c r="E246" s="49"/>
      <c r="G246" s="50"/>
      <c r="H246" s="51"/>
      <c r="I246" s="85"/>
      <c r="J246" s="85"/>
      <c r="K246" s="85"/>
      <c r="L246" s="52"/>
      <c r="M246" s="52"/>
      <c r="N246" s="52"/>
    </row>
    <row r="247" ht="15.75" customHeight="1">
      <c r="A247" s="49"/>
      <c r="C247" s="84"/>
      <c r="E247" s="49"/>
      <c r="G247" s="50"/>
      <c r="H247" s="51"/>
      <c r="I247" s="85"/>
      <c r="J247" s="85"/>
      <c r="K247" s="85"/>
      <c r="L247" s="52"/>
      <c r="M247" s="52"/>
      <c r="N247" s="52"/>
    </row>
    <row r="248" ht="15.75" customHeight="1">
      <c r="A248" s="49"/>
      <c r="C248" s="84"/>
      <c r="E248" s="49"/>
      <c r="G248" s="50"/>
      <c r="H248" s="51"/>
      <c r="I248" s="85"/>
      <c r="J248" s="85"/>
      <c r="K248" s="85"/>
      <c r="L248" s="52"/>
      <c r="M248" s="52"/>
      <c r="N248" s="52"/>
    </row>
    <row r="249" ht="15.75" customHeight="1">
      <c r="A249" s="49"/>
      <c r="C249" s="84"/>
      <c r="E249" s="49"/>
      <c r="G249" s="50"/>
      <c r="H249" s="51"/>
      <c r="I249" s="85"/>
      <c r="J249" s="85"/>
      <c r="K249" s="85"/>
      <c r="L249" s="52"/>
      <c r="M249" s="52"/>
      <c r="N249" s="52"/>
    </row>
    <row r="250" ht="15.75" customHeight="1">
      <c r="A250" s="49"/>
      <c r="C250" s="84"/>
      <c r="E250" s="49"/>
      <c r="G250" s="50"/>
      <c r="H250" s="51"/>
      <c r="I250" s="85"/>
      <c r="J250" s="85"/>
      <c r="K250" s="85"/>
      <c r="L250" s="52"/>
      <c r="M250" s="52"/>
      <c r="N250" s="52"/>
    </row>
    <row r="251" ht="15.75" customHeight="1">
      <c r="A251" s="49"/>
      <c r="C251" s="84"/>
      <c r="E251" s="49"/>
      <c r="G251" s="50"/>
      <c r="H251" s="51"/>
      <c r="I251" s="85"/>
      <c r="J251" s="85"/>
      <c r="K251" s="85"/>
      <c r="L251" s="52"/>
      <c r="M251" s="52"/>
      <c r="N251" s="52"/>
    </row>
    <row r="252" ht="15.75" customHeight="1">
      <c r="A252" s="49"/>
      <c r="C252" s="84"/>
      <c r="E252" s="49"/>
      <c r="G252" s="50"/>
      <c r="H252" s="51"/>
      <c r="I252" s="85"/>
      <c r="J252" s="85"/>
      <c r="K252" s="85"/>
      <c r="L252" s="52"/>
      <c r="M252" s="52"/>
      <c r="N252" s="52"/>
    </row>
    <row r="253" ht="15.75" customHeight="1">
      <c r="A253" s="49"/>
      <c r="C253" s="84"/>
      <c r="E253" s="49"/>
      <c r="G253" s="50"/>
      <c r="H253" s="51"/>
      <c r="I253" s="85"/>
      <c r="J253" s="85"/>
      <c r="K253" s="85"/>
      <c r="L253" s="52"/>
      <c r="M253" s="52"/>
      <c r="N253" s="52"/>
    </row>
    <row r="254" ht="15.75" customHeight="1">
      <c r="A254" s="49"/>
      <c r="C254" s="84"/>
      <c r="E254" s="49"/>
      <c r="G254" s="50"/>
      <c r="H254" s="51"/>
      <c r="I254" s="85"/>
      <c r="J254" s="85"/>
      <c r="K254" s="85"/>
      <c r="L254" s="52"/>
      <c r="M254" s="52"/>
      <c r="N254" s="52"/>
    </row>
    <row r="255" ht="15.75" customHeight="1">
      <c r="A255" s="49"/>
      <c r="C255" s="84"/>
      <c r="E255" s="49"/>
      <c r="G255" s="50"/>
      <c r="H255" s="51"/>
      <c r="I255" s="85"/>
      <c r="J255" s="85"/>
      <c r="K255" s="85"/>
      <c r="L255" s="52"/>
      <c r="M255" s="52"/>
      <c r="N255" s="52"/>
    </row>
    <row r="256" ht="15.75" customHeight="1">
      <c r="A256" s="49"/>
      <c r="C256" s="84"/>
      <c r="E256" s="49"/>
      <c r="G256" s="50"/>
      <c r="H256" s="51"/>
      <c r="I256" s="85"/>
      <c r="J256" s="85"/>
      <c r="K256" s="85"/>
      <c r="L256" s="52"/>
      <c r="M256" s="52"/>
      <c r="N256" s="52"/>
    </row>
    <row r="257" ht="15.75" customHeight="1">
      <c r="A257" s="49"/>
      <c r="C257" s="84"/>
      <c r="E257" s="49"/>
      <c r="G257" s="50"/>
      <c r="H257" s="51"/>
      <c r="I257" s="85"/>
      <c r="J257" s="85"/>
      <c r="K257" s="85"/>
      <c r="L257" s="52"/>
      <c r="M257" s="52"/>
      <c r="N257" s="52"/>
    </row>
    <row r="258" ht="15.75" customHeight="1">
      <c r="A258" s="49"/>
      <c r="C258" s="84"/>
      <c r="E258" s="49"/>
      <c r="G258" s="50"/>
      <c r="H258" s="51"/>
      <c r="I258" s="85"/>
      <c r="J258" s="85"/>
      <c r="K258" s="85"/>
      <c r="L258" s="52"/>
      <c r="M258" s="52"/>
      <c r="N258" s="52"/>
    </row>
    <row r="259" ht="15.75" customHeight="1">
      <c r="A259" s="49"/>
      <c r="C259" s="84"/>
      <c r="E259" s="49"/>
      <c r="G259" s="50"/>
      <c r="H259" s="51"/>
      <c r="I259" s="85"/>
      <c r="J259" s="85"/>
      <c r="K259" s="85"/>
      <c r="L259" s="52"/>
      <c r="M259" s="52"/>
      <c r="N259" s="52"/>
    </row>
    <row r="260" ht="15.75" customHeight="1">
      <c r="A260" s="49"/>
      <c r="C260" s="84"/>
      <c r="E260" s="49"/>
      <c r="G260" s="50"/>
      <c r="H260" s="51"/>
      <c r="I260" s="85"/>
      <c r="J260" s="85"/>
      <c r="K260" s="85"/>
      <c r="L260" s="52"/>
      <c r="M260" s="52"/>
      <c r="N260" s="52"/>
    </row>
    <row r="261" ht="15.75" customHeight="1">
      <c r="A261" s="49"/>
      <c r="C261" s="84"/>
      <c r="E261" s="49"/>
      <c r="G261" s="50"/>
      <c r="H261" s="51"/>
      <c r="I261" s="85"/>
      <c r="J261" s="85"/>
      <c r="K261" s="85"/>
      <c r="L261" s="52"/>
      <c r="M261" s="52"/>
      <c r="N261" s="52"/>
    </row>
    <row r="262" ht="15.75" customHeight="1">
      <c r="A262" s="49"/>
      <c r="C262" s="84"/>
      <c r="E262" s="49"/>
      <c r="G262" s="50"/>
      <c r="H262" s="51"/>
      <c r="I262" s="85"/>
      <c r="J262" s="85"/>
      <c r="K262" s="85"/>
      <c r="L262" s="52"/>
      <c r="M262" s="52"/>
      <c r="N262" s="52"/>
    </row>
    <row r="263" ht="15.75" customHeight="1">
      <c r="A263" s="49"/>
      <c r="C263" s="84"/>
      <c r="E263" s="49"/>
      <c r="G263" s="50"/>
      <c r="H263" s="51"/>
      <c r="I263" s="85"/>
      <c r="J263" s="85"/>
      <c r="K263" s="85"/>
      <c r="L263" s="52"/>
      <c r="M263" s="52"/>
      <c r="N263" s="52"/>
    </row>
    <row r="264" ht="15.75" customHeight="1">
      <c r="A264" s="49"/>
      <c r="C264" s="84"/>
      <c r="E264" s="49"/>
      <c r="G264" s="50"/>
      <c r="H264" s="51"/>
      <c r="I264" s="85"/>
      <c r="J264" s="85"/>
      <c r="K264" s="85"/>
      <c r="L264" s="52"/>
      <c r="M264" s="52"/>
      <c r="N264" s="52"/>
    </row>
    <row r="265" ht="15.75" customHeight="1">
      <c r="A265" s="49"/>
      <c r="C265" s="84"/>
      <c r="E265" s="49"/>
      <c r="G265" s="50"/>
      <c r="H265" s="51"/>
      <c r="I265" s="85"/>
      <c r="J265" s="85"/>
      <c r="K265" s="85"/>
      <c r="L265" s="52"/>
      <c r="M265" s="52"/>
      <c r="N265" s="52"/>
    </row>
    <row r="266" ht="15.75" customHeight="1">
      <c r="A266" s="49"/>
      <c r="C266" s="84"/>
      <c r="E266" s="49"/>
      <c r="G266" s="50"/>
      <c r="H266" s="51"/>
      <c r="I266" s="85"/>
      <c r="J266" s="85"/>
      <c r="K266" s="85"/>
      <c r="L266" s="52"/>
      <c r="M266" s="52"/>
      <c r="N266" s="52"/>
    </row>
    <row r="267" ht="15.75" customHeight="1">
      <c r="A267" s="49"/>
      <c r="C267" s="84"/>
      <c r="E267" s="49"/>
      <c r="G267" s="50"/>
      <c r="H267" s="51"/>
      <c r="I267" s="85"/>
      <c r="J267" s="85"/>
      <c r="K267" s="85"/>
      <c r="L267" s="52"/>
      <c r="M267" s="52"/>
      <c r="N267" s="52"/>
    </row>
    <row r="268" ht="15.75" customHeight="1">
      <c r="A268" s="49"/>
      <c r="C268" s="84"/>
      <c r="E268" s="49"/>
      <c r="G268" s="50"/>
      <c r="H268" s="51"/>
      <c r="I268" s="85"/>
      <c r="J268" s="85"/>
      <c r="K268" s="85"/>
      <c r="L268" s="52"/>
      <c r="M268" s="52"/>
      <c r="N268" s="52"/>
    </row>
    <row r="269" ht="15.75" customHeight="1">
      <c r="A269" s="49"/>
      <c r="C269" s="84"/>
      <c r="E269" s="49"/>
      <c r="G269" s="50"/>
      <c r="H269" s="51"/>
      <c r="I269" s="85"/>
      <c r="J269" s="85"/>
      <c r="K269" s="85"/>
      <c r="L269" s="52"/>
      <c r="M269" s="52"/>
      <c r="N269" s="52"/>
    </row>
    <row r="270" ht="15.75" customHeight="1">
      <c r="A270" s="49"/>
      <c r="C270" s="84"/>
      <c r="E270" s="49"/>
      <c r="G270" s="50"/>
      <c r="H270" s="51"/>
      <c r="I270" s="85"/>
      <c r="J270" s="85"/>
      <c r="K270" s="85"/>
      <c r="L270" s="52"/>
      <c r="M270" s="52"/>
      <c r="N270" s="52"/>
    </row>
    <row r="271" ht="15.75" customHeight="1">
      <c r="A271" s="49"/>
      <c r="C271" s="84"/>
      <c r="E271" s="49"/>
      <c r="G271" s="50"/>
      <c r="H271" s="51"/>
      <c r="I271" s="85"/>
      <c r="J271" s="85"/>
      <c r="K271" s="85"/>
      <c r="L271" s="52"/>
      <c r="M271" s="52"/>
      <c r="N271" s="52"/>
    </row>
    <row r="272" ht="15.75" customHeight="1">
      <c r="A272" s="49"/>
      <c r="C272" s="84"/>
      <c r="E272" s="49"/>
      <c r="G272" s="50"/>
      <c r="H272" s="51"/>
      <c r="I272" s="85"/>
      <c r="J272" s="85"/>
      <c r="K272" s="85"/>
      <c r="L272" s="52"/>
      <c r="M272" s="52"/>
      <c r="N272" s="52"/>
    </row>
    <row r="273" ht="15.75" customHeight="1">
      <c r="A273" s="49"/>
      <c r="C273" s="84"/>
      <c r="E273" s="49"/>
      <c r="G273" s="50"/>
      <c r="H273" s="51"/>
      <c r="I273" s="85"/>
      <c r="J273" s="85"/>
      <c r="K273" s="85"/>
      <c r="L273" s="52"/>
      <c r="M273" s="52"/>
      <c r="N273" s="52"/>
    </row>
    <row r="274" ht="15.75" customHeight="1">
      <c r="A274" s="49"/>
      <c r="C274" s="84"/>
      <c r="E274" s="49"/>
      <c r="G274" s="50"/>
      <c r="H274" s="51"/>
      <c r="I274" s="85"/>
      <c r="J274" s="85"/>
      <c r="K274" s="85"/>
      <c r="L274" s="52"/>
      <c r="M274" s="52"/>
      <c r="N274" s="52"/>
    </row>
    <row r="275" ht="15.75" customHeight="1">
      <c r="A275" s="49"/>
      <c r="C275" s="84"/>
      <c r="E275" s="49"/>
      <c r="G275" s="50"/>
      <c r="H275" s="51"/>
      <c r="I275" s="85"/>
      <c r="J275" s="85"/>
      <c r="K275" s="85"/>
      <c r="L275" s="52"/>
      <c r="M275" s="52"/>
      <c r="N275" s="52"/>
    </row>
    <row r="276" ht="15.75" customHeight="1">
      <c r="A276" s="49"/>
      <c r="C276" s="84"/>
      <c r="E276" s="49"/>
      <c r="G276" s="50"/>
      <c r="H276" s="51"/>
      <c r="I276" s="85"/>
      <c r="J276" s="85"/>
      <c r="K276" s="85"/>
      <c r="L276" s="52"/>
      <c r="M276" s="52"/>
      <c r="N276" s="52"/>
    </row>
    <row r="277" ht="15.75" customHeight="1">
      <c r="A277" s="49"/>
      <c r="C277" s="84"/>
      <c r="E277" s="49"/>
      <c r="G277" s="50"/>
      <c r="H277" s="51"/>
      <c r="I277" s="85"/>
      <c r="J277" s="85"/>
      <c r="K277" s="85"/>
      <c r="L277" s="52"/>
      <c r="M277" s="52"/>
      <c r="N277" s="52"/>
    </row>
    <row r="278" ht="15.75" customHeight="1">
      <c r="A278" s="49"/>
      <c r="C278" s="84"/>
      <c r="E278" s="49"/>
      <c r="G278" s="50"/>
      <c r="H278" s="51"/>
      <c r="I278" s="85"/>
      <c r="J278" s="85"/>
      <c r="K278" s="85"/>
      <c r="L278" s="52"/>
      <c r="M278" s="52"/>
      <c r="N278" s="52"/>
    </row>
    <row r="279" ht="15.75" customHeight="1">
      <c r="A279" s="49"/>
      <c r="C279" s="84"/>
      <c r="E279" s="49"/>
      <c r="G279" s="50"/>
      <c r="H279" s="51"/>
      <c r="I279" s="85"/>
      <c r="J279" s="85"/>
      <c r="K279" s="85"/>
      <c r="L279" s="52"/>
      <c r="M279" s="52"/>
      <c r="N279" s="52"/>
    </row>
    <row r="280" ht="15.75" customHeight="1">
      <c r="A280" s="49"/>
      <c r="C280" s="84"/>
      <c r="E280" s="49"/>
      <c r="G280" s="50"/>
      <c r="H280" s="51"/>
      <c r="I280" s="85"/>
      <c r="J280" s="85"/>
      <c r="K280" s="85"/>
      <c r="L280" s="52"/>
      <c r="M280" s="52"/>
      <c r="N280" s="52"/>
    </row>
    <row r="281" ht="15.75" customHeight="1">
      <c r="A281" s="49"/>
      <c r="C281" s="84"/>
      <c r="E281" s="49"/>
      <c r="G281" s="50"/>
      <c r="H281" s="51"/>
      <c r="I281" s="85"/>
      <c r="J281" s="85"/>
      <c r="K281" s="85"/>
      <c r="L281" s="52"/>
      <c r="M281" s="52"/>
      <c r="N281" s="52"/>
    </row>
    <row r="282" ht="15.75" customHeight="1">
      <c r="A282" s="49"/>
      <c r="C282" s="84"/>
      <c r="E282" s="49"/>
      <c r="G282" s="50"/>
      <c r="H282" s="51"/>
      <c r="I282" s="85"/>
      <c r="J282" s="85"/>
      <c r="K282" s="85"/>
      <c r="L282" s="52"/>
      <c r="M282" s="52"/>
      <c r="N282" s="52"/>
    </row>
    <row r="283" ht="15.75" customHeight="1">
      <c r="A283" s="49"/>
      <c r="C283" s="84"/>
      <c r="E283" s="49"/>
      <c r="G283" s="50"/>
      <c r="H283" s="51"/>
      <c r="I283" s="85"/>
      <c r="J283" s="85"/>
      <c r="K283" s="85"/>
      <c r="L283" s="52"/>
      <c r="M283" s="52"/>
      <c r="N283" s="52"/>
    </row>
    <row r="284" ht="15.75" customHeight="1">
      <c r="A284" s="49"/>
      <c r="C284" s="84"/>
      <c r="E284" s="49"/>
      <c r="G284" s="50"/>
      <c r="H284" s="51"/>
      <c r="I284" s="85"/>
      <c r="J284" s="85"/>
      <c r="K284" s="85"/>
      <c r="L284" s="52"/>
      <c r="M284" s="52"/>
      <c r="N284" s="52"/>
    </row>
    <row r="285" ht="15.75" customHeight="1">
      <c r="A285" s="49"/>
      <c r="C285" s="84"/>
      <c r="E285" s="49"/>
      <c r="G285" s="50"/>
      <c r="H285" s="51"/>
      <c r="I285" s="85"/>
      <c r="J285" s="85"/>
      <c r="K285" s="85"/>
      <c r="L285" s="52"/>
      <c r="M285" s="52"/>
      <c r="N285" s="52"/>
    </row>
    <row r="286" ht="15.75" customHeight="1">
      <c r="A286" s="49"/>
      <c r="C286" s="84"/>
      <c r="E286" s="49"/>
      <c r="G286" s="50"/>
      <c r="H286" s="51"/>
      <c r="I286" s="85"/>
      <c r="J286" s="85"/>
      <c r="K286" s="85"/>
      <c r="L286" s="52"/>
      <c r="M286" s="52"/>
      <c r="N286" s="52"/>
    </row>
    <row r="287" ht="15.75" customHeight="1">
      <c r="A287" s="49"/>
      <c r="C287" s="84"/>
      <c r="E287" s="49"/>
      <c r="G287" s="50"/>
      <c r="H287" s="51"/>
      <c r="I287" s="85"/>
      <c r="J287" s="85"/>
      <c r="K287" s="85"/>
      <c r="L287" s="52"/>
      <c r="M287" s="52"/>
      <c r="N287" s="52"/>
    </row>
    <row r="288" ht="15.75" customHeight="1">
      <c r="A288" s="49"/>
      <c r="C288" s="84"/>
      <c r="E288" s="49"/>
      <c r="G288" s="50"/>
      <c r="H288" s="51"/>
      <c r="I288" s="85"/>
      <c r="J288" s="85"/>
      <c r="K288" s="85"/>
      <c r="L288" s="52"/>
      <c r="M288" s="52"/>
      <c r="N288" s="52"/>
    </row>
    <row r="289" ht="15.75" customHeight="1">
      <c r="A289" s="49"/>
      <c r="C289" s="84"/>
      <c r="E289" s="49"/>
      <c r="G289" s="50"/>
      <c r="H289" s="51"/>
      <c r="I289" s="85"/>
      <c r="J289" s="85"/>
      <c r="K289" s="85"/>
      <c r="L289" s="52"/>
      <c r="M289" s="52"/>
      <c r="N289" s="52"/>
    </row>
    <row r="290" ht="15.75" customHeight="1">
      <c r="A290" s="49"/>
      <c r="C290" s="84"/>
      <c r="E290" s="49"/>
      <c r="G290" s="50"/>
      <c r="H290" s="51"/>
      <c r="I290" s="85"/>
      <c r="J290" s="85"/>
      <c r="K290" s="85"/>
      <c r="L290" s="52"/>
      <c r="M290" s="52"/>
      <c r="N290" s="52"/>
    </row>
    <row r="291" ht="15.75" customHeight="1">
      <c r="A291" s="49"/>
      <c r="C291" s="84"/>
      <c r="E291" s="49"/>
      <c r="G291" s="50"/>
      <c r="H291" s="51"/>
      <c r="I291" s="85"/>
      <c r="J291" s="85"/>
      <c r="K291" s="85"/>
      <c r="L291" s="52"/>
      <c r="M291" s="52"/>
      <c r="N291" s="52"/>
    </row>
    <row r="292" ht="15.75" customHeight="1">
      <c r="A292" s="49"/>
      <c r="C292" s="84"/>
      <c r="E292" s="49"/>
      <c r="G292" s="50"/>
      <c r="H292" s="51"/>
      <c r="I292" s="85"/>
      <c r="J292" s="85"/>
      <c r="K292" s="85"/>
      <c r="L292" s="52"/>
      <c r="M292" s="52"/>
      <c r="N292" s="52"/>
    </row>
    <row r="293" ht="15.75" customHeight="1">
      <c r="A293" s="49"/>
      <c r="C293" s="84"/>
      <c r="E293" s="49"/>
      <c r="G293" s="50"/>
      <c r="H293" s="51"/>
      <c r="I293" s="85"/>
      <c r="J293" s="85"/>
      <c r="K293" s="85"/>
      <c r="L293" s="52"/>
      <c r="M293" s="52"/>
      <c r="N293" s="52"/>
    </row>
    <row r="294" ht="15.75" customHeight="1">
      <c r="A294" s="49"/>
      <c r="C294" s="84"/>
      <c r="E294" s="49"/>
      <c r="G294" s="50"/>
      <c r="H294" s="51"/>
      <c r="I294" s="85"/>
      <c r="J294" s="85"/>
      <c r="K294" s="85"/>
      <c r="L294" s="52"/>
      <c r="M294" s="52"/>
      <c r="N294" s="52"/>
    </row>
    <row r="295" ht="15.75" customHeight="1">
      <c r="A295" s="49"/>
      <c r="C295" s="84"/>
      <c r="E295" s="49"/>
      <c r="G295" s="50"/>
      <c r="H295" s="51"/>
      <c r="I295" s="85"/>
      <c r="J295" s="85"/>
      <c r="K295" s="85"/>
      <c r="L295" s="52"/>
      <c r="M295" s="52"/>
      <c r="N295" s="52"/>
    </row>
    <row r="296" ht="15.75" customHeight="1">
      <c r="A296" s="49"/>
      <c r="C296" s="84"/>
      <c r="E296" s="49"/>
      <c r="G296" s="50"/>
      <c r="H296" s="51"/>
      <c r="I296" s="85"/>
      <c r="J296" s="85"/>
      <c r="K296" s="85"/>
      <c r="L296" s="52"/>
      <c r="M296" s="52"/>
      <c r="N296" s="52"/>
    </row>
    <row r="297" ht="15.75" customHeight="1">
      <c r="A297" s="49"/>
      <c r="C297" s="84"/>
      <c r="E297" s="49"/>
      <c r="G297" s="50"/>
      <c r="H297" s="51"/>
      <c r="I297" s="85"/>
      <c r="J297" s="85"/>
      <c r="K297" s="85"/>
      <c r="L297" s="52"/>
      <c r="M297" s="52"/>
      <c r="N297" s="52"/>
    </row>
    <row r="298" ht="15.75" customHeight="1">
      <c r="A298" s="49"/>
      <c r="C298" s="84"/>
      <c r="E298" s="49"/>
      <c r="G298" s="50"/>
      <c r="H298" s="51"/>
      <c r="I298" s="85"/>
      <c r="J298" s="85"/>
      <c r="K298" s="85"/>
      <c r="L298" s="52"/>
      <c r="M298" s="52"/>
      <c r="N298" s="52"/>
    </row>
    <row r="299" ht="15.75" customHeight="1">
      <c r="A299" s="49"/>
      <c r="C299" s="84"/>
      <c r="E299" s="49"/>
      <c r="G299" s="50"/>
      <c r="H299" s="51"/>
      <c r="I299" s="85"/>
      <c r="J299" s="85"/>
      <c r="K299" s="85"/>
      <c r="L299" s="52"/>
      <c r="M299" s="52"/>
      <c r="N299" s="52"/>
    </row>
    <row r="300" ht="15.75" customHeight="1">
      <c r="A300" s="49"/>
      <c r="C300" s="84"/>
      <c r="E300" s="49"/>
      <c r="G300" s="50"/>
      <c r="H300" s="51"/>
      <c r="I300" s="85"/>
      <c r="J300" s="85"/>
      <c r="K300" s="85"/>
      <c r="L300" s="52"/>
      <c r="M300" s="52"/>
      <c r="N300" s="52"/>
    </row>
    <row r="301" ht="15.75" customHeight="1">
      <c r="A301" s="49"/>
      <c r="C301" s="84"/>
      <c r="E301" s="49"/>
      <c r="G301" s="50"/>
      <c r="H301" s="51"/>
      <c r="I301" s="85"/>
      <c r="J301" s="85"/>
      <c r="K301" s="85"/>
      <c r="L301" s="52"/>
      <c r="M301" s="52"/>
      <c r="N301" s="52"/>
    </row>
    <row r="302" ht="15.75" customHeight="1">
      <c r="A302" s="49"/>
      <c r="C302" s="84"/>
      <c r="E302" s="49"/>
      <c r="G302" s="50"/>
      <c r="H302" s="51"/>
      <c r="I302" s="85"/>
      <c r="J302" s="85"/>
      <c r="K302" s="85"/>
      <c r="L302" s="52"/>
      <c r="M302" s="52"/>
      <c r="N302" s="52"/>
    </row>
    <row r="303" ht="15.75" customHeight="1">
      <c r="A303" s="49"/>
      <c r="C303" s="84"/>
      <c r="E303" s="49"/>
      <c r="G303" s="50"/>
      <c r="H303" s="51"/>
      <c r="I303" s="85"/>
      <c r="J303" s="85"/>
      <c r="K303" s="85"/>
      <c r="L303" s="52"/>
      <c r="M303" s="52"/>
      <c r="N303" s="52"/>
    </row>
    <row r="304" ht="15.75" customHeight="1">
      <c r="A304" s="49"/>
      <c r="C304" s="84"/>
      <c r="E304" s="49"/>
      <c r="G304" s="50"/>
      <c r="H304" s="51"/>
      <c r="I304" s="85"/>
      <c r="J304" s="85"/>
      <c r="K304" s="85"/>
      <c r="L304" s="52"/>
      <c r="M304" s="52"/>
      <c r="N304" s="52"/>
    </row>
    <row r="305" ht="15.75" customHeight="1">
      <c r="A305" s="49"/>
      <c r="C305" s="84"/>
      <c r="E305" s="49"/>
      <c r="G305" s="50"/>
      <c r="H305" s="51"/>
      <c r="I305" s="85"/>
      <c r="J305" s="85"/>
      <c r="K305" s="85"/>
      <c r="L305" s="52"/>
      <c r="M305" s="52"/>
      <c r="N305" s="52"/>
    </row>
    <row r="306" ht="15.75" customHeight="1">
      <c r="A306" s="49"/>
      <c r="C306" s="84"/>
      <c r="E306" s="49"/>
      <c r="G306" s="50"/>
      <c r="H306" s="51"/>
      <c r="I306" s="85"/>
      <c r="J306" s="85"/>
      <c r="K306" s="85"/>
      <c r="L306" s="52"/>
      <c r="M306" s="52"/>
      <c r="N306" s="52"/>
    </row>
    <row r="307" ht="15.75" customHeight="1">
      <c r="A307" s="49"/>
      <c r="C307" s="84"/>
      <c r="E307" s="49"/>
      <c r="G307" s="50"/>
      <c r="H307" s="51"/>
      <c r="I307" s="85"/>
      <c r="J307" s="85"/>
      <c r="K307" s="85"/>
      <c r="L307" s="52"/>
      <c r="M307" s="52"/>
      <c r="N307" s="52"/>
    </row>
    <row r="308" ht="15.75" customHeight="1">
      <c r="A308" s="49"/>
      <c r="C308" s="84"/>
      <c r="E308" s="49"/>
      <c r="G308" s="50"/>
      <c r="H308" s="51"/>
      <c r="I308" s="85"/>
      <c r="J308" s="85"/>
      <c r="K308" s="85"/>
      <c r="L308" s="52"/>
      <c r="M308" s="52"/>
      <c r="N308" s="52"/>
    </row>
    <row r="309" ht="15.75" customHeight="1">
      <c r="A309" s="49"/>
      <c r="C309" s="84"/>
      <c r="E309" s="49"/>
      <c r="G309" s="50"/>
      <c r="H309" s="51"/>
      <c r="I309" s="85"/>
      <c r="J309" s="85"/>
      <c r="K309" s="85"/>
      <c r="L309" s="52"/>
      <c r="M309" s="52"/>
      <c r="N309" s="52"/>
    </row>
    <row r="310" ht="15.75" customHeight="1">
      <c r="A310" s="49"/>
      <c r="C310" s="84"/>
      <c r="E310" s="49"/>
      <c r="G310" s="50"/>
      <c r="H310" s="51"/>
      <c r="I310" s="85"/>
      <c r="J310" s="85"/>
      <c r="K310" s="85"/>
      <c r="L310" s="52"/>
      <c r="M310" s="52"/>
      <c r="N310" s="52"/>
    </row>
    <row r="311" ht="15.75" customHeight="1">
      <c r="A311" s="49"/>
      <c r="C311" s="84"/>
      <c r="E311" s="49"/>
      <c r="G311" s="50"/>
      <c r="H311" s="51"/>
      <c r="I311" s="85"/>
      <c r="J311" s="85"/>
      <c r="K311" s="85"/>
      <c r="L311" s="52"/>
      <c r="M311" s="52"/>
      <c r="N311" s="52"/>
    </row>
    <row r="312" ht="15.75" customHeight="1">
      <c r="A312" s="49"/>
      <c r="C312" s="84"/>
      <c r="E312" s="49"/>
      <c r="G312" s="50"/>
      <c r="H312" s="51"/>
      <c r="I312" s="85"/>
      <c r="J312" s="85"/>
      <c r="K312" s="85"/>
      <c r="L312" s="52"/>
      <c r="M312" s="52"/>
      <c r="N312" s="52"/>
    </row>
    <row r="313" ht="15.75" customHeight="1">
      <c r="A313" s="49"/>
      <c r="C313" s="84"/>
      <c r="E313" s="49"/>
      <c r="G313" s="50"/>
      <c r="H313" s="51"/>
      <c r="I313" s="85"/>
      <c r="J313" s="85"/>
      <c r="K313" s="85"/>
      <c r="L313" s="52"/>
      <c r="M313" s="52"/>
      <c r="N313" s="52"/>
    </row>
    <row r="314" ht="15.75" customHeight="1">
      <c r="A314" s="49"/>
      <c r="C314" s="84"/>
      <c r="E314" s="49"/>
      <c r="G314" s="50"/>
      <c r="H314" s="51"/>
      <c r="I314" s="85"/>
      <c r="J314" s="85"/>
      <c r="K314" s="85"/>
      <c r="L314" s="52"/>
      <c r="M314" s="52"/>
      <c r="N314" s="52"/>
    </row>
    <row r="315" ht="15.75" customHeight="1">
      <c r="A315" s="49"/>
      <c r="C315" s="84"/>
      <c r="E315" s="49"/>
      <c r="G315" s="50"/>
      <c r="H315" s="51"/>
      <c r="I315" s="85"/>
      <c r="J315" s="85"/>
      <c r="K315" s="85"/>
      <c r="L315" s="52"/>
      <c r="M315" s="52"/>
      <c r="N315" s="52"/>
    </row>
    <row r="316" ht="15.75" customHeight="1">
      <c r="A316" s="49"/>
      <c r="C316" s="84"/>
      <c r="E316" s="49"/>
      <c r="G316" s="50"/>
      <c r="H316" s="51"/>
      <c r="I316" s="85"/>
      <c r="J316" s="85"/>
      <c r="K316" s="85"/>
      <c r="L316" s="52"/>
      <c r="M316" s="52"/>
      <c r="N316" s="52"/>
    </row>
    <row r="317" ht="15.75" customHeight="1">
      <c r="A317" s="49"/>
      <c r="C317" s="84"/>
      <c r="E317" s="49"/>
      <c r="G317" s="50"/>
      <c r="H317" s="51"/>
      <c r="I317" s="85"/>
      <c r="J317" s="85"/>
      <c r="K317" s="85"/>
      <c r="L317" s="52"/>
      <c r="M317" s="52"/>
      <c r="N317" s="52"/>
    </row>
    <row r="318" ht="15.75" customHeight="1">
      <c r="A318" s="49"/>
      <c r="C318" s="84"/>
      <c r="E318" s="49"/>
      <c r="G318" s="50"/>
      <c r="H318" s="51"/>
      <c r="I318" s="85"/>
      <c r="J318" s="85"/>
      <c r="K318" s="85"/>
      <c r="L318" s="52"/>
      <c r="M318" s="52"/>
      <c r="N318" s="52"/>
    </row>
    <row r="319" ht="15.75" customHeight="1">
      <c r="A319" s="49"/>
      <c r="C319" s="84"/>
      <c r="E319" s="49"/>
      <c r="G319" s="50"/>
      <c r="H319" s="51"/>
      <c r="I319" s="85"/>
      <c r="J319" s="85"/>
      <c r="K319" s="85"/>
      <c r="L319" s="52"/>
      <c r="M319" s="52"/>
      <c r="N319" s="52"/>
    </row>
    <row r="320" ht="15.75" customHeight="1">
      <c r="A320" s="49"/>
      <c r="C320" s="84"/>
      <c r="E320" s="49"/>
      <c r="G320" s="50"/>
      <c r="H320" s="51"/>
      <c r="I320" s="85"/>
      <c r="J320" s="85"/>
      <c r="K320" s="85"/>
      <c r="L320" s="52"/>
      <c r="M320" s="52"/>
      <c r="N320" s="52"/>
    </row>
    <row r="321" ht="15.75" customHeight="1">
      <c r="A321" s="49"/>
      <c r="C321" s="84"/>
      <c r="E321" s="49"/>
      <c r="G321" s="50"/>
      <c r="H321" s="51"/>
      <c r="I321" s="85"/>
      <c r="J321" s="85"/>
      <c r="K321" s="85"/>
      <c r="L321" s="52"/>
      <c r="M321" s="52"/>
      <c r="N321" s="52"/>
    </row>
    <row r="322" ht="15.75" customHeight="1">
      <c r="A322" s="49"/>
      <c r="C322" s="84"/>
      <c r="E322" s="49"/>
      <c r="G322" s="50"/>
      <c r="H322" s="51"/>
      <c r="I322" s="85"/>
      <c r="J322" s="85"/>
      <c r="K322" s="85"/>
      <c r="L322" s="52"/>
      <c r="M322" s="52"/>
      <c r="N322" s="52"/>
    </row>
    <row r="323" ht="15.75" customHeight="1">
      <c r="A323" s="49"/>
      <c r="C323" s="84"/>
      <c r="E323" s="49"/>
      <c r="G323" s="50"/>
      <c r="H323" s="51"/>
      <c r="I323" s="85"/>
      <c r="J323" s="85"/>
      <c r="K323" s="85"/>
      <c r="L323" s="52"/>
      <c r="M323" s="52"/>
      <c r="N323" s="52"/>
    </row>
    <row r="324" ht="15.75" customHeight="1">
      <c r="A324" s="49"/>
      <c r="C324" s="84"/>
      <c r="E324" s="49"/>
      <c r="G324" s="50"/>
      <c r="H324" s="51"/>
      <c r="I324" s="85"/>
      <c r="J324" s="85"/>
      <c r="K324" s="85"/>
      <c r="L324" s="52"/>
      <c r="M324" s="52"/>
      <c r="N324" s="52"/>
    </row>
    <row r="325" ht="15.75" customHeight="1">
      <c r="A325" s="49"/>
      <c r="C325" s="84"/>
      <c r="E325" s="49"/>
      <c r="G325" s="50"/>
      <c r="H325" s="51"/>
      <c r="I325" s="85"/>
      <c r="J325" s="85"/>
      <c r="K325" s="85"/>
      <c r="L325" s="52"/>
      <c r="M325" s="52"/>
      <c r="N325" s="52"/>
    </row>
    <row r="326" ht="15.75" customHeight="1">
      <c r="A326" s="49"/>
      <c r="C326" s="84"/>
      <c r="E326" s="49"/>
      <c r="G326" s="50"/>
      <c r="H326" s="51"/>
      <c r="I326" s="85"/>
      <c r="J326" s="85"/>
      <c r="K326" s="85"/>
      <c r="L326" s="52"/>
      <c r="M326" s="52"/>
      <c r="N326" s="52"/>
    </row>
    <row r="327" ht="15.75" customHeight="1">
      <c r="A327" s="49"/>
      <c r="C327" s="84"/>
      <c r="E327" s="49"/>
      <c r="G327" s="50"/>
      <c r="H327" s="51"/>
      <c r="I327" s="85"/>
      <c r="J327" s="85"/>
      <c r="K327" s="85"/>
      <c r="L327" s="52"/>
      <c r="M327" s="52"/>
      <c r="N327" s="52"/>
    </row>
    <row r="328" ht="15.75" customHeight="1">
      <c r="A328" s="49"/>
      <c r="C328" s="84"/>
      <c r="E328" s="49"/>
      <c r="G328" s="50"/>
      <c r="H328" s="51"/>
      <c r="I328" s="85"/>
      <c r="J328" s="85"/>
      <c r="K328" s="85"/>
      <c r="L328" s="52"/>
      <c r="M328" s="52"/>
      <c r="N328" s="52"/>
    </row>
    <row r="329" ht="15.75" customHeight="1">
      <c r="A329" s="49"/>
      <c r="C329" s="84"/>
      <c r="E329" s="49"/>
      <c r="G329" s="50"/>
      <c r="H329" s="51"/>
      <c r="I329" s="85"/>
      <c r="J329" s="85"/>
      <c r="K329" s="85"/>
      <c r="L329" s="52"/>
      <c r="M329" s="52"/>
      <c r="N329" s="52"/>
    </row>
    <row r="330" ht="15.75" customHeight="1">
      <c r="A330" s="49"/>
      <c r="C330" s="84"/>
      <c r="E330" s="49"/>
      <c r="G330" s="50"/>
      <c r="H330" s="51"/>
      <c r="I330" s="85"/>
      <c r="J330" s="85"/>
      <c r="K330" s="85"/>
      <c r="L330" s="52"/>
      <c r="M330" s="52"/>
      <c r="N330" s="52"/>
    </row>
    <row r="331" ht="15.75" customHeight="1">
      <c r="A331" s="49"/>
      <c r="C331" s="84"/>
      <c r="E331" s="49"/>
      <c r="G331" s="50"/>
      <c r="H331" s="51"/>
      <c r="I331" s="85"/>
      <c r="J331" s="85"/>
      <c r="K331" s="85"/>
      <c r="L331" s="52"/>
      <c r="M331" s="52"/>
      <c r="N331" s="52"/>
    </row>
    <row r="332" ht="15.75" customHeight="1">
      <c r="A332" s="49"/>
      <c r="C332" s="84"/>
      <c r="E332" s="49"/>
      <c r="G332" s="50"/>
      <c r="H332" s="51"/>
      <c r="I332" s="85"/>
      <c r="J332" s="85"/>
      <c r="K332" s="85"/>
      <c r="L332" s="52"/>
      <c r="M332" s="52"/>
      <c r="N332" s="52"/>
    </row>
    <row r="333" ht="15.75" customHeight="1">
      <c r="A333" s="49"/>
      <c r="C333" s="84"/>
      <c r="E333" s="49"/>
      <c r="G333" s="50"/>
      <c r="H333" s="51"/>
      <c r="I333" s="85"/>
      <c r="J333" s="85"/>
      <c r="K333" s="85"/>
      <c r="L333" s="52"/>
      <c r="M333" s="52"/>
      <c r="N333" s="52"/>
    </row>
    <row r="334" ht="15.75" customHeight="1">
      <c r="A334" s="49"/>
      <c r="C334" s="84"/>
      <c r="E334" s="49"/>
      <c r="G334" s="50"/>
      <c r="H334" s="51"/>
      <c r="I334" s="85"/>
      <c r="J334" s="85"/>
      <c r="K334" s="85"/>
      <c r="L334" s="52"/>
      <c r="M334" s="52"/>
      <c r="N334" s="52"/>
    </row>
    <row r="335" ht="15.75" customHeight="1">
      <c r="A335" s="49"/>
      <c r="C335" s="84"/>
      <c r="E335" s="49"/>
      <c r="G335" s="50"/>
      <c r="H335" s="51"/>
      <c r="I335" s="85"/>
      <c r="J335" s="85"/>
      <c r="K335" s="85"/>
      <c r="L335" s="52"/>
      <c r="M335" s="52"/>
      <c r="N335" s="52"/>
    </row>
    <row r="336" ht="15.75" customHeight="1">
      <c r="A336" s="49"/>
      <c r="C336" s="84"/>
      <c r="E336" s="49"/>
      <c r="G336" s="50"/>
      <c r="H336" s="51"/>
      <c r="I336" s="85"/>
      <c r="J336" s="85"/>
      <c r="K336" s="85"/>
      <c r="L336" s="52"/>
      <c r="M336" s="52"/>
      <c r="N336" s="52"/>
    </row>
    <row r="337" ht="15.75" customHeight="1">
      <c r="A337" s="49"/>
      <c r="C337" s="84"/>
      <c r="E337" s="49"/>
      <c r="G337" s="50"/>
      <c r="H337" s="51"/>
      <c r="I337" s="85"/>
      <c r="J337" s="85"/>
      <c r="K337" s="85"/>
      <c r="L337" s="52"/>
      <c r="M337" s="52"/>
      <c r="N337" s="52"/>
    </row>
    <row r="338" ht="15.75" customHeight="1">
      <c r="A338" s="49"/>
      <c r="C338" s="84"/>
      <c r="E338" s="49"/>
      <c r="G338" s="50"/>
      <c r="H338" s="51"/>
      <c r="I338" s="85"/>
      <c r="J338" s="85"/>
      <c r="K338" s="85"/>
      <c r="L338" s="52"/>
      <c r="M338" s="52"/>
      <c r="N338" s="52"/>
    </row>
    <row r="339" ht="15.75" customHeight="1">
      <c r="A339" s="49"/>
      <c r="C339" s="84"/>
      <c r="E339" s="49"/>
      <c r="G339" s="50"/>
      <c r="H339" s="51"/>
      <c r="I339" s="85"/>
      <c r="J339" s="85"/>
      <c r="K339" s="85"/>
      <c r="L339" s="52"/>
      <c r="M339" s="52"/>
      <c r="N339" s="52"/>
    </row>
    <row r="340" ht="15.75" customHeight="1">
      <c r="A340" s="49"/>
      <c r="C340" s="84"/>
      <c r="E340" s="49"/>
      <c r="G340" s="50"/>
      <c r="H340" s="51"/>
      <c r="I340" s="85"/>
      <c r="J340" s="85"/>
      <c r="K340" s="85"/>
      <c r="L340" s="52"/>
      <c r="M340" s="52"/>
      <c r="N340" s="52"/>
    </row>
    <row r="341" ht="15.75" customHeight="1">
      <c r="A341" s="49"/>
      <c r="C341" s="84"/>
      <c r="E341" s="49"/>
      <c r="G341" s="50"/>
      <c r="H341" s="51"/>
      <c r="I341" s="85"/>
      <c r="J341" s="85"/>
      <c r="K341" s="85"/>
      <c r="L341" s="52"/>
      <c r="M341" s="52"/>
      <c r="N341" s="52"/>
    </row>
    <row r="342" ht="15.75" customHeight="1">
      <c r="A342" s="49"/>
      <c r="C342" s="84"/>
      <c r="E342" s="49"/>
      <c r="G342" s="50"/>
      <c r="H342" s="51"/>
      <c r="I342" s="85"/>
      <c r="J342" s="85"/>
      <c r="K342" s="85"/>
      <c r="L342" s="52"/>
      <c r="M342" s="52"/>
      <c r="N342" s="52"/>
    </row>
    <row r="343" ht="15.75" customHeight="1">
      <c r="A343" s="49"/>
      <c r="C343" s="84"/>
      <c r="E343" s="49"/>
      <c r="G343" s="50"/>
      <c r="H343" s="51"/>
      <c r="I343" s="85"/>
      <c r="J343" s="85"/>
      <c r="K343" s="85"/>
      <c r="L343" s="52"/>
      <c r="M343" s="52"/>
      <c r="N343" s="52"/>
    </row>
    <row r="344" ht="15.75" customHeight="1">
      <c r="A344" s="49"/>
      <c r="C344" s="84"/>
      <c r="E344" s="49"/>
      <c r="G344" s="50"/>
      <c r="H344" s="51"/>
      <c r="I344" s="85"/>
      <c r="J344" s="85"/>
      <c r="K344" s="85"/>
      <c r="L344" s="52"/>
      <c r="M344" s="52"/>
      <c r="N344" s="52"/>
    </row>
    <row r="345" ht="15.75" customHeight="1">
      <c r="A345" s="49"/>
      <c r="C345" s="84"/>
      <c r="E345" s="49"/>
      <c r="G345" s="50"/>
      <c r="H345" s="51"/>
      <c r="I345" s="85"/>
      <c r="J345" s="85"/>
      <c r="K345" s="85"/>
      <c r="L345" s="52"/>
      <c r="M345" s="52"/>
      <c r="N345" s="52"/>
    </row>
    <row r="346" ht="15.75" customHeight="1">
      <c r="A346" s="49"/>
      <c r="C346" s="84"/>
      <c r="E346" s="49"/>
      <c r="G346" s="50"/>
      <c r="H346" s="51"/>
      <c r="I346" s="85"/>
      <c r="J346" s="85"/>
      <c r="K346" s="85"/>
      <c r="L346" s="52"/>
      <c r="M346" s="52"/>
      <c r="N346" s="52"/>
    </row>
    <row r="347" ht="15.75" customHeight="1">
      <c r="A347" s="49"/>
      <c r="C347" s="84"/>
      <c r="E347" s="49"/>
      <c r="G347" s="50"/>
      <c r="H347" s="51"/>
      <c r="I347" s="85"/>
      <c r="J347" s="85"/>
      <c r="K347" s="85"/>
      <c r="L347" s="52"/>
      <c r="M347" s="52"/>
      <c r="N347" s="52"/>
    </row>
    <row r="348" ht="15.75" customHeight="1">
      <c r="A348" s="49"/>
      <c r="C348" s="84"/>
      <c r="E348" s="49"/>
      <c r="G348" s="50"/>
      <c r="H348" s="51"/>
      <c r="I348" s="85"/>
      <c r="J348" s="85"/>
      <c r="K348" s="85"/>
      <c r="L348" s="52"/>
      <c r="M348" s="52"/>
      <c r="N348" s="52"/>
    </row>
    <row r="349" ht="15.75" customHeight="1">
      <c r="A349" s="49"/>
      <c r="C349" s="84"/>
      <c r="E349" s="49"/>
      <c r="G349" s="50"/>
      <c r="H349" s="51"/>
      <c r="I349" s="85"/>
      <c r="J349" s="85"/>
      <c r="K349" s="85"/>
      <c r="L349" s="52"/>
      <c r="M349" s="52"/>
      <c r="N349" s="52"/>
    </row>
    <row r="350" ht="15.75" customHeight="1">
      <c r="A350" s="49"/>
      <c r="C350" s="84"/>
      <c r="E350" s="49"/>
      <c r="G350" s="50"/>
      <c r="H350" s="51"/>
      <c r="I350" s="85"/>
      <c r="J350" s="85"/>
      <c r="K350" s="85"/>
      <c r="L350" s="52"/>
      <c r="M350" s="52"/>
      <c r="N350" s="52"/>
    </row>
    <row r="351" ht="15.75" customHeight="1">
      <c r="A351" s="49"/>
      <c r="C351" s="84"/>
      <c r="E351" s="49"/>
      <c r="G351" s="50"/>
      <c r="H351" s="51"/>
      <c r="I351" s="85"/>
      <c r="J351" s="85"/>
      <c r="K351" s="85"/>
      <c r="L351" s="52"/>
      <c r="M351" s="52"/>
      <c r="N351" s="52"/>
    </row>
    <row r="352" ht="15.75" customHeight="1">
      <c r="A352" s="49"/>
      <c r="C352" s="84"/>
      <c r="E352" s="49"/>
      <c r="G352" s="50"/>
      <c r="H352" s="51"/>
      <c r="I352" s="85"/>
      <c r="J352" s="85"/>
      <c r="K352" s="85"/>
      <c r="L352" s="52"/>
      <c r="M352" s="52"/>
      <c r="N352" s="52"/>
    </row>
    <row r="353" ht="15.75" customHeight="1">
      <c r="A353" s="49"/>
      <c r="C353" s="84"/>
      <c r="E353" s="49"/>
      <c r="G353" s="50"/>
      <c r="H353" s="51"/>
      <c r="I353" s="85"/>
      <c r="J353" s="85"/>
      <c r="K353" s="85"/>
      <c r="L353" s="52"/>
      <c r="M353" s="52"/>
      <c r="N353" s="52"/>
    </row>
    <row r="354" ht="15.75" customHeight="1">
      <c r="A354" s="49"/>
      <c r="C354" s="84"/>
      <c r="E354" s="49"/>
      <c r="G354" s="50"/>
      <c r="H354" s="51"/>
      <c r="I354" s="85"/>
      <c r="J354" s="85"/>
      <c r="K354" s="85"/>
      <c r="L354" s="52"/>
      <c r="M354" s="52"/>
      <c r="N354" s="52"/>
    </row>
    <row r="355" ht="15.75" customHeight="1">
      <c r="A355" s="49"/>
      <c r="C355" s="84"/>
      <c r="E355" s="49"/>
      <c r="G355" s="50"/>
      <c r="H355" s="51"/>
      <c r="I355" s="85"/>
      <c r="J355" s="85"/>
      <c r="K355" s="85"/>
      <c r="L355" s="52"/>
      <c r="M355" s="52"/>
      <c r="N355" s="52"/>
    </row>
    <row r="356" ht="15.75" customHeight="1">
      <c r="A356" s="49"/>
      <c r="C356" s="84"/>
      <c r="E356" s="49"/>
      <c r="G356" s="50"/>
      <c r="H356" s="51"/>
      <c r="I356" s="85"/>
      <c r="J356" s="85"/>
      <c r="K356" s="85"/>
      <c r="L356" s="52"/>
      <c r="M356" s="52"/>
      <c r="N356" s="52"/>
    </row>
    <row r="357" ht="15.75" customHeight="1">
      <c r="A357" s="49"/>
      <c r="C357" s="84"/>
      <c r="E357" s="49"/>
      <c r="G357" s="50"/>
      <c r="H357" s="51"/>
      <c r="I357" s="85"/>
      <c r="J357" s="85"/>
      <c r="K357" s="85"/>
      <c r="L357" s="52"/>
      <c r="M357" s="52"/>
      <c r="N357" s="52"/>
    </row>
    <row r="358" ht="15.75" customHeight="1">
      <c r="A358" s="49"/>
      <c r="C358" s="84"/>
      <c r="E358" s="49"/>
      <c r="G358" s="50"/>
      <c r="H358" s="51"/>
      <c r="I358" s="85"/>
      <c r="J358" s="85"/>
      <c r="K358" s="85"/>
      <c r="L358" s="52"/>
      <c r="M358" s="52"/>
      <c r="N358" s="52"/>
    </row>
    <row r="359" ht="15.75" customHeight="1">
      <c r="A359" s="49"/>
      <c r="C359" s="84"/>
      <c r="E359" s="49"/>
      <c r="G359" s="50"/>
      <c r="H359" s="51"/>
      <c r="I359" s="85"/>
      <c r="J359" s="85"/>
      <c r="K359" s="85"/>
      <c r="L359" s="52"/>
      <c r="M359" s="52"/>
      <c r="N359" s="52"/>
    </row>
    <row r="360" ht="15.75" customHeight="1">
      <c r="A360" s="49"/>
      <c r="C360" s="84"/>
      <c r="E360" s="49"/>
      <c r="G360" s="50"/>
      <c r="H360" s="51"/>
      <c r="I360" s="85"/>
      <c r="J360" s="85"/>
      <c r="K360" s="85"/>
      <c r="L360" s="52"/>
      <c r="M360" s="52"/>
      <c r="N360" s="52"/>
    </row>
    <row r="361" ht="15.75" customHeight="1">
      <c r="A361" s="49"/>
      <c r="C361" s="84"/>
      <c r="E361" s="49"/>
      <c r="G361" s="50"/>
      <c r="H361" s="51"/>
      <c r="I361" s="85"/>
      <c r="J361" s="85"/>
      <c r="K361" s="85"/>
      <c r="L361" s="52"/>
      <c r="M361" s="52"/>
      <c r="N361" s="52"/>
    </row>
    <row r="362" ht="15.75" customHeight="1">
      <c r="A362" s="49"/>
      <c r="C362" s="84"/>
      <c r="E362" s="49"/>
      <c r="G362" s="50"/>
      <c r="H362" s="51"/>
      <c r="I362" s="85"/>
      <c r="J362" s="85"/>
      <c r="K362" s="85"/>
      <c r="L362" s="52"/>
      <c r="M362" s="52"/>
      <c r="N362" s="52"/>
    </row>
    <row r="363" ht="15.75" customHeight="1">
      <c r="A363" s="49"/>
      <c r="C363" s="84"/>
      <c r="E363" s="49"/>
      <c r="G363" s="50"/>
      <c r="H363" s="51"/>
      <c r="I363" s="85"/>
      <c r="J363" s="85"/>
      <c r="K363" s="85"/>
      <c r="L363" s="52"/>
      <c r="M363" s="52"/>
      <c r="N363" s="52"/>
    </row>
    <row r="364" ht="15.75" customHeight="1">
      <c r="A364" s="49"/>
      <c r="C364" s="84"/>
      <c r="E364" s="49"/>
      <c r="G364" s="50"/>
      <c r="H364" s="51"/>
      <c r="I364" s="85"/>
      <c r="J364" s="85"/>
      <c r="K364" s="85"/>
      <c r="L364" s="52"/>
      <c r="M364" s="52"/>
      <c r="N364" s="52"/>
    </row>
    <row r="365" ht="15.75" customHeight="1">
      <c r="A365" s="49"/>
      <c r="C365" s="84"/>
      <c r="E365" s="49"/>
      <c r="G365" s="50"/>
      <c r="H365" s="51"/>
      <c r="I365" s="85"/>
      <c r="J365" s="85"/>
      <c r="K365" s="85"/>
      <c r="L365" s="52"/>
      <c r="M365" s="52"/>
      <c r="N365" s="52"/>
    </row>
    <row r="366" ht="15.75" customHeight="1">
      <c r="A366" s="49"/>
      <c r="C366" s="84"/>
      <c r="E366" s="49"/>
      <c r="G366" s="50"/>
      <c r="H366" s="51"/>
      <c r="I366" s="85"/>
      <c r="J366" s="85"/>
      <c r="K366" s="85"/>
      <c r="L366" s="52"/>
      <c r="M366" s="52"/>
      <c r="N366" s="52"/>
    </row>
    <row r="367" ht="15.75" customHeight="1">
      <c r="A367" s="49"/>
      <c r="C367" s="84"/>
      <c r="E367" s="49"/>
      <c r="G367" s="50"/>
      <c r="H367" s="51"/>
      <c r="I367" s="85"/>
      <c r="J367" s="85"/>
      <c r="K367" s="85"/>
      <c r="L367" s="52"/>
      <c r="M367" s="52"/>
      <c r="N367" s="52"/>
    </row>
    <row r="368" ht="15.75" customHeight="1">
      <c r="A368" s="49"/>
      <c r="C368" s="84"/>
      <c r="E368" s="49"/>
      <c r="G368" s="50"/>
      <c r="H368" s="51"/>
      <c r="I368" s="85"/>
      <c r="J368" s="85"/>
      <c r="K368" s="85"/>
      <c r="L368" s="52"/>
      <c r="M368" s="52"/>
      <c r="N368" s="52"/>
    </row>
    <row r="369" ht="15.75" customHeight="1">
      <c r="A369" s="49"/>
      <c r="C369" s="84"/>
      <c r="E369" s="49"/>
      <c r="G369" s="50"/>
      <c r="H369" s="51"/>
      <c r="I369" s="85"/>
      <c r="J369" s="85"/>
      <c r="K369" s="85"/>
      <c r="L369" s="52"/>
      <c r="M369" s="52"/>
      <c r="N369" s="52"/>
    </row>
    <row r="370" ht="15.75" customHeight="1">
      <c r="A370" s="49"/>
      <c r="C370" s="84"/>
      <c r="E370" s="49"/>
      <c r="G370" s="50"/>
      <c r="H370" s="51"/>
      <c r="I370" s="85"/>
      <c r="J370" s="85"/>
      <c r="K370" s="85"/>
      <c r="L370" s="52"/>
      <c r="M370" s="52"/>
      <c r="N370" s="52"/>
    </row>
    <row r="371" ht="15.75" customHeight="1">
      <c r="A371" s="49"/>
      <c r="C371" s="84"/>
      <c r="E371" s="49"/>
      <c r="G371" s="50"/>
      <c r="H371" s="51"/>
      <c r="I371" s="85"/>
      <c r="J371" s="85"/>
      <c r="K371" s="85"/>
      <c r="L371" s="52"/>
      <c r="M371" s="52"/>
      <c r="N371" s="52"/>
    </row>
    <row r="372" ht="15.75" customHeight="1">
      <c r="A372" s="49"/>
      <c r="C372" s="84"/>
      <c r="E372" s="49"/>
      <c r="G372" s="50"/>
      <c r="H372" s="51"/>
      <c r="I372" s="85"/>
      <c r="J372" s="85"/>
      <c r="K372" s="85"/>
      <c r="L372" s="52"/>
      <c r="M372" s="52"/>
      <c r="N372" s="52"/>
    </row>
    <row r="373" ht="15.75" customHeight="1">
      <c r="A373" s="49"/>
      <c r="C373" s="84"/>
      <c r="E373" s="49"/>
      <c r="G373" s="50"/>
      <c r="H373" s="51"/>
      <c r="I373" s="85"/>
      <c r="J373" s="85"/>
      <c r="K373" s="85"/>
      <c r="L373" s="52"/>
      <c r="M373" s="52"/>
      <c r="N373" s="52"/>
    </row>
    <row r="374" ht="15.75" customHeight="1">
      <c r="A374" s="49"/>
      <c r="C374" s="84"/>
      <c r="E374" s="49"/>
      <c r="G374" s="50"/>
      <c r="H374" s="51"/>
      <c r="I374" s="85"/>
      <c r="J374" s="85"/>
      <c r="K374" s="85"/>
      <c r="L374" s="52"/>
      <c r="M374" s="52"/>
      <c r="N374" s="52"/>
    </row>
    <row r="375" ht="15.75" customHeight="1">
      <c r="A375" s="49"/>
      <c r="C375" s="84"/>
      <c r="E375" s="49"/>
      <c r="G375" s="50"/>
      <c r="H375" s="51"/>
      <c r="I375" s="85"/>
      <c r="J375" s="85"/>
      <c r="K375" s="85"/>
      <c r="L375" s="52"/>
      <c r="M375" s="52"/>
      <c r="N375" s="52"/>
    </row>
    <row r="376" ht="15.75" customHeight="1">
      <c r="A376" s="49"/>
      <c r="C376" s="84"/>
      <c r="E376" s="49"/>
      <c r="G376" s="50"/>
      <c r="H376" s="51"/>
      <c r="I376" s="85"/>
      <c r="J376" s="85"/>
      <c r="K376" s="85"/>
      <c r="L376" s="52"/>
      <c r="M376" s="52"/>
      <c r="N376" s="52"/>
    </row>
    <row r="377" ht="15.75" customHeight="1">
      <c r="A377" s="49"/>
      <c r="C377" s="84"/>
      <c r="E377" s="49"/>
      <c r="G377" s="50"/>
      <c r="H377" s="51"/>
      <c r="I377" s="85"/>
      <c r="J377" s="85"/>
      <c r="K377" s="85"/>
      <c r="L377" s="52"/>
      <c r="M377" s="52"/>
      <c r="N377" s="52"/>
    </row>
    <row r="378" ht="15.75" customHeight="1">
      <c r="A378" s="49"/>
      <c r="C378" s="84"/>
      <c r="E378" s="49"/>
      <c r="G378" s="50"/>
      <c r="H378" s="51"/>
      <c r="I378" s="85"/>
      <c r="J378" s="85"/>
      <c r="K378" s="85"/>
      <c r="L378" s="52"/>
      <c r="M378" s="52"/>
      <c r="N378" s="52"/>
    </row>
    <row r="379" ht="15.75" customHeight="1">
      <c r="A379" s="49"/>
      <c r="C379" s="84"/>
      <c r="E379" s="49"/>
      <c r="G379" s="50"/>
      <c r="H379" s="51"/>
      <c r="I379" s="85"/>
      <c r="J379" s="85"/>
      <c r="K379" s="85"/>
      <c r="L379" s="52"/>
      <c r="M379" s="52"/>
      <c r="N379" s="52"/>
    </row>
    <row r="380" ht="15.75" customHeight="1">
      <c r="A380" s="49"/>
      <c r="C380" s="84"/>
      <c r="E380" s="49"/>
      <c r="G380" s="50"/>
      <c r="H380" s="51"/>
      <c r="I380" s="85"/>
      <c r="J380" s="85"/>
      <c r="K380" s="85"/>
      <c r="L380" s="52"/>
      <c r="M380" s="52"/>
      <c r="N380" s="52"/>
    </row>
    <row r="381" ht="15.75" customHeight="1">
      <c r="A381" s="49"/>
      <c r="C381" s="84"/>
      <c r="E381" s="49"/>
      <c r="G381" s="50"/>
      <c r="H381" s="51"/>
      <c r="I381" s="85"/>
      <c r="J381" s="85"/>
      <c r="K381" s="85"/>
      <c r="L381" s="52"/>
      <c r="M381" s="52"/>
      <c r="N381" s="52"/>
    </row>
    <row r="382" ht="15.75" customHeight="1">
      <c r="A382" s="49"/>
      <c r="C382" s="84"/>
      <c r="E382" s="49"/>
      <c r="G382" s="50"/>
      <c r="H382" s="51"/>
      <c r="I382" s="85"/>
      <c r="J382" s="85"/>
      <c r="K382" s="85"/>
      <c r="L382" s="52"/>
      <c r="M382" s="52"/>
      <c r="N382" s="52"/>
    </row>
    <row r="383" ht="15.75" customHeight="1">
      <c r="A383" s="49"/>
      <c r="C383" s="84"/>
      <c r="E383" s="49"/>
      <c r="G383" s="50"/>
      <c r="H383" s="51"/>
      <c r="I383" s="85"/>
      <c r="J383" s="85"/>
      <c r="K383" s="85"/>
      <c r="L383" s="52"/>
      <c r="M383" s="52"/>
      <c r="N383" s="52"/>
    </row>
    <row r="384" ht="15.75" customHeight="1">
      <c r="A384" s="49"/>
      <c r="C384" s="84"/>
      <c r="E384" s="49"/>
      <c r="G384" s="50"/>
      <c r="H384" s="51"/>
      <c r="I384" s="85"/>
      <c r="J384" s="85"/>
      <c r="K384" s="85"/>
      <c r="L384" s="52"/>
      <c r="M384" s="52"/>
      <c r="N384" s="52"/>
    </row>
    <row r="385" ht="15.75" customHeight="1">
      <c r="A385" s="49"/>
      <c r="C385" s="84"/>
      <c r="E385" s="49"/>
      <c r="G385" s="50"/>
      <c r="H385" s="51"/>
      <c r="I385" s="85"/>
      <c r="J385" s="85"/>
      <c r="K385" s="85"/>
      <c r="L385" s="52"/>
      <c r="M385" s="52"/>
      <c r="N385" s="52"/>
    </row>
    <row r="386" ht="15.75" customHeight="1">
      <c r="A386" s="49"/>
      <c r="C386" s="84"/>
      <c r="E386" s="49"/>
      <c r="G386" s="50"/>
      <c r="H386" s="51"/>
      <c r="I386" s="85"/>
      <c r="J386" s="85"/>
      <c r="K386" s="85"/>
      <c r="L386" s="52"/>
      <c r="M386" s="52"/>
      <c r="N386" s="52"/>
    </row>
    <row r="387" ht="15.75" customHeight="1">
      <c r="A387" s="49"/>
      <c r="C387" s="84"/>
      <c r="E387" s="49"/>
      <c r="G387" s="50"/>
      <c r="H387" s="51"/>
      <c r="I387" s="85"/>
      <c r="J387" s="85"/>
      <c r="K387" s="85"/>
      <c r="L387" s="52"/>
      <c r="M387" s="52"/>
      <c r="N387" s="52"/>
    </row>
    <row r="388" ht="15.75" customHeight="1">
      <c r="A388" s="49"/>
      <c r="C388" s="84"/>
      <c r="E388" s="49"/>
      <c r="G388" s="50"/>
      <c r="H388" s="51"/>
      <c r="I388" s="85"/>
      <c r="J388" s="85"/>
      <c r="K388" s="85"/>
      <c r="L388" s="52"/>
      <c r="M388" s="52"/>
      <c r="N388" s="52"/>
    </row>
    <row r="389" ht="15.75" customHeight="1">
      <c r="A389" s="49"/>
      <c r="C389" s="84"/>
      <c r="E389" s="49"/>
      <c r="G389" s="50"/>
      <c r="H389" s="51"/>
      <c r="I389" s="85"/>
      <c r="J389" s="85"/>
      <c r="K389" s="85"/>
      <c r="L389" s="52"/>
      <c r="M389" s="52"/>
      <c r="N389" s="52"/>
    </row>
    <row r="390" ht="15.75" customHeight="1">
      <c r="A390" s="49"/>
      <c r="C390" s="84"/>
      <c r="E390" s="49"/>
      <c r="G390" s="50"/>
      <c r="H390" s="51"/>
      <c r="I390" s="85"/>
      <c r="J390" s="85"/>
      <c r="K390" s="85"/>
      <c r="L390" s="52"/>
      <c r="M390" s="52"/>
      <c r="N390" s="52"/>
    </row>
    <row r="391" ht="15.75" customHeight="1">
      <c r="A391" s="49"/>
      <c r="C391" s="84"/>
      <c r="E391" s="49"/>
      <c r="G391" s="50"/>
      <c r="H391" s="51"/>
      <c r="I391" s="85"/>
      <c r="J391" s="85"/>
      <c r="K391" s="85"/>
      <c r="L391" s="52"/>
      <c r="M391" s="52"/>
      <c r="N391" s="52"/>
    </row>
    <row r="392" ht="15.75" customHeight="1">
      <c r="A392" s="49"/>
      <c r="C392" s="84"/>
      <c r="E392" s="49"/>
      <c r="G392" s="50"/>
      <c r="H392" s="51"/>
      <c r="I392" s="85"/>
      <c r="J392" s="85"/>
      <c r="K392" s="85"/>
      <c r="L392" s="52"/>
      <c r="M392" s="52"/>
      <c r="N392" s="52"/>
    </row>
    <row r="393" ht="15.75" customHeight="1">
      <c r="A393" s="49"/>
      <c r="C393" s="84"/>
      <c r="E393" s="49"/>
      <c r="G393" s="50"/>
      <c r="H393" s="51"/>
      <c r="I393" s="85"/>
      <c r="J393" s="85"/>
      <c r="K393" s="85"/>
      <c r="L393" s="52"/>
      <c r="M393" s="52"/>
      <c r="N393" s="52"/>
    </row>
    <row r="394" ht="15.75" customHeight="1">
      <c r="A394" s="49"/>
      <c r="C394" s="84"/>
      <c r="E394" s="49"/>
      <c r="G394" s="50"/>
      <c r="H394" s="51"/>
      <c r="I394" s="85"/>
      <c r="J394" s="85"/>
      <c r="K394" s="85"/>
      <c r="L394" s="52"/>
      <c r="M394" s="52"/>
      <c r="N394" s="52"/>
    </row>
    <row r="395" ht="15.75" customHeight="1">
      <c r="A395" s="49"/>
      <c r="C395" s="84"/>
      <c r="E395" s="49"/>
      <c r="G395" s="50"/>
      <c r="H395" s="51"/>
      <c r="I395" s="85"/>
      <c r="J395" s="85"/>
      <c r="K395" s="85"/>
      <c r="L395" s="52"/>
      <c r="M395" s="52"/>
      <c r="N395" s="52"/>
    </row>
    <row r="396" ht="15.75" customHeight="1">
      <c r="A396" s="49"/>
      <c r="C396" s="84"/>
      <c r="E396" s="49"/>
      <c r="G396" s="50"/>
      <c r="H396" s="51"/>
      <c r="I396" s="85"/>
      <c r="J396" s="85"/>
      <c r="K396" s="85"/>
      <c r="L396" s="52"/>
      <c r="M396" s="52"/>
      <c r="N396" s="52"/>
    </row>
    <row r="397" ht="15.75" customHeight="1">
      <c r="A397" s="49"/>
      <c r="C397" s="84"/>
      <c r="E397" s="49"/>
      <c r="G397" s="50"/>
      <c r="H397" s="51"/>
      <c r="I397" s="85"/>
      <c r="J397" s="85"/>
      <c r="K397" s="85"/>
      <c r="L397" s="52"/>
      <c r="M397" s="52"/>
      <c r="N397" s="52"/>
    </row>
    <row r="398" ht="15.75" customHeight="1">
      <c r="A398" s="49"/>
      <c r="C398" s="84"/>
      <c r="E398" s="49"/>
      <c r="G398" s="50"/>
      <c r="H398" s="51"/>
      <c r="I398" s="85"/>
      <c r="J398" s="85"/>
      <c r="K398" s="85"/>
      <c r="L398" s="52"/>
      <c r="M398" s="52"/>
      <c r="N398" s="52"/>
    </row>
    <row r="399" ht="15.75" customHeight="1">
      <c r="A399" s="49"/>
      <c r="C399" s="84"/>
      <c r="E399" s="49"/>
      <c r="G399" s="50"/>
      <c r="H399" s="51"/>
      <c r="I399" s="85"/>
      <c r="J399" s="85"/>
      <c r="K399" s="85"/>
      <c r="L399" s="52"/>
      <c r="M399" s="52"/>
      <c r="N399" s="52"/>
    </row>
    <row r="400" ht="15.75" customHeight="1">
      <c r="A400" s="49"/>
      <c r="C400" s="84"/>
      <c r="E400" s="49"/>
      <c r="G400" s="50"/>
      <c r="H400" s="51"/>
      <c r="I400" s="85"/>
      <c r="J400" s="85"/>
      <c r="K400" s="85"/>
      <c r="L400" s="52"/>
      <c r="M400" s="52"/>
      <c r="N400" s="52"/>
    </row>
    <row r="401" ht="15.75" customHeight="1">
      <c r="A401" s="49"/>
      <c r="C401" s="84"/>
      <c r="E401" s="49"/>
      <c r="G401" s="50"/>
      <c r="H401" s="51"/>
      <c r="I401" s="85"/>
      <c r="J401" s="85"/>
      <c r="K401" s="85"/>
      <c r="L401" s="52"/>
      <c r="M401" s="52"/>
      <c r="N401" s="52"/>
    </row>
    <row r="402" ht="15.75" customHeight="1">
      <c r="A402" s="49"/>
      <c r="C402" s="84"/>
      <c r="E402" s="49"/>
      <c r="G402" s="50"/>
      <c r="H402" s="51"/>
      <c r="I402" s="85"/>
      <c r="J402" s="85"/>
      <c r="K402" s="85"/>
      <c r="L402" s="52"/>
      <c r="M402" s="52"/>
      <c r="N402" s="52"/>
    </row>
    <row r="403" ht="15.75" customHeight="1">
      <c r="A403" s="49"/>
      <c r="C403" s="84"/>
      <c r="E403" s="49"/>
      <c r="G403" s="50"/>
      <c r="H403" s="51"/>
      <c r="I403" s="85"/>
      <c r="J403" s="85"/>
      <c r="K403" s="85"/>
      <c r="L403" s="52"/>
      <c r="M403" s="52"/>
      <c r="N403" s="52"/>
    </row>
    <row r="404" ht="15.75" customHeight="1">
      <c r="A404" s="49"/>
      <c r="C404" s="84"/>
      <c r="E404" s="49"/>
      <c r="G404" s="50"/>
      <c r="H404" s="51"/>
      <c r="I404" s="85"/>
      <c r="J404" s="85"/>
      <c r="K404" s="85"/>
      <c r="L404" s="52"/>
      <c r="M404" s="52"/>
      <c r="N404" s="52"/>
    </row>
    <row r="405" ht="15.75" customHeight="1">
      <c r="A405" s="49"/>
      <c r="C405" s="84"/>
      <c r="E405" s="49"/>
      <c r="G405" s="50"/>
      <c r="H405" s="51"/>
      <c r="I405" s="85"/>
      <c r="J405" s="85"/>
      <c r="K405" s="85"/>
      <c r="L405" s="52"/>
      <c r="M405" s="52"/>
      <c r="N405" s="52"/>
    </row>
    <row r="406" ht="15.75" customHeight="1">
      <c r="A406" s="49"/>
      <c r="C406" s="84"/>
      <c r="E406" s="49"/>
      <c r="G406" s="50"/>
      <c r="H406" s="51"/>
      <c r="I406" s="85"/>
      <c r="J406" s="85"/>
      <c r="K406" s="85"/>
      <c r="L406" s="52"/>
      <c r="M406" s="52"/>
      <c r="N406" s="52"/>
    </row>
    <row r="407" ht="15.75" customHeight="1">
      <c r="A407" s="49"/>
      <c r="C407" s="84"/>
      <c r="E407" s="49"/>
      <c r="G407" s="50"/>
      <c r="H407" s="51"/>
      <c r="I407" s="85"/>
      <c r="J407" s="85"/>
      <c r="K407" s="85"/>
      <c r="L407" s="52"/>
      <c r="M407" s="52"/>
      <c r="N407" s="52"/>
    </row>
    <row r="408" ht="15.75" customHeight="1">
      <c r="A408" s="49"/>
      <c r="C408" s="84"/>
      <c r="E408" s="49"/>
      <c r="G408" s="50"/>
      <c r="H408" s="51"/>
      <c r="I408" s="85"/>
      <c r="J408" s="85"/>
      <c r="K408" s="85"/>
      <c r="L408" s="52"/>
      <c r="M408" s="52"/>
      <c r="N408" s="52"/>
    </row>
    <row r="409" ht="15.75" customHeight="1">
      <c r="A409" s="49"/>
      <c r="C409" s="84"/>
      <c r="E409" s="49"/>
      <c r="G409" s="50"/>
      <c r="H409" s="51"/>
      <c r="I409" s="85"/>
      <c r="J409" s="85"/>
      <c r="K409" s="85"/>
      <c r="L409" s="52"/>
      <c r="M409" s="52"/>
      <c r="N409" s="52"/>
    </row>
    <row r="410" ht="15.75" customHeight="1">
      <c r="A410" s="49"/>
      <c r="C410" s="84"/>
      <c r="E410" s="49"/>
      <c r="G410" s="50"/>
      <c r="H410" s="51"/>
      <c r="I410" s="85"/>
      <c r="J410" s="85"/>
      <c r="K410" s="85"/>
      <c r="L410" s="52"/>
      <c r="M410" s="52"/>
      <c r="N410" s="52"/>
    </row>
    <row r="411" ht="15.75" customHeight="1">
      <c r="A411" s="49"/>
      <c r="C411" s="84"/>
      <c r="E411" s="49"/>
      <c r="G411" s="50"/>
      <c r="H411" s="51"/>
      <c r="I411" s="85"/>
      <c r="J411" s="85"/>
      <c r="K411" s="85"/>
      <c r="L411" s="52"/>
      <c r="M411" s="52"/>
      <c r="N411" s="52"/>
    </row>
    <row r="412" ht="15.75" customHeight="1">
      <c r="A412" s="49"/>
      <c r="C412" s="84"/>
      <c r="E412" s="49"/>
      <c r="G412" s="50"/>
      <c r="H412" s="51"/>
      <c r="I412" s="85"/>
      <c r="J412" s="85"/>
      <c r="K412" s="85"/>
      <c r="L412" s="52"/>
      <c r="M412" s="52"/>
      <c r="N412" s="52"/>
    </row>
    <row r="413" ht="15.75" customHeight="1">
      <c r="A413" s="49"/>
      <c r="C413" s="84"/>
      <c r="E413" s="49"/>
      <c r="G413" s="50"/>
      <c r="H413" s="51"/>
      <c r="I413" s="85"/>
      <c r="J413" s="85"/>
      <c r="K413" s="85"/>
      <c r="L413" s="52"/>
      <c r="M413" s="52"/>
      <c r="N413" s="52"/>
    </row>
    <row r="414" ht="15.75" customHeight="1">
      <c r="A414" s="49"/>
      <c r="C414" s="84"/>
      <c r="E414" s="49"/>
      <c r="G414" s="50"/>
      <c r="H414" s="51"/>
      <c r="I414" s="85"/>
      <c r="J414" s="85"/>
      <c r="K414" s="85"/>
      <c r="L414" s="52"/>
      <c r="M414" s="52"/>
      <c r="N414" s="52"/>
    </row>
    <row r="415" ht="15.75" customHeight="1">
      <c r="A415" s="49"/>
      <c r="C415" s="84"/>
      <c r="E415" s="49"/>
      <c r="G415" s="50"/>
      <c r="H415" s="51"/>
      <c r="I415" s="85"/>
      <c r="J415" s="85"/>
      <c r="K415" s="85"/>
      <c r="L415" s="52"/>
      <c r="M415" s="52"/>
      <c r="N415" s="52"/>
    </row>
    <row r="416" ht="15.75" customHeight="1">
      <c r="A416" s="49"/>
      <c r="C416" s="84"/>
      <c r="E416" s="49"/>
      <c r="G416" s="50"/>
      <c r="H416" s="51"/>
      <c r="I416" s="85"/>
      <c r="J416" s="85"/>
      <c r="K416" s="85"/>
      <c r="L416" s="52"/>
      <c r="M416" s="52"/>
      <c r="N416" s="52"/>
    </row>
    <row r="417" ht="15.75" customHeight="1">
      <c r="A417" s="49"/>
      <c r="C417" s="84"/>
      <c r="E417" s="49"/>
      <c r="G417" s="50"/>
      <c r="H417" s="51"/>
      <c r="I417" s="85"/>
      <c r="J417" s="85"/>
      <c r="K417" s="85"/>
      <c r="L417" s="52"/>
      <c r="M417" s="52"/>
      <c r="N417" s="52"/>
    </row>
    <row r="418" ht="15.75" customHeight="1">
      <c r="A418" s="49"/>
      <c r="C418" s="84"/>
      <c r="E418" s="49"/>
      <c r="G418" s="50"/>
      <c r="H418" s="51"/>
      <c r="I418" s="85"/>
      <c r="J418" s="85"/>
      <c r="K418" s="85"/>
      <c r="L418" s="52"/>
      <c r="M418" s="52"/>
      <c r="N418" s="52"/>
    </row>
    <row r="419" ht="15.75" customHeight="1">
      <c r="A419" s="49"/>
      <c r="C419" s="84"/>
      <c r="E419" s="49"/>
      <c r="G419" s="50"/>
      <c r="H419" s="51"/>
      <c r="I419" s="85"/>
      <c r="J419" s="85"/>
      <c r="K419" s="85"/>
      <c r="L419" s="52"/>
      <c r="M419" s="52"/>
      <c r="N419" s="52"/>
    </row>
    <row r="420" ht="15.75" customHeight="1">
      <c r="A420" s="49"/>
      <c r="C420" s="84"/>
      <c r="E420" s="49"/>
      <c r="G420" s="50"/>
      <c r="H420" s="51"/>
      <c r="I420" s="85"/>
      <c r="J420" s="85"/>
      <c r="K420" s="85"/>
      <c r="L420" s="52"/>
      <c r="M420" s="52"/>
      <c r="N420" s="52"/>
    </row>
    <row r="421" ht="15.75" customHeight="1">
      <c r="A421" s="49"/>
      <c r="C421" s="84"/>
      <c r="E421" s="49"/>
      <c r="G421" s="50"/>
      <c r="H421" s="51"/>
      <c r="I421" s="85"/>
      <c r="J421" s="85"/>
      <c r="K421" s="85"/>
      <c r="L421" s="52"/>
      <c r="M421" s="52"/>
      <c r="N421" s="52"/>
    </row>
    <row r="422" ht="15.75" customHeight="1">
      <c r="A422" s="49"/>
      <c r="C422" s="84"/>
      <c r="E422" s="49"/>
      <c r="G422" s="50"/>
      <c r="H422" s="51"/>
      <c r="I422" s="85"/>
      <c r="J422" s="85"/>
      <c r="K422" s="85"/>
      <c r="L422" s="52"/>
      <c r="M422" s="52"/>
      <c r="N422" s="52"/>
    </row>
    <row r="423" ht="15.75" customHeight="1">
      <c r="A423" s="49"/>
      <c r="C423" s="84"/>
      <c r="E423" s="49"/>
      <c r="G423" s="50"/>
      <c r="H423" s="51"/>
      <c r="I423" s="85"/>
      <c r="J423" s="85"/>
      <c r="K423" s="85"/>
      <c r="L423" s="52"/>
      <c r="M423" s="52"/>
      <c r="N423" s="52"/>
    </row>
    <row r="424" ht="15.75" customHeight="1">
      <c r="A424" s="49"/>
      <c r="C424" s="84"/>
      <c r="E424" s="49"/>
      <c r="G424" s="50"/>
      <c r="H424" s="51"/>
      <c r="I424" s="85"/>
      <c r="J424" s="85"/>
      <c r="K424" s="85"/>
      <c r="L424" s="52"/>
      <c r="M424" s="52"/>
      <c r="N424" s="52"/>
    </row>
    <row r="425" ht="15.75" customHeight="1">
      <c r="A425" s="49"/>
      <c r="C425" s="84"/>
      <c r="E425" s="49"/>
      <c r="G425" s="50"/>
      <c r="H425" s="51"/>
      <c r="I425" s="85"/>
      <c r="J425" s="85"/>
      <c r="K425" s="85"/>
      <c r="L425" s="52"/>
      <c r="M425" s="52"/>
      <c r="N425" s="52"/>
    </row>
    <row r="426" ht="15.75" customHeight="1">
      <c r="A426" s="49"/>
      <c r="C426" s="84"/>
      <c r="E426" s="49"/>
      <c r="G426" s="50"/>
      <c r="H426" s="51"/>
      <c r="I426" s="85"/>
      <c r="J426" s="85"/>
      <c r="K426" s="85"/>
      <c r="L426" s="52"/>
      <c r="M426" s="52"/>
      <c r="N426" s="52"/>
    </row>
    <row r="427" ht="15.75" customHeight="1">
      <c r="A427" s="49"/>
      <c r="C427" s="84"/>
      <c r="E427" s="49"/>
      <c r="G427" s="50"/>
      <c r="H427" s="51"/>
      <c r="I427" s="85"/>
      <c r="J427" s="85"/>
      <c r="K427" s="85"/>
      <c r="L427" s="52"/>
      <c r="M427" s="52"/>
      <c r="N427" s="52"/>
    </row>
    <row r="428" ht="15.75" customHeight="1">
      <c r="A428" s="49"/>
      <c r="C428" s="84"/>
      <c r="E428" s="49"/>
      <c r="G428" s="50"/>
      <c r="H428" s="51"/>
      <c r="I428" s="85"/>
      <c r="J428" s="85"/>
      <c r="K428" s="85"/>
      <c r="L428" s="52"/>
      <c r="M428" s="52"/>
      <c r="N428" s="52"/>
    </row>
    <row r="429" ht="15.75" customHeight="1">
      <c r="A429" s="49"/>
      <c r="C429" s="84"/>
      <c r="E429" s="49"/>
      <c r="G429" s="50"/>
      <c r="H429" s="51"/>
      <c r="I429" s="85"/>
      <c r="J429" s="85"/>
      <c r="K429" s="85"/>
      <c r="L429" s="52"/>
      <c r="M429" s="52"/>
      <c r="N429" s="52"/>
    </row>
    <row r="430" ht="15.75" customHeight="1">
      <c r="A430" s="49"/>
      <c r="C430" s="84"/>
      <c r="E430" s="49"/>
      <c r="G430" s="50"/>
      <c r="H430" s="51"/>
      <c r="I430" s="85"/>
      <c r="J430" s="85"/>
      <c r="K430" s="85"/>
      <c r="L430" s="52"/>
      <c r="M430" s="52"/>
      <c r="N430" s="52"/>
    </row>
    <row r="431" ht="15.75" customHeight="1">
      <c r="A431" s="49"/>
      <c r="C431" s="84"/>
      <c r="E431" s="49"/>
      <c r="G431" s="50"/>
      <c r="H431" s="51"/>
      <c r="I431" s="85"/>
      <c r="J431" s="85"/>
      <c r="K431" s="85"/>
      <c r="L431" s="52"/>
      <c r="M431" s="52"/>
      <c r="N431" s="52"/>
    </row>
    <row r="432" ht="15.75" customHeight="1">
      <c r="A432" s="49"/>
      <c r="C432" s="84"/>
      <c r="E432" s="49"/>
      <c r="G432" s="50"/>
      <c r="H432" s="51"/>
      <c r="I432" s="85"/>
      <c r="J432" s="85"/>
      <c r="K432" s="85"/>
      <c r="L432" s="52"/>
      <c r="M432" s="52"/>
      <c r="N432" s="52"/>
    </row>
    <row r="433" ht="15.75" customHeight="1">
      <c r="A433" s="49"/>
      <c r="C433" s="84"/>
      <c r="E433" s="49"/>
      <c r="G433" s="50"/>
      <c r="H433" s="51"/>
      <c r="I433" s="85"/>
      <c r="J433" s="85"/>
      <c r="K433" s="85"/>
      <c r="L433" s="52"/>
      <c r="M433" s="52"/>
      <c r="N433" s="52"/>
    </row>
    <row r="434" ht="15.75" customHeight="1">
      <c r="A434" s="49"/>
      <c r="C434" s="84"/>
      <c r="E434" s="49"/>
      <c r="G434" s="50"/>
      <c r="H434" s="51"/>
      <c r="I434" s="85"/>
      <c r="J434" s="85"/>
      <c r="K434" s="85"/>
      <c r="L434" s="52"/>
      <c r="M434" s="52"/>
      <c r="N434" s="52"/>
    </row>
    <row r="435" ht="15.75" customHeight="1">
      <c r="A435" s="49"/>
      <c r="C435" s="84"/>
      <c r="E435" s="49"/>
      <c r="G435" s="50"/>
      <c r="H435" s="51"/>
      <c r="I435" s="85"/>
      <c r="J435" s="85"/>
      <c r="K435" s="85"/>
      <c r="L435" s="52"/>
      <c r="M435" s="52"/>
      <c r="N435" s="52"/>
    </row>
    <row r="436" ht="15.75" customHeight="1">
      <c r="A436" s="49"/>
      <c r="C436" s="84"/>
      <c r="E436" s="49"/>
      <c r="G436" s="50"/>
      <c r="H436" s="51"/>
      <c r="I436" s="85"/>
      <c r="J436" s="85"/>
      <c r="K436" s="85"/>
      <c r="L436" s="52"/>
      <c r="M436" s="52"/>
      <c r="N436" s="52"/>
    </row>
    <row r="437" ht="15.75" customHeight="1">
      <c r="A437" s="49"/>
      <c r="C437" s="84"/>
      <c r="E437" s="49"/>
      <c r="G437" s="50"/>
      <c r="H437" s="51"/>
      <c r="I437" s="85"/>
      <c r="J437" s="85"/>
      <c r="K437" s="85"/>
      <c r="L437" s="52"/>
      <c r="M437" s="52"/>
      <c r="N437" s="52"/>
    </row>
    <row r="438" ht="15.75" customHeight="1">
      <c r="A438" s="49"/>
      <c r="C438" s="84"/>
      <c r="E438" s="49"/>
      <c r="G438" s="50"/>
      <c r="H438" s="51"/>
      <c r="I438" s="85"/>
      <c r="J438" s="85"/>
      <c r="K438" s="85"/>
      <c r="L438" s="52"/>
      <c r="M438" s="52"/>
      <c r="N438" s="52"/>
    </row>
    <row r="439" ht="15.75" customHeight="1">
      <c r="A439" s="49"/>
      <c r="C439" s="84"/>
      <c r="E439" s="49"/>
      <c r="G439" s="50"/>
      <c r="H439" s="51"/>
      <c r="I439" s="85"/>
      <c r="J439" s="85"/>
      <c r="K439" s="85"/>
      <c r="L439" s="52"/>
      <c r="M439" s="52"/>
      <c r="N439" s="52"/>
    </row>
    <row r="440" ht="15.75" customHeight="1">
      <c r="A440" s="49"/>
      <c r="C440" s="84"/>
      <c r="E440" s="49"/>
      <c r="G440" s="50"/>
      <c r="H440" s="51"/>
      <c r="I440" s="85"/>
      <c r="J440" s="85"/>
      <c r="K440" s="85"/>
      <c r="L440" s="52"/>
      <c r="M440" s="52"/>
      <c r="N440" s="52"/>
    </row>
    <row r="441" ht="15.75" customHeight="1">
      <c r="A441" s="49"/>
      <c r="C441" s="84"/>
      <c r="E441" s="49"/>
      <c r="G441" s="50"/>
      <c r="H441" s="51"/>
      <c r="I441" s="85"/>
      <c r="J441" s="85"/>
      <c r="K441" s="85"/>
      <c r="L441" s="52"/>
      <c r="M441" s="52"/>
      <c r="N441" s="52"/>
    </row>
    <row r="442" ht="15.75" customHeight="1">
      <c r="A442" s="49"/>
      <c r="C442" s="84"/>
      <c r="E442" s="49"/>
      <c r="G442" s="50"/>
      <c r="H442" s="51"/>
      <c r="I442" s="85"/>
      <c r="J442" s="85"/>
      <c r="K442" s="85"/>
      <c r="L442" s="52"/>
      <c r="M442" s="52"/>
      <c r="N442" s="52"/>
    </row>
    <row r="443" ht="15.75" customHeight="1">
      <c r="A443" s="49"/>
      <c r="C443" s="84"/>
      <c r="E443" s="49"/>
      <c r="G443" s="50"/>
      <c r="H443" s="51"/>
      <c r="I443" s="85"/>
      <c r="J443" s="85"/>
      <c r="K443" s="85"/>
      <c r="L443" s="52"/>
      <c r="M443" s="52"/>
      <c r="N443" s="52"/>
    </row>
    <row r="444" ht="15.75" customHeight="1">
      <c r="A444" s="49"/>
      <c r="C444" s="84"/>
      <c r="E444" s="49"/>
      <c r="G444" s="50"/>
      <c r="H444" s="51"/>
      <c r="I444" s="85"/>
      <c r="J444" s="85"/>
      <c r="K444" s="85"/>
      <c r="L444" s="52"/>
      <c r="M444" s="52"/>
      <c r="N444" s="52"/>
    </row>
    <row r="445" ht="15.75" customHeight="1">
      <c r="A445" s="49"/>
      <c r="C445" s="84"/>
      <c r="E445" s="49"/>
      <c r="G445" s="50"/>
      <c r="H445" s="51"/>
      <c r="I445" s="85"/>
      <c r="J445" s="85"/>
      <c r="K445" s="85"/>
      <c r="L445" s="52"/>
      <c r="M445" s="52"/>
      <c r="N445" s="52"/>
    </row>
    <row r="446" ht="15.75" customHeight="1">
      <c r="A446" s="49"/>
      <c r="C446" s="84"/>
      <c r="E446" s="49"/>
      <c r="G446" s="50"/>
      <c r="H446" s="51"/>
      <c r="I446" s="85"/>
      <c r="J446" s="85"/>
      <c r="K446" s="85"/>
      <c r="L446" s="52"/>
      <c r="M446" s="52"/>
      <c r="N446" s="52"/>
    </row>
    <row r="447" ht="15.75" customHeight="1">
      <c r="A447" s="49"/>
      <c r="C447" s="84"/>
      <c r="E447" s="49"/>
      <c r="G447" s="50"/>
      <c r="H447" s="51"/>
      <c r="I447" s="85"/>
      <c r="J447" s="85"/>
      <c r="K447" s="85"/>
      <c r="L447" s="52"/>
      <c r="M447" s="52"/>
      <c r="N447" s="52"/>
    </row>
    <row r="448" ht="15.75" customHeight="1">
      <c r="A448" s="49"/>
      <c r="C448" s="84"/>
      <c r="E448" s="49"/>
      <c r="G448" s="50"/>
      <c r="H448" s="51"/>
      <c r="I448" s="85"/>
      <c r="J448" s="85"/>
      <c r="K448" s="85"/>
      <c r="L448" s="52"/>
      <c r="M448" s="52"/>
      <c r="N448" s="52"/>
    </row>
    <row r="449" ht="15.75" customHeight="1">
      <c r="A449" s="49"/>
      <c r="C449" s="84"/>
      <c r="E449" s="49"/>
      <c r="G449" s="50"/>
      <c r="H449" s="51"/>
      <c r="I449" s="85"/>
      <c r="J449" s="85"/>
      <c r="K449" s="85"/>
      <c r="L449" s="52"/>
      <c r="M449" s="52"/>
      <c r="N449" s="52"/>
    </row>
    <row r="450" ht="15.75" customHeight="1">
      <c r="A450" s="49"/>
      <c r="C450" s="84"/>
      <c r="E450" s="49"/>
      <c r="G450" s="50"/>
      <c r="H450" s="51"/>
      <c r="I450" s="85"/>
      <c r="J450" s="85"/>
      <c r="K450" s="85"/>
      <c r="L450" s="52"/>
      <c r="M450" s="52"/>
      <c r="N450" s="52"/>
    </row>
    <row r="451" ht="15.75" customHeight="1">
      <c r="A451" s="49"/>
      <c r="C451" s="84"/>
      <c r="E451" s="49"/>
      <c r="G451" s="50"/>
      <c r="H451" s="51"/>
      <c r="I451" s="85"/>
      <c r="J451" s="85"/>
      <c r="K451" s="85"/>
      <c r="L451" s="52"/>
      <c r="M451" s="52"/>
      <c r="N451" s="52"/>
    </row>
    <row r="452" ht="15.75" customHeight="1">
      <c r="A452" s="49"/>
      <c r="C452" s="84"/>
      <c r="E452" s="49"/>
      <c r="G452" s="50"/>
      <c r="H452" s="51"/>
      <c r="I452" s="85"/>
      <c r="J452" s="85"/>
      <c r="K452" s="85"/>
      <c r="L452" s="52"/>
      <c r="M452" s="52"/>
      <c r="N452" s="52"/>
    </row>
    <row r="453" ht="15.75" customHeight="1">
      <c r="A453" s="49"/>
      <c r="C453" s="84"/>
      <c r="E453" s="49"/>
      <c r="G453" s="50"/>
      <c r="H453" s="51"/>
      <c r="I453" s="85"/>
      <c r="J453" s="85"/>
      <c r="K453" s="85"/>
      <c r="L453" s="52"/>
      <c r="M453" s="52"/>
      <c r="N453" s="52"/>
    </row>
    <row r="454" ht="15.75" customHeight="1">
      <c r="A454" s="49"/>
      <c r="C454" s="84"/>
      <c r="E454" s="49"/>
      <c r="G454" s="50"/>
      <c r="H454" s="51"/>
      <c r="I454" s="85"/>
      <c r="J454" s="85"/>
      <c r="K454" s="85"/>
      <c r="L454" s="52"/>
      <c r="M454" s="52"/>
      <c r="N454" s="52"/>
    </row>
    <row r="455" ht="15.75" customHeight="1">
      <c r="A455" s="49"/>
      <c r="C455" s="84"/>
      <c r="E455" s="49"/>
      <c r="G455" s="50"/>
      <c r="H455" s="51"/>
      <c r="I455" s="85"/>
      <c r="J455" s="85"/>
      <c r="K455" s="85"/>
      <c r="L455" s="52"/>
      <c r="M455" s="52"/>
      <c r="N455" s="52"/>
    </row>
    <row r="456" ht="15.75" customHeight="1">
      <c r="A456" s="49"/>
      <c r="C456" s="84"/>
      <c r="E456" s="49"/>
      <c r="G456" s="50"/>
      <c r="H456" s="51"/>
      <c r="I456" s="85"/>
      <c r="J456" s="85"/>
      <c r="K456" s="85"/>
      <c r="L456" s="52"/>
      <c r="M456" s="52"/>
      <c r="N456" s="52"/>
    </row>
    <row r="457" ht="15.75" customHeight="1">
      <c r="A457" s="49"/>
      <c r="C457" s="84"/>
      <c r="E457" s="49"/>
      <c r="G457" s="50"/>
      <c r="H457" s="51"/>
      <c r="I457" s="85"/>
      <c r="J457" s="85"/>
      <c r="K457" s="85"/>
      <c r="L457" s="52"/>
      <c r="M457" s="52"/>
      <c r="N457" s="52"/>
    </row>
    <row r="458" ht="15.75" customHeight="1">
      <c r="A458" s="49"/>
      <c r="C458" s="84"/>
      <c r="E458" s="49"/>
      <c r="G458" s="50"/>
      <c r="H458" s="51"/>
      <c r="I458" s="85"/>
      <c r="J458" s="85"/>
      <c r="K458" s="85"/>
      <c r="L458" s="52"/>
      <c r="M458" s="52"/>
      <c r="N458" s="52"/>
    </row>
    <row r="459" ht="15.75" customHeight="1">
      <c r="A459" s="49"/>
      <c r="C459" s="84"/>
      <c r="E459" s="49"/>
      <c r="G459" s="50"/>
      <c r="H459" s="51"/>
      <c r="I459" s="85"/>
      <c r="J459" s="85"/>
      <c r="K459" s="85"/>
      <c r="L459" s="52"/>
      <c r="M459" s="52"/>
      <c r="N459" s="52"/>
    </row>
    <row r="460" ht="15.75" customHeight="1">
      <c r="A460" s="49"/>
      <c r="C460" s="84"/>
      <c r="E460" s="49"/>
      <c r="G460" s="50"/>
      <c r="H460" s="51"/>
      <c r="I460" s="85"/>
      <c r="J460" s="85"/>
      <c r="K460" s="85"/>
      <c r="L460" s="52"/>
      <c r="M460" s="52"/>
      <c r="N460" s="52"/>
    </row>
    <row r="461" ht="15.75" customHeight="1">
      <c r="A461" s="49"/>
      <c r="C461" s="84"/>
      <c r="E461" s="49"/>
      <c r="G461" s="50"/>
      <c r="H461" s="51"/>
      <c r="I461" s="85"/>
      <c r="J461" s="85"/>
      <c r="K461" s="85"/>
      <c r="L461" s="52"/>
      <c r="M461" s="52"/>
      <c r="N461" s="52"/>
    </row>
    <row r="462" ht="15.75" customHeight="1">
      <c r="A462" s="49"/>
      <c r="C462" s="84"/>
      <c r="E462" s="49"/>
      <c r="G462" s="50"/>
      <c r="H462" s="51"/>
      <c r="I462" s="85"/>
      <c r="J462" s="85"/>
      <c r="K462" s="85"/>
      <c r="L462" s="52"/>
      <c r="M462" s="52"/>
      <c r="N462" s="52"/>
    </row>
    <row r="463" ht="15.75" customHeight="1">
      <c r="A463" s="49"/>
      <c r="C463" s="84"/>
      <c r="E463" s="49"/>
      <c r="G463" s="50"/>
      <c r="H463" s="51"/>
      <c r="I463" s="85"/>
      <c r="J463" s="85"/>
      <c r="K463" s="85"/>
      <c r="L463" s="52"/>
      <c r="M463" s="52"/>
      <c r="N463" s="52"/>
    </row>
    <row r="464" ht="15.75" customHeight="1">
      <c r="A464" s="49"/>
      <c r="C464" s="84"/>
      <c r="E464" s="49"/>
      <c r="G464" s="50"/>
      <c r="H464" s="51"/>
      <c r="I464" s="85"/>
      <c r="J464" s="85"/>
      <c r="K464" s="85"/>
      <c r="L464" s="52"/>
      <c r="M464" s="52"/>
      <c r="N464" s="52"/>
    </row>
    <row r="465" ht="15.75" customHeight="1">
      <c r="A465" s="49"/>
      <c r="C465" s="84"/>
      <c r="E465" s="49"/>
      <c r="G465" s="50"/>
      <c r="H465" s="51"/>
      <c r="I465" s="85"/>
      <c r="J465" s="85"/>
      <c r="K465" s="85"/>
      <c r="L465" s="52"/>
      <c r="M465" s="52"/>
      <c r="N465" s="52"/>
    </row>
    <row r="466" ht="15.75" customHeight="1">
      <c r="A466" s="49"/>
      <c r="C466" s="84"/>
      <c r="E466" s="49"/>
      <c r="G466" s="50"/>
      <c r="H466" s="51"/>
      <c r="I466" s="85"/>
      <c r="J466" s="85"/>
      <c r="K466" s="85"/>
      <c r="L466" s="52"/>
      <c r="M466" s="52"/>
      <c r="N466" s="52"/>
    </row>
    <row r="467" ht="15.75" customHeight="1">
      <c r="A467" s="49"/>
      <c r="C467" s="84"/>
      <c r="E467" s="49"/>
      <c r="G467" s="50"/>
      <c r="H467" s="51"/>
      <c r="I467" s="85"/>
      <c r="J467" s="85"/>
      <c r="K467" s="85"/>
      <c r="L467" s="52"/>
      <c r="M467" s="52"/>
      <c r="N467" s="52"/>
    </row>
    <row r="468" ht="15.75" customHeight="1">
      <c r="A468" s="49"/>
      <c r="C468" s="84"/>
      <c r="E468" s="49"/>
      <c r="G468" s="50"/>
      <c r="H468" s="51"/>
      <c r="I468" s="85"/>
      <c r="J468" s="85"/>
      <c r="K468" s="85"/>
      <c r="L468" s="52"/>
      <c r="M468" s="52"/>
      <c r="N468" s="52"/>
    </row>
    <row r="469" ht="15.75" customHeight="1">
      <c r="A469" s="49"/>
      <c r="C469" s="84"/>
      <c r="E469" s="49"/>
      <c r="G469" s="50"/>
      <c r="H469" s="51"/>
      <c r="I469" s="85"/>
      <c r="J469" s="85"/>
      <c r="K469" s="85"/>
      <c r="L469" s="52"/>
      <c r="M469" s="52"/>
      <c r="N469" s="52"/>
    </row>
    <row r="470" ht="15.75" customHeight="1">
      <c r="A470" s="49"/>
      <c r="C470" s="84"/>
      <c r="E470" s="49"/>
      <c r="G470" s="50"/>
      <c r="H470" s="51"/>
      <c r="I470" s="85"/>
      <c r="J470" s="85"/>
      <c r="K470" s="85"/>
      <c r="L470" s="52"/>
      <c r="M470" s="52"/>
      <c r="N470" s="52"/>
    </row>
    <row r="471" ht="15.75" customHeight="1">
      <c r="A471" s="49"/>
      <c r="C471" s="84"/>
      <c r="E471" s="49"/>
      <c r="G471" s="50"/>
      <c r="H471" s="51"/>
      <c r="I471" s="85"/>
      <c r="J471" s="85"/>
      <c r="K471" s="85"/>
      <c r="L471" s="52"/>
      <c r="M471" s="52"/>
      <c r="N471" s="52"/>
    </row>
    <row r="472" ht="15.75" customHeight="1">
      <c r="A472" s="49"/>
      <c r="C472" s="84"/>
      <c r="E472" s="49"/>
      <c r="G472" s="50"/>
      <c r="H472" s="51"/>
      <c r="I472" s="85"/>
      <c r="J472" s="85"/>
      <c r="K472" s="85"/>
      <c r="L472" s="52"/>
      <c r="M472" s="52"/>
      <c r="N472" s="52"/>
    </row>
    <row r="473" ht="15.75" customHeight="1">
      <c r="A473" s="49"/>
      <c r="C473" s="84"/>
      <c r="E473" s="49"/>
      <c r="G473" s="50"/>
      <c r="H473" s="51"/>
      <c r="I473" s="85"/>
      <c r="J473" s="85"/>
      <c r="K473" s="85"/>
      <c r="L473" s="52"/>
      <c r="M473" s="52"/>
      <c r="N473" s="52"/>
    </row>
    <row r="474" ht="15.75" customHeight="1">
      <c r="A474" s="49"/>
      <c r="C474" s="84"/>
      <c r="E474" s="49"/>
      <c r="G474" s="50"/>
      <c r="H474" s="51"/>
      <c r="I474" s="85"/>
      <c r="J474" s="85"/>
      <c r="K474" s="85"/>
      <c r="L474" s="52"/>
      <c r="M474" s="52"/>
      <c r="N474" s="52"/>
    </row>
    <row r="475" ht="15.75" customHeight="1">
      <c r="A475" s="49"/>
      <c r="C475" s="84"/>
      <c r="E475" s="49"/>
      <c r="G475" s="50"/>
      <c r="H475" s="51"/>
      <c r="I475" s="85"/>
      <c r="J475" s="85"/>
      <c r="K475" s="85"/>
      <c r="L475" s="52"/>
      <c r="M475" s="52"/>
      <c r="N475" s="52"/>
    </row>
    <row r="476" ht="15.75" customHeight="1">
      <c r="A476" s="49"/>
      <c r="C476" s="84"/>
      <c r="E476" s="49"/>
      <c r="G476" s="50"/>
      <c r="H476" s="51"/>
      <c r="I476" s="85"/>
      <c r="J476" s="85"/>
      <c r="K476" s="85"/>
      <c r="L476" s="52"/>
      <c r="M476" s="52"/>
      <c r="N476" s="52"/>
    </row>
    <row r="477" ht="15.75" customHeight="1">
      <c r="A477" s="49"/>
      <c r="C477" s="84"/>
      <c r="E477" s="49"/>
      <c r="G477" s="50"/>
      <c r="H477" s="51"/>
      <c r="I477" s="85"/>
      <c r="J477" s="85"/>
      <c r="K477" s="85"/>
      <c r="L477" s="52"/>
      <c r="M477" s="52"/>
      <c r="N477" s="52"/>
    </row>
    <row r="478" ht="15.75" customHeight="1">
      <c r="A478" s="49"/>
      <c r="C478" s="84"/>
      <c r="E478" s="49"/>
      <c r="G478" s="50"/>
      <c r="H478" s="51"/>
      <c r="I478" s="85"/>
      <c r="J478" s="85"/>
      <c r="K478" s="85"/>
      <c r="L478" s="52"/>
      <c r="M478" s="52"/>
      <c r="N478" s="52"/>
    </row>
    <row r="479" ht="15.75" customHeight="1">
      <c r="A479" s="49"/>
      <c r="C479" s="84"/>
      <c r="E479" s="49"/>
      <c r="G479" s="50"/>
      <c r="H479" s="51"/>
      <c r="I479" s="85"/>
      <c r="J479" s="85"/>
      <c r="K479" s="85"/>
      <c r="L479" s="52"/>
      <c r="M479" s="52"/>
      <c r="N479" s="52"/>
    </row>
    <row r="480" ht="15.75" customHeight="1">
      <c r="A480" s="49"/>
      <c r="C480" s="84"/>
      <c r="E480" s="49"/>
      <c r="G480" s="50"/>
      <c r="H480" s="51"/>
      <c r="I480" s="85"/>
      <c r="J480" s="85"/>
      <c r="K480" s="85"/>
      <c r="L480" s="52"/>
      <c r="M480" s="52"/>
      <c r="N480" s="52"/>
    </row>
    <row r="481" ht="15.75" customHeight="1">
      <c r="A481" s="49"/>
      <c r="C481" s="84"/>
      <c r="E481" s="49"/>
      <c r="G481" s="50"/>
      <c r="H481" s="51"/>
      <c r="I481" s="85"/>
      <c r="J481" s="85"/>
      <c r="K481" s="85"/>
      <c r="L481" s="52"/>
      <c r="M481" s="52"/>
      <c r="N481" s="52"/>
    </row>
    <row r="482" ht="15.75" customHeight="1">
      <c r="A482" s="49"/>
      <c r="C482" s="84"/>
      <c r="E482" s="49"/>
      <c r="G482" s="50"/>
      <c r="H482" s="51"/>
      <c r="I482" s="85"/>
      <c r="J482" s="85"/>
      <c r="K482" s="85"/>
      <c r="L482" s="52"/>
      <c r="M482" s="52"/>
      <c r="N482" s="52"/>
    </row>
    <row r="483" ht="15.75" customHeight="1">
      <c r="A483" s="49"/>
      <c r="C483" s="84"/>
      <c r="E483" s="49"/>
      <c r="G483" s="50"/>
      <c r="H483" s="51"/>
      <c r="I483" s="85"/>
      <c r="J483" s="85"/>
      <c r="K483" s="85"/>
      <c r="L483" s="52"/>
      <c r="M483" s="52"/>
      <c r="N483" s="52"/>
    </row>
    <row r="484" ht="15.75" customHeight="1">
      <c r="A484" s="49"/>
      <c r="C484" s="84"/>
      <c r="E484" s="49"/>
      <c r="G484" s="50"/>
      <c r="H484" s="51"/>
      <c r="I484" s="85"/>
      <c r="J484" s="85"/>
      <c r="K484" s="85"/>
      <c r="L484" s="52"/>
      <c r="M484" s="52"/>
      <c r="N484" s="52"/>
    </row>
    <row r="485" ht="15.75" customHeight="1">
      <c r="A485" s="49"/>
      <c r="C485" s="84"/>
      <c r="E485" s="49"/>
      <c r="G485" s="50"/>
      <c r="H485" s="51"/>
      <c r="I485" s="85"/>
      <c r="J485" s="85"/>
      <c r="K485" s="85"/>
      <c r="L485" s="52"/>
      <c r="M485" s="52"/>
      <c r="N485" s="52"/>
    </row>
    <row r="486" ht="15.75" customHeight="1">
      <c r="A486" s="49"/>
      <c r="C486" s="84"/>
      <c r="E486" s="49"/>
      <c r="G486" s="50"/>
      <c r="H486" s="51"/>
      <c r="I486" s="85"/>
      <c r="J486" s="85"/>
      <c r="K486" s="85"/>
      <c r="L486" s="52"/>
      <c r="M486" s="52"/>
      <c r="N486" s="52"/>
    </row>
    <row r="487" ht="15.75" customHeight="1">
      <c r="A487" s="49"/>
      <c r="C487" s="84"/>
      <c r="E487" s="49"/>
      <c r="G487" s="50"/>
      <c r="H487" s="51"/>
      <c r="I487" s="85"/>
      <c r="J487" s="85"/>
      <c r="K487" s="85"/>
      <c r="L487" s="52"/>
      <c r="M487" s="52"/>
      <c r="N487" s="52"/>
    </row>
    <row r="488" ht="15.75" customHeight="1">
      <c r="A488" s="49"/>
      <c r="C488" s="84"/>
      <c r="E488" s="49"/>
      <c r="G488" s="50"/>
      <c r="H488" s="51"/>
      <c r="I488" s="85"/>
      <c r="J488" s="85"/>
      <c r="K488" s="85"/>
      <c r="L488" s="52"/>
      <c r="M488" s="52"/>
      <c r="N488" s="52"/>
    </row>
    <row r="489" ht="15.75" customHeight="1">
      <c r="A489" s="49"/>
      <c r="C489" s="84"/>
      <c r="E489" s="49"/>
      <c r="G489" s="50"/>
      <c r="H489" s="51"/>
      <c r="I489" s="85"/>
      <c r="J489" s="85"/>
      <c r="K489" s="85"/>
      <c r="L489" s="52"/>
      <c r="M489" s="52"/>
      <c r="N489" s="52"/>
    </row>
    <row r="490" ht="15.75" customHeight="1">
      <c r="A490" s="49"/>
      <c r="C490" s="84"/>
      <c r="E490" s="49"/>
      <c r="G490" s="50"/>
      <c r="H490" s="51"/>
      <c r="I490" s="85"/>
      <c r="J490" s="85"/>
      <c r="K490" s="85"/>
      <c r="L490" s="52"/>
      <c r="M490" s="52"/>
      <c r="N490" s="52"/>
    </row>
    <row r="491" ht="15.75" customHeight="1">
      <c r="A491" s="49"/>
      <c r="C491" s="84"/>
      <c r="E491" s="49"/>
      <c r="G491" s="50"/>
      <c r="H491" s="51"/>
      <c r="I491" s="85"/>
      <c r="J491" s="85"/>
      <c r="K491" s="85"/>
      <c r="L491" s="52"/>
      <c r="M491" s="52"/>
      <c r="N491" s="52"/>
    </row>
    <row r="492" ht="15.75" customHeight="1">
      <c r="A492" s="49"/>
      <c r="C492" s="84"/>
      <c r="E492" s="49"/>
      <c r="G492" s="50"/>
      <c r="H492" s="51"/>
      <c r="I492" s="85"/>
      <c r="J492" s="85"/>
      <c r="K492" s="85"/>
      <c r="L492" s="52"/>
      <c r="M492" s="52"/>
      <c r="N492" s="52"/>
    </row>
    <row r="493" ht="15.75" customHeight="1">
      <c r="A493" s="49"/>
      <c r="C493" s="84"/>
      <c r="E493" s="49"/>
      <c r="G493" s="50"/>
      <c r="H493" s="51"/>
      <c r="I493" s="85"/>
      <c r="J493" s="85"/>
      <c r="K493" s="85"/>
      <c r="L493" s="52"/>
      <c r="M493" s="52"/>
      <c r="N493" s="52"/>
    </row>
    <row r="494" ht="15.75" customHeight="1">
      <c r="A494" s="49"/>
      <c r="C494" s="84"/>
      <c r="E494" s="49"/>
      <c r="G494" s="50"/>
      <c r="H494" s="51"/>
      <c r="I494" s="85"/>
      <c r="J494" s="85"/>
      <c r="K494" s="85"/>
      <c r="L494" s="52"/>
      <c r="M494" s="52"/>
      <c r="N494" s="52"/>
    </row>
    <row r="495" ht="15.75" customHeight="1">
      <c r="A495" s="49"/>
      <c r="C495" s="84"/>
      <c r="E495" s="49"/>
      <c r="G495" s="50"/>
      <c r="H495" s="51"/>
      <c r="I495" s="85"/>
      <c r="J495" s="85"/>
      <c r="K495" s="85"/>
      <c r="L495" s="52"/>
      <c r="M495" s="52"/>
      <c r="N495" s="52"/>
    </row>
    <row r="496" ht="15.75" customHeight="1">
      <c r="A496" s="49"/>
      <c r="C496" s="84"/>
      <c r="E496" s="49"/>
      <c r="G496" s="50"/>
      <c r="H496" s="51"/>
      <c r="I496" s="85"/>
      <c r="J496" s="85"/>
      <c r="K496" s="85"/>
      <c r="L496" s="52"/>
      <c r="M496" s="52"/>
      <c r="N496" s="52"/>
    </row>
    <row r="497" ht="15.75" customHeight="1">
      <c r="A497" s="49"/>
      <c r="C497" s="84"/>
      <c r="E497" s="49"/>
      <c r="G497" s="50"/>
      <c r="H497" s="51"/>
      <c r="I497" s="85"/>
      <c r="J497" s="85"/>
      <c r="K497" s="85"/>
      <c r="L497" s="52"/>
      <c r="M497" s="52"/>
      <c r="N497" s="52"/>
    </row>
    <row r="498" ht="15.75" customHeight="1">
      <c r="A498" s="49"/>
      <c r="C498" s="84"/>
      <c r="E498" s="49"/>
      <c r="G498" s="50"/>
      <c r="H498" s="51"/>
      <c r="I498" s="85"/>
      <c r="J498" s="85"/>
      <c r="K498" s="85"/>
      <c r="L498" s="52"/>
      <c r="M498" s="52"/>
      <c r="N498" s="52"/>
    </row>
    <row r="499" ht="15.75" customHeight="1">
      <c r="A499" s="49"/>
      <c r="C499" s="84"/>
      <c r="E499" s="49"/>
      <c r="G499" s="50"/>
      <c r="H499" s="51"/>
      <c r="I499" s="85"/>
      <c r="J499" s="85"/>
      <c r="K499" s="85"/>
      <c r="L499" s="52"/>
      <c r="M499" s="52"/>
      <c r="N499" s="52"/>
    </row>
    <row r="500" ht="15.75" customHeight="1">
      <c r="A500" s="49"/>
      <c r="C500" s="84"/>
      <c r="E500" s="49"/>
      <c r="G500" s="50"/>
      <c r="H500" s="51"/>
      <c r="I500" s="85"/>
      <c r="J500" s="85"/>
      <c r="K500" s="85"/>
      <c r="L500" s="52"/>
      <c r="M500" s="52"/>
      <c r="N500" s="52"/>
    </row>
    <row r="501" ht="15.75" customHeight="1">
      <c r="A501" s="49"/>
      <c r="C501" s="84"/>
      <c r="E501" s="49"/>
      <c r="G501" s="50"/>
      <c r="H501" s="51"/>
      <c r="I501" s="85"/>
      <c r="J501" s="85"/>
      <c r="K501" s="85"/>
      <c r="L501" s="52"/>
      <c r="M501" s="52"/>
      <c r="N501" s="52"/>
    </row>
    <row r="502" ht="15.75" customHeight="1">
      <c r="A502" s="49"/>
      <c r="C502" s="84"/>
      <c r="E502" s="49"/>
      <c r="G502" s="50"/>
      <c r="H502" s="51"/>
      <c r="I502" s="85"/>
      <c r="J502" s="85"/>
      <c r="K502" s="85"/>
      <c r="L502" s="52"/>
      <c r="M502" s="52"/>
      <c r="N502" s="52"/>
    </row>
    <row r="503" ht="15.75" customHeight="1">
      <c r="A503" s="49"/>
      <c r="C503" s="84"/>
      <c r="E503" s="49"/>
      <c r="G503" s="50"/>
      <c r="H503" s="51"/>
      <c r="I503" s="85"/>
      <c r="J503" s="85"/>
      <c r="K503" s="85"/>
      <c r="L503" s="52"/>
      <c r="M503" s="52"/>
      <c r="N503" s="52"/>
    </row>
    <row r="504" ht="15.75" customHeight="1">
      <c r="A504" s="49"/>
      <c r="C504" s="84"/>
      <c r="E504" s="49"/>
      <c r="G504" s="50"/>
      <c r="H504" s="51"/>
      <c r="I504" s="85"/>
      <c r="J504" s="85"/>
      <c r="K504" s="85"/>
      <c r="L504" s="52"/>
      <c r="M504" s="52"/>
      <c r="N504" s="52"/>
    </row>
    <row r="505" ht="15.75" customHeight="1">
      <c r="A505" s="49"/>
      <c r="C505" s="84"/>
      <c r="E505" s="49"/>
      <c r="G505" s="50"/>
      <c r="H505" s="51"/>
      <c r="I505" s="85"/>
      <c r="J505" s="85"/>
      <c r="K505" s="85"/>
      <c r="L505" s="52"/>
      <c r="M505" s="52"/>
      <c r="N505" s="52"/>
    </row>
    <row r="506" ht="15.75" customHeight="1">
      <c r="A506" s="49"/>
      <c r="C506" s="84"/>
      <c r="E506" s="49"/>
      <c r="G506" s="50"/>
      <c r="H506" s="51"/>
      <c r="I506" s="85"/>
      <c r="J506" s="85"/>
      <c r="K506" s="85"/>
      <c r="L506" s="52"/>
      <c r="M506" s="52"/>
      <c r="N506" s="52"/>
    </row>
    <row r="507" ht="15.75" customHeight="1">
      <c r="A507" s="49"/>
      <c r="C507" s="84"/>
      <c r="E507" s="49"/>
      <c r="G507" s="50"/>
      <c r="H507" s="51"/>
      <c r="I507" s="85"/>
      <c r="J507" s="85"/>
      <c r="K507" s="85"/>
      <c r="L507" s="52"/>
      <c r="M507" s="52"/>
      <c r="N507" s="52"/>
    </row>
    <row r="508" ht="15.75" customHeight="1">
      <c r="A508" s="49"/>
      <c r="C508" s="84"/>
      <c r="E508" s="49"/>
      <c r="G508" s="50"/>
      <c r="H508" s="51"/>
      <c r="I508" s="85"/>
      <c r="J508" s="85"/>
      <c r="K508" s="85"/>
      <c r="L508" s="52"/>
      <c r="M508" s="52"/>
      <c r="N508" s="52"/>
    </row>
    <row r="509" ht="15.75" customHeight="1">
      <c r="A509" s="49"/>
      <c r="C509" s="84"/>
      <c r="E509" s="49"/>
      <c r="G509" s="50"/>
      <c r="H509" s="51"/>
      <c r="I509" s="85"/>
      <c r="J509" s="85"/>
      <c r="K509" s="85"/>
      <c r="L509" s="52"/>
      <c r="M509" s="52"/>
      <c r="N509" s="52"/>
    </row>
    <row r="510" ht="15.75" customHeight="1">
      <c r="A510" s="49"/>
      <c r="C510" s="84"/>
      <c r="E510" s="49"/>
      <c r="G510" s="50"/>
      <c r="H510" s="51"/>
      <c r="I510" s="85"/>
      <c r="J510" s="85"/>
      <c r="K510" s="85"/>
      <c r="L510" s="52"/>
      <c r="M510" s="52"/>
      <c r="N510" s="52"/>
    </row>
    <row r="511" ht="15.75" customHeight="1">
      <c r="A511" s="49"/>
      <c r="C511" s="84"/>
      <c r="E511" s="49"/>
      <c r="G511" s="50"/>
      <c r="H511" s="51"/>
      <c r="I511" s="85"/>
      <c r="J511" s="85"/>
      <c r="K511" s="85"/>
      <c r="L511" s="52"/>
      <c r="M511" s="52"/>
      <c r="N511" s="52"/>
    </row>
    <row r="512" ht="15.75" customHeight="1">
      <c r="A512" s="49"/>
      <c r="C512" s="84"/>
      <c r="E512" s="49"/>
      <c r="G512" s="50"/>
      <c r="H512" s="51"/>
      <c r="I512" s="85"/>
      <c r="J512" s="85"/>
      <c r="K512" s="85"/>
      <c r="L512" s="52"/>
      <c r="M512" s="52"/>
      <c r="N512" s="52"/>
    </row>
    <row r="513" ht="15.75" customHeight="1">
      <c r="A513" s="49"/>
      <c r="C513" s="84"/>
      <c r="E513" s="49"/>
      <c r="G513" s="50"/>
      <c r="H513" s="51"/>
      <c r="I513" s="85"/>
      <c r="J513" s="85"/>
      <c r="K513" s="85"/>
      <c r="L513" s="52"/>
      <c r="M513" s="52"/>
      <c r="N513" s="52"/>
    </row>
    <row r="514" ht="15.75" customHeight="1">
      <c r="A514" s="49"/>
      <c r="C514" s="84"/>
      <c r="E514" s="49"/>
      <c r="G514" s="50"/>
      <c r="H514" s="51"/>
      <c r="I514" s="85"/>
      <c r="J514" s="85"/>
      <c r="K514" s="85"/>
      <c r="L514" s="52"/>
      <c r="M514" s="52"/>
      <c r="N514" s="52"/>
    </row>
    <row r="515" ht="15.75" customHeight="1">
      <c r="A515" s="49"/>
      <c r="C515" s="84"/>
      <c r="E515" s="49"/>
      <c r="G515" s="50"/>
      <c r="H515" s="51"/>
      <c r="I515" s="85"/>
      <c r="J515" s="85"/>
      <c r="K515" s="85"/>
      <c r="L515" s="52"/>
      <c r="M515" s="52"/>
      <c r="N515" s="52"/>
    </row>
    <row r="516" ht="15.75" customHeight="1">
      <c r="A516" s="49"/>
      <c r="C516" s="84"/>
      <c r="E516" s="49"/>
      <c r="G516" s="50"/>
      <c r="H516" s="51"/>
      <c r="I516" s="85"/>
      <c r="J516" s="85"/>
      <c r="K516" s="85"/>
      <c r="L516" s="52"/>
      <c r="M516" s="52"/>
      <c r="N516" s="52"/>
    </row>
    <row r="517" ht="15.75" customHeight="1">
      <c r="A517" s="49"/>
      <c r="C517" s="84"/>
      <c r="E517" s="49"/>
      <c r="G517" s="50"/>
      <c r="H517" s="51"/>
      <c r="I517" s="85"/>
      <c r="J517" s="85"/>
      <c r="K517" s="85"/>
      <c r="L517" s="52"/>
      <c r="M517" s="52"/>
      <c r="N517" s="52"/>
    </row>
    <row r="518" ht="15.75" customHeight="1">
      <c r="A518" s="49"/>
      <c r="C518" s="84"/>
      <c r="E518" s="49"/>
      <c r="G518" s="50"/>
      <c r="H518" s="51"/>
      <c r="I518" s="85"/>
      <c r="J518" s="85"/>
      <c r="K518" s="85"/>
      <c r="L518" s="52"/>
      <c r="M518" s="52"/>
      <c r="N518" s="52"/>
    </row>
    <row r="519" ht="15.75" customHeight="1">
      <c r="A519" s="49"/>
      <c r="C519" s="84"/>
      <c r="E519" s="49"/>
      <c r="G519" s="50"/>
      <c r="H519" s="51"/>
      <c r="I519" s="85"/>
      <c r="J519" s="85"/>
      <c r="K519" s="85"/>
      <c r="L519" s="52"/>
      <c r="M519" s="52"/>
      <c r="N519" s="52"/>
    </row>
    <row r="520" ht="15.75" customHeight="1">
      <c r="A520" s="49"/>
      <c r="C520" s="84"/>
      <c r="E520" s="49"/>
      <c r="G520" s="50"/>
      <c r="H520" s="51"/>
      <c r="I520" s="85"/>
      <c r="J520" s="85"/>
      <c r="K520" s="85"/>
      <c r="L520" s="52"/>
      <c r="M520" s="52"/>
      <c r="N520" s="52"/>
    </row>
    <row r="521" ht="15.75" customHeight="1">
      <c r="A521" s="49"/>
      <c r="C521" s="84"/>
      <c r="E521" s="49"/>
      <c r="G521" s="50"/>
      <c r="H521" s="51"/>
      <c r="I521" s="85"/>
      <c r="J521" s="85"/>
      <c r="K521" s="85"/>
      <c r="L521" s="52"/>
      <c r="M521" s="52"/>
      <c r="N521" s="52"/>
    </row>
    <row r="522" ht="15.75" customHeight="1">
      <c r="A522" s="49"/>
      <c r="C522" s="84"/>
      <c r="E522" s="49"/>
      <c r="G522" s="50"/>
      <c r="H522" s="51"/>
      <c r="I522" s="85"/>
      <c r="J522" s="85"/>
      <c r="K522" s="85"/>
      <c r="L522" s="52"/>
      <c r="M522" s="52"/>
      <c r="N522" s="52"/>
    </row>
    <row r="523" ht="15.75" customHeight="1">
      <c r="A523" s="49"/>
      <c r="C523" s="84"/>
      <c r="E523" s="49"/>
      <c r="G523" s="50"/>
      <c r="H523" s="51"/>
      <c r="I523" s="85"/>
      <c r="J523" s="85"/>
      <c r="K523" s="85"/>
      <c r="L523" s="52"/>
      <c r="M523" s="52"/>
      <c r="N523" s="52"/>
    </row>
    <row r="524" ht="15.75" customHeight="1">
      <c r="A524" s="49"/>
      <c r="C524" s="84"/>
      <c r="E524" s="49"/>
      <c r="G524" s="50"/>
      <c r="H524" s="51"/>
      <c r="I524" s="85"/>
      <c r="J524" s="85"/>
      <c r="K524" s="85"/>
      <c r="L524" s="52"/>
      <c r="M524" s="52"/>
      <c r="N524" s="52"/>
    </row>
    <row r="525" ht="15.75" customHeight="1">
      <c r="A525" s="49"/>
      <c r="C525" s="84"/>
      <c r="E525" s="49"/>
      <c r="G525" s="50"/>
      <c r="H525" s="51"/>
      <c r="I525" s="85"/>
      <c r="J525" s="85"/>
      <c r="K525" s="85"/>
      <c r="L525" s="52"/>
      <c r="M525" s="52"/>
      <c r="N525" s="52"/>
    </row>
    <row r="526" ht="15.75" customHeight="1">
      <c r="A526" s="49"/>
      <c r="C526" s="84"/>
      <c r="E526" s="49"/>
      <c r="G526" s="50"/>
      <c r="H526" s="51"/>
      <c r="I526" s="85"/>
      <c r="J526" s="85"/>
      <c r="K526" s="85"/>
      <c r="L526" s="52"/>
      <c r="M526" s="52"/>
      <c r="N526" s="52"/>
    </row>
    <row r="527" ht="15.75" customHeight="1">
      <c r="A527" s="49"/>
      <c r="C527" s="84"/>
      <c r="E527" s="49"/>
      <c r="G527" s="50"/>
      <c r="H527" s="51"/>
      <c r="I527" s="85"/>
      <c r="J527" s="85"/>
      <c r="K527" s="85"/>
      <c r="L527" s="52"/>
      <c r="M527" s="52"/>
      <c r="N527" s="52"/>
    </row>
    <row r="528" ht="15.75" customHeight="1">
      <c r="A528" s="49"/>
      <c r="C528" s="84"/>
      <c r="E528" s="49"/>
      <c r="G528" s="50"/>
      <c r="H528" s="51"/>
      <c r="I528" s="85"/>
      <c r="J528" s="85"/>
      <c r="K528" s="85"/>
      <c r="L528" s="52"/>
      <c r="M528" s="52"/>
      <c r="N528" s="52"/>
    </row>
    <row r="529" ht="15.75" customHeight="1">
      <c r="A529" s="49"/>
      <c r="C529" s="84"/>
      <c r="E529" s="49"/>
      <c r="G529" s="50"/>
      <c r="H529" s="51"/>
      <c r="I529" s="85"/>
      <c r="J529" s="85"/>
      <c r="K529" s="85"/>
      <c r="L529" s="52"/>
      <c r="M529" s="52"/>
      <c r="N529" s="52"/>
    </row>
    <row r="530" ht="15.75" customHeight="1">
      <c r="A530" s="49"/>
      <c r="C530" s="84"/>
      <c r="E530" s="49"/>
      <c r="G530" s="50"/>
      <c r="H530" s="51"/>
      <c r="I530" s="85"/>
      <c r="J530" s="85"/>
      <c r="K530" s="85"/>
      <c r="L530" s="52"/>
      <c r="M530" s="52"/>
      <c r="N530" s="52"/>
    </row>
    <row r="531" ht="15.75" customHeight="1">
      <c r="A531" s="49"/>
      <c r="C531" s="84"/>
      <c r="E531" s="49"/>
      <c r="G531" s="50"/>
      <c r="H531" s="51"/>
      <c r="I531" s="85"/>
      <c r="J531" s="85"/>
      <c r="K531" s="85"/>
      <c r="L531" s="52"/>
      <c r="M531" s="52"/>
      <c r="N531" s="52"/>
    </row>
    <row r="532" ht="15.75" customHeight="1">
      <c r="A532" s="49"/>
      <c r="C532" s="84"/>
      <c r="E532" s="49"/>
      <c r="G532" s="50"/>
      <c r="H532" s="51"/>
      <c r="I532" s="85"/>
      <c r="J532" s="85"/>
      <c r="K532" s="85"/>
      <c r="L532" s="52"/>
      <c r="M532" s="52"/>
      <c r="N532" s="52"/>
    </row>
    <row r="533" ht="15.75" customHeight="1">
      <c r="A533" s="49"/>
      <c r="C533" s="84"/>
      <c r="E533" s="49"/>
      <c r="G533" s="50"/>
      <c r="H533" s="51"/>
      <c r="I533" s="85"/>
      <c r="J533" s="85"/>
      <c r="K533" s="85"/>
      <c r="L533" s="52"/>
      <c r="M533" s="52"/>
      <c r="N533" s="52"/>
    </row>
    <row r="534" ht="15.75" customHeight="1">
      <c r="A534" s="49"/>
      <c r="C534" s="84"/>
      <c r="E534" s="49"/>
      <c r="G534" s="50"/>
      <c r="H534" s="51"/>
      <c r="I534" s="85"/>
      <c r="J534" s="85"/>
      <c r="K534" s="85"/>
      <c r="L534" s="52"/>
      <c r="M534" s="52"/>
      <c r="N534" s="52"/>
    </row>
    <row r="535" ht="15.75" customHeight="1">
      <c r="A535" s="49"/>
      <c r="C535" s="84"/>
      <c r="E535" s="49"/>
      <c r="G535" s="50"/>
      <c r="H535" s="51"/>
      <c r="I535" s="85"/>
      <c r="J535" s="85"/>
      <c r="K535" s="85"/>
      <c r="L535" s="52"/>
      <c r="M535" s="52"/>
      <c r="N535" s="52"/>
    </row>
    <row r="536" ht="15.75" customHeight="1">
      <c r="A536" s="49"/>
      <c r="C536" s="84"/>
      <c r="E536" s="49"/>
      <c r="G536" s="50"/>
      <c r="H536" s="51"/>
      <c r="I536" s="85"/>
      <c r="J536" s="85"/>
      <c r="K536" s="85"/>
      <c r="L536" s="52"/>
      <c r="M536" s="52"/>
      <c r="N536" s="52"/>
    </row>
    <row r="537" ht="15.75" customHeight="1">
      <c r="A537" s="49"/>
      <c r="C537" s="84"/>
      <c r="E537" s="49"/>
      <c r="G537" s="50"/>
      <c r="H537" s="51"/>
      <c r="I537" s="85"/>
      <c r="J537" s="85"/>
      <c r="K537" s="85"/>
      <c r="L537" s="52"/>
      <c r="M537" s="52"/>
      <c r="N537" s="52"/>
    </row>
    <row r="538" ht="15.75" customHeight="1">
      <c r="A538" s="49"/>
      <c r="C538" s="84"/>
      <c r="E538" s="49"/>
      <c r="G538" s="50"/>
      <c r="H538" s="51"/>
      <c r="I538" s="85"/>
      <c r="J538" s="85"/>
      <c r="K538" s="85"/>
      <c r="L538" s="52"/>
      <c r="M538" s="52"/>
      <c r="N538" s="52"/>
    </row>
    <row r="539" ht="15.75" customHeight="1">
      <c r="A539" s="49"/>
      <c r="C539" s="84"/>
      <c r="E539" s="49"/>
      <c r="G539" s="50"/>
      <c r="H539" s="51"/>
      <c r="I539" s="85"/>
      <c r="J539" s="85"/>
      <c r="K539" s="85"/>
      <c r="L539" s="52"/>
      <c r="M539" s="52"/>
      <c r="N539" s="52"/>
    </row>
    <row r="540" ht="15.75" customHeight="1">
      <c r="A540" s="49"/>
      <c r="C540" s="84"/>
      <c r="E540" s="49"/>
      <c r="G540" s="50"/>
      <c r="H540" s="51"/>
      <c r="I540" s="85"/>
      <c r="J540" s="85"/>
      <c r="K540" s="85"/>
      <c r="L540" s="52"/>
      <c r="M540" s="52"/>
      <c r="N540" s="52"/>
    </row>
    <row r="541" ht="15.75" customHeight="1">
      <c r="A541" s="49"/>
      <c r="C541" s="84"/>
      <c r="E541" s="49"/>
      <c r="G541" s="50"/>
      <c r="H541" s="51"/>
      <c r="I541" s="85"/>
      <c r="J541" s="85"/>
      <c r="K541" s="85"/>
      <c r="L541" s="52"/>
      <c r="M541" s="52"/>
      <c r="N541" s="52"/>
    </row>
    <row r="542" ht="15.75" customHeight="1">
      <c r="A542" s="49"/>
      <c r="C542" s="84"/>
      <c r="E542" s="49"/>
      <c r="G542" s="50"/>
      <c r="H542" s="51"/>
      <c r="I542" s="85"/>
      <c r="J542" s="85"/>
      <c r="K542" s="85"/>
      <c r="L542" s="52"/>
      <c r="M542" s="52"/>
      <c r="N542" s="52"/>
    </row>
    <row r="543" ht="15.75" customHeight="1">
      <c r="A543" s="49"/>
      <c r="C543" s="84"/>
      <c r="E543" s="49"/>
      <c r="G543" s="50"/>
      <c r="H543" s="51"/>
      <c r="I543" s="85"/>
      <c r="J543" s="85"/>
      <c r="K543" s="85"/>
      <c r="L543" s="52"/>
      <c r="M543" s="52"/>
      <c r="N543" s="52"/>
    </row>
    <row r="544" ht="15.75" customHeight="1">
      <c r="A544" s="49"/>
      <c r="C544" s="84"/>
      <c r="E544" s="49"/>
      <c r="G544" s="50"/>
      <c r="H544" s="51"/>
      <c r="I544" s="85"/>
      <c r="J544" s="85"/>
      <c r="K544" s="85"/>
      <c r="L544" s="52"/>
      <c r="M544" s="52"/>
      <c r="N544" s="52"/>
    </row>
    <row r="545" ht="15.75" customHeight="1">
      <c r="A545" s="49"/>
      <c r="C545" s="84"/>
      <c r="E545" s="49"/>
      <c r="G545" s="50"/>
      <c r="H545" s="51"/>
      <c r="I545" s="85"/>
      <c r="J545" s="85"/>
      <c r="K545" s="85"/>
      <c r="L545" s="52"/>
      <c r="M545" s="52"/>
      <c r="N545" s="52"/>
    </row>
    <row r="546" ht="15.75" customHeight="1">
      <c r="A546" s="49"/>
      <c r="C546" s="84"/>
      <c r="E546" s="49"/>
      <c r="G546" s="50"/>
      <c r="H546" s="51"/>
      <c r="I546" s="85"/>
      <c r="J546" s="85"/>
      <c r="K546" s="85"/>
      <c r="L546" s="52"/>
      <c r="M546" s="52"/>
      <c r="N546" s="52"/>
    </row>
    <row r="547" ht="15.75" customHeight="1">
      <c r="A547" s="49"/>
      <c r="C547" s="84"/>
      <c r="E547" s="49"/>
      <c r="G547" s="50"/>
      <c r="H547" s="51"/>
      <c r="I547" s="85"/>
      <c r="J547" s="85"/>
      <c r="K547" s="85"/>
      <c r="L547" s="52"/>
      <c r="M547" s="52"/>
      <c r="N547" s="52"/>
    </row>
    <row r="548" ht="15.75" customHeight="1">
      <c r="A548" s="49"/>
      <c r="C548" s="84"/>
      <c r="E548" s="49"/>
      <c r="G548" s="50"/>
      <c r="H548" s="51"/>
      <c r="I548" s="85"/>
      <c r="J548" s="85"/>
      <c r="K548" s="85"/>
      <c r="L548" s="52"/>
      <c r="M548" s="52"/>
      <c r="N548" s="52"/>
    </row>
    <row r="549" ht="15.75" customHeight="1">
      <c r="A549" s="49"/>
      <c r="C549" s="84"/>
      <c r="E549" s="49"/>
      <c r="G549" s="50"/>
      <c r="H549" s="51"/>
      <c r="I549" s="85"/>
      <c r="J549" s="85"/>
      <c r="K549" s="85"/>
      <c r="L549" s="52"/>
      <c r="M549" s="52"/>
      <c r="N549" s="52"/>
    </row>
    <row r="550" ht="15.75" customHeight="1">
      <c r="A550" s="49"/>
      <c r="C550" s="84"/>
      <c r="E550" s="49"/>
      <c r="G550" s="50"/>
      <c r="H550" s="51"/>
      <c r="I550" s="85"/>
      <c r="J550" s="85"/>
      <c r="K550" s="85"/>
      <c r="L550" s="52"/>
      <c r="M550" s="52"/>
      <c r="N550" s="52"/>
    </row>
    <row r="551" ht="15.75" customHeight="1">
      <c r="A551" s="49"/>
      <c r="C551" s="84"/>
      <c r="E551" s="49"/>
      <c r="G551" s="50"/>
      <c r="H551" s="51"/>
      <c r="I551" s="85"/>
      <c r="J551" s="85"/>
      <c r="K551" s="85"/>
      <c r="L551" s="52"/>
      <c r="M551" s="52"/>
      <c r="N551" s="52"/>
    </row>
    <row r="552" ht="15.75" customHeight="1">
      <c r="A552" s="49"/>
      <c r="C552" s="84"/>
      <c r="E552" s="49"/>
      <c r="G552" s="50"/>
      <c r="H552" s="51"/>
      <c r="I552" s="85"/>
      <c r="J552" s="85"/>
      <c r="K552" s="85"/>
      <c r="L552" s="52"/>
      <c r="M552" s="52"/>
      <c r="N552" s="52"/>
    </row>
    <row r="553" ht="15.75" customHeight="1">
      <c r="A553" s="49"/>
      <c r="C553" s="84"/>
      <c r="E553" s="49"/>
      <c r="G553" s="50"/>
      <c r="H553" s="51"/>
      <c r="I553" s="85"/>
      <c r="J553" s="85"/>
      <c r="K553" s="85"/>
      <c r="L553" s="52"/>
      <c r="M553" s="52"/>
      <c r="N553" s="52"/>
    </row>
    <row r="554" ht="15.75" customHeight="1">
      <c r="A554" s="49"/>
      <c r="C554" s="84"/>
      <c r="E554" s="49"/>
      <c r="G554" s="50"/>
      <c r="H554" s="51"/>
      <c r="I554" s="85"/>
      <c r="J554" s="85"/>
      <c r="K554" s="85"/>
      <c r="L554" s="52"/>
      <c r="M554" s="52"/>
      <c r="N554" s="52"/>
    </row>
    <row r="555" ht="15.75" customHeight="1">
      <c r="A555" s="49"/>
      <c r="C555" s="84"/>
      <c r="E555" s="49"/>
      <c r="G555" s="50"/>
      <c r="H555" s="51"/>
      <c r="I555" s="85"/>
      <c r="J555" s="85"/>
      <c r="K555" s="85"/>
      <c r="L555" s="52"/>
      <c r="M555" s="52"/>
      <c r="N555" s="52"/>
    </row>
    <row r="556" ht="15.75" customHeight="1">
      <c r="A556" s="49"/>
      <c r="C556" s="84"/>
      <c r="E556" s="49"/>
      <c r="G556" s="50"/>
      <c r="H556" s="51"/>
      <c r="I556" s="85"/>
      <c r="J556" s="85"/>
      <c r="K556" s="85"/>
      <c r="L556" s="52"/>
      <c r="M556" s="52"/>
      <c r="N556" s="52"/>
    </row>
    <row r="557" ht="15.75" customHeight="1">
      <c r="A557" s="49"/>
      <c r="C557" s="84"/>
      <c r="E557" s="49"/>
      <c r="G557" s="50"/>
      <c r="H557" s="51"/>
      <c r="I557" s="85"/>
      <c r="J557" s="85"/>
      <c r="K557" s="85"/>
      <c r="L557" s="52"/>
      <c r="M557" s="52"/>
      <c r="N557" s="52"/>
    </row>
    <row r="558" ht="15.75" customHeight="1">
      <c r="A558" s="49"/>
      <c r="C558" s="84"/>
      <c r="E558" s="49"/>
      <c r="G558" s="50"/>
      <c r="H558" s="51"/>
      <c r="I558" s="85"/>
      <c r="J558" s="85"/>
      <c r="K558" s="85"/>
      <c r="L558" s="52"/>
      <c r="M558" s="52"/>
      <c r="N558" s="52"/>
    </row>
    <row r="559" ht="15.75" customHeight="1">
      <c r="A559" s="49"/>
      <c r="C559" s="84"/>
      <c r="E559" s="49"/>
      <c r="G559" s="50"/>
      <c r="H559" s="51"/>
      <c r="I559" s="85"/>
      <c r="J559" s="85"/>
      <c r="K559" s="85"/>
      <c r="L559" s="52"/>
      <c r="M559" s="52"/>
      <c r="N559" s="52"/>
    </row>
    <row r="560" ht="15.75" customHeight="1">
      <c r="A560" s="49"/>
      <c r="C560" s="84"/>
      <c r="E560" s="49"/>
      <c r="G560" s="50"/>
      <c r="H560" s="51"/>
      <c r="I560" s="85"/>
      <c r="J560" s="85"/>
      <c r="K560" s="85"/>
      <c r="L560" s="52"/>
      <c r="M560" s="52"/>
      <c r="N560" s="52"/>
    </row>
    <row r="561" ht="15.75" customHeight="1">
      <c r="A561" s="49"/>
      <c r="C561" s="84"/>
      <c r="E561" s="49"/>
      <c r="G561" s="50"/>
      <c r="H561" s="51"/>
      <c r="I561" s="85"/>
      <c r="J561" s="85"/>
      <c r="K561" s="85"/>
      <c r="L561" s="52"/>
      <c r="M561" s="52"/>
      <c r="N561" s="52"/>
    </row>
    <row r="562" ht="15.75" customHeight="1">
      <c r="A562" s="49"/>
      <c r="C562" s="84"/>
      <c r="E562" s="49"/>
      <c r="G562" s="50"/>
      <c r="H562" s="51"/>
      <c r="I562" s="85"/>
      <c r="J562" s="85"/>
      <c r="K562" s="85"/>
      <c r="L562" s="52"/>
      <c r="M562" s="52"/>
      <c r="N562" s="52"/>
    </row>
    <row r="563" ht="15.75" customHeight="1">
      <c r="A563" s="49"/>
      <c r="C563" s="84"/>
      <c r="E563" s="49"/>
      <c r="G563" s="50"/>
      <c r="H563" s="51"/>
      <c r="I563" s="85"/>
      <c r="J563" s="85"/>
      <c r="K563" s="85"/>
      <c r="L563" s="52"/>
      <c r="M563" s="52"/>
      <c r="N563" s="52"/>
    </row>
    <row r="564" ht="15.75" customHeight="1">
      <c r="A564" s="49"/>
      <c r="C564" s="84"/>
      <c r="E564" s="49"/>
      <c r="G564" s="50"/>
      <c r="H564" s="51"/>
      <c r="I564" s="85"/>
      <c r="J564" s="85"/>
      <c r="K564" s="85"/>
      <c r="L564" s="52"/>
      <c r="M564" s="52"/>
      <c r="N564" s="52"/>
    </row>
    <row r="565" ht="15.75" customHeight="1">
      <c r="A565" s="49"/>
      <c r="C565" s="84"/>
      <c r="E565" s="49"/>
      <c r="G565" s="50"/>
      <c r="H565" s="51"/>
      <c r="I565" s="85"/>
      <c r="J565" s="85"/>
      <c r="K565" s="85"/>
      <c r="L565" s="52"/>
      <c r="M565" s="52"/>
      <c r="N565" s="52"/>
    </row>
    <row r="566" ht="15.75" customHeight="1">
      <c r="A566" s="49"/>
      <c r="C566" s="84"/>
      <c r="E566" s="49"/>
      <c r="G566" s="50"/>
      <c r="H566" s="51"/>
      <c r="I566" s="85"/>
      <c r="J566" s="85"/>
      <c r="K566" s="85"/>
      <c r="L566" s="52"/>
      <c r="M566" s="52"/>
      <c r="N566" s="52"/>
    </row>
    <row r="567" ht="15.75" customHeight="1">
      <c r="A567" s="49"/>
      <c r="C567" s="84"/>
      <c r="E567" s="49"/>
      <c r="G567" s="50"/>
      <c r="H567" s="51"/>
      <c r="I567" s="85"/>
      <c r="J567" s="85"/>
      <c r="K567" s="85"/>
      <c r="L567" s="52"/>
      <c r="M567" s="52"/>
      <c r="N567" s="52"/>
    </row>
    <row r="568" ht="15.75" customHeight="1">
      <c r="A568" s="49"/>
      <c r="C568" s="84"/>
      <c r="E568" s="49"/>
      <c r="G568" s="50"/>
      <c r="H568" s="51"/>
      <c r="I568" s="85"/>
      <c r="J568" s="85"/>
      <c r="K568" s="85"/>
      <c r="L568" s="52"/>
      <c r="M568" s="52"/>
      <c r="N568" s="52"/>
    </row>
    <row r="569" ht="15.75" customHeight="1">
      <c r="A569" s="49"/>
      <c r="C569" s="84"/>
      <c r="E569" s="49"/>
      <c r="G569" s="50"/>
      <c r="H569" s="51"/>
      <c r="I569" s="85"/>
      <c r="J569" s="85"/>
      <c r="K569" s="85"/>
      <c r="L569" s="52"/>
      <c r="M569" s="52"/>
      <c r="N569" s="52"/>
    </row>
    <row r="570" ht="15.75" customHeight="1">
      <c r="A570" s="49"/>
      <c r="C570" s="84"/>
      <c r="E570" s="49"/>
      <c r="G570" s="50"/>
      <c r="H570" s="51"/>
      <c r="I570" s="85"/>
      <c r="J570" s="85"/>
      <c r="K570" s="85"/>
      <c r="L570" s="52"/>
      <c r="M570" s="52"/>
      <c r="N570" s="52"/>
    </row>
    <row r="571" ht="15.75" customHeight="1">
      <c r="A571" s="49"/>
      <c r="C571" s="84"/>
      <c r="E571" s="49"/>
      <c r="G571" s="50"/>
      <c r="H571" s="51"/>
      <c r="I571" s="85"/>
      <c r="J571" s="85"/>
      <c r="K571" s="85"/>
      <c r="L571" s="52"/>
      <c r="M571" s="52"/>
      <c r="N571" s="52"/>
    </row>
    <row r="572" ht="15.75" customHeight="1">
      <c r="A572" s="49"/>
      <c r="C572" s="84"/>
      <c r="E572" s="49"/>
      <c r="G572" s="50"/>
      <c r="H572" s="51"/>
      <c r="I572" s="85"/>
      <c r="J572" s="85"/>
      <c r="K572" s="85"/>
      <c r="L572" s="52"/>
      <c r="M572" s="52"/>
      <c r="N572" s="52"/>
    </row>
    <row r="573" ht="15.75" customHeight="1">
      <c r="A573" s="49"/>
      <c r="C573" s="84"/>
      <c r="E573" s="49"/>
      <c r="G573" s="50"/>
      <c r="H573" s="51"/>
      <c r="I573" s="85"/>
      <c r="J573" s="85"/>
      <c r="K573" s="85"/>
      <c r="L573" s="52"/>
      <c r="M573" s="52"/>
      <c r="N573" s="52"/>
    </row>
    <row r="574" ht="15.75" customHeight="1">
      <c r="A574" s="49"/>
      <c r="C574" s="84"/>
      <c r="E574" s="49"/>
      <c r="G574" s="50"/>
      <c r="H574" s="51"/>
      <c r="I574" s="85"/>
      <c r="J574" s="85"/>
      <c r="K574" s="85"/>
      <c r="L574" s="52"/>
      <c r="M574" s="52"/>
      <c r="N574" s="52"/>
    </row>
    <row r="575" ht="15.75" customHeight="1">
      <c r="A575" s="49"/>
      <c r="C575" s="84"/>
      <c r="E575" s="49"/>
      <c r="G575" s="50"/>
      <c r="H575" s="51"/>
      <c r="I575" s="85"/>
      <c r="J575" s="85"/>
      <c r="K575" s="85"/>
      <c r="L575" s="52"/>
      <c r="M575" s="52"/>
      <c r="N575" s="52"/>
    </row>
    <row r="576" ht="15.75" customHeight="1">
      <c r="A576" s="49"/>
      <c r="C576" s="84"/>
      <c r="E576" s="49"/>
      <c r="G576" s="50"/>
      <c r="H576" s="51"/>
      <c r="I576" s="85"/>
      <c r="J576" s="85"/>
      <c r="K576" s="85"/>
      <c r="L576" s="52"/>
      <c r="M576" s="52"/>
      <c r="N576" s="52"/>
    </row>
    <row r="577" ht="15.75" customHeight="1">
      <c r="A577" s="49"/>
      <c r="C577" s="84"/>
      <c r="E577" s="49"/>
      <c r="G577" s="50"/>
      <c r="H577" s="51"/>
      <c r="I577" s="85"/>
      <c r="J577" s="85"/>
      <c r="K577" s="85"/>
      <c r="L577" s="52"/>
      <c r="M577" s="52"/>
      <c r="N577" s="52"/>
    </row>
    <row r="578" ht="15.75" customHeight="1">
      <c r="A578" s="49"/>
      <c r="C578" s="84"/>
      <c r="E578" s="49"/>
      <c r="G578" s="50"/>
      <c r="H578" s="51"/>
      <c r="I578" s="85"/>
      <c r="J578" s="85"/>
      <c r="K578" s="85"/>
      <c r="L578" s="52"/>
      <c r="M578" s="52"/>
      <c r="N578" s="52"/>
    </row>
    <row r="579" ht="15.75" customHeight="1">
      <c r="A579" s="49"/>
      <c r="C579" s="84"/>
      <c r="E579" s="49"/>
      <c r="G579" s="50"/>
      <c r="H579" s="51"/>
      <c r="I579" s="85"/>
      <c r="J579" s="85"/>
      <c r="K579" s="85"/>
      <c r="L579" s="52"/>
      <c r="M579" s="52"/>
      <c r="N579" s="52"/>
    </row>
    <row r="580" ht="15.75" customHeight="1">
      <c r="A580" s="49"/>
      <c r="C580" s="84"/>
      <c r="E580" s="49"/>
      <c r="G580" s="50"/>
      <c r="H580" s="51"/>
      <c r="I580" s="85"/>
      <c r="J580" s="85"/>
      <c r="K580" s="85"/>
      <c r="L580" s="52"/>
      <c r="M580" s="52"/>
      <c r="N580" s="52"/>
    </row>
    <row r="581" ht="15.75" customHeight="1">
      <c r="A581" s="49"/>
      <c r="C581" s="84"/>
      <c r="E581" s="49"/>
      <c r="G581" s="50"/>
      <c r="H581" s="51"/>
      <c r="I581" s="85"/>
      <c r="J581" s="85"/>
      <c r="K581" s="85"/>
      <c r="L581" s="52"/>
      <c r="M581" s="52"/>
      <c r="N581" s="52"/>
    </row>
    <row r="582" ht="15.75" customHeight="1">
      <c r="A582" s="49"/>
      <c r="C582" s="84"/>
      <c r="E582" s="49"/>
      <c r="G582" s="50"/>
      <c r="H582" s="51"/>
      <c r="I582" s="85"/>
      <c r="J582" s="85"/>
      <c r="K582" s="85"/>
      <c r="L582" s="52"/>
      <c r="M582" s="52"/>
      <c r="N582" s="52"/>
    </row>
    <row r="583" ht="15.75" customHeight="1">
      <c r="A583" s="49"/>
      <c r="C583" s="84"/>
      <c r="E583" s="49"/>
      <c r="G583" s="50"/>
      <c r="H583" s="51"/>
      <c r="I583" s="85"/>
      <c r="J583" s="85"/>
      <c r="K583" s="85"/>
      <c r="L583" s="52"/>
      <c r="M583" s="52"/>
      <c r="N583" s="52"/>
    </row>
    <row r="584" ht="15.75" customHeight="1">
      <c r="A584" s="49"/>
      <c r="C584" s="84"/>
      <c r="E584" s="49"/>
      <c r="G584" s="50"/>
      <c r="H584" s="51"/>
      <c r="I584" s="85"/>
      <c r="J584" s="85"/>
      <c r="K584" s="85"/>
      <c r="L584" s="52"/>
      <c r="M584" s="52"/>
      <c r="N584" s="52"/>
    </row>
    <row r="585" ht="15.75" customHeight="1">
      <c r="A585" s="49"/>
      <c r="C585" s="84"/>
      <c r="E585" s="49"/>
      <c r="G585" s="50"/>
      <c r="H585" s="51"/>
      <c r="I585" s="85"/>
      <c r="J585" s="85"/>
      <c r="K585" s="85"/>
      <c r="L585" s="52"/>
      <c r="M585" s="52"/>
      <c r="N585" s="52"/>
    </row>
    <row r="586" ht="15.75" customHeight="1">
      <c r="A586" s="49"/>
      <c r="C586" s="84"/>
      <c r="E586" s="49"/>
      <c r="G586" s="50"/>
      <c r="H586" s="51"/>
      <c r="I586" s="85"/>
      <c r="J586" s="85"/>
      <c r="K586" s="85"/>
      <c r="L586" s="52"/>
      <c r="M586" s="52"/>
      <c r="N586" s="52"/>
    </row>
    <row r="587" ht="15.75" customHeight="1">
      <c r="A587" s="49"/>
      <c r="C587" s="84"/>
      <c r="E587" s="49"/>
      <c r="G587" s="50"/>
      <c r="H587" s="51"/>
      <c r="I587" s="85"/>
      <c r="J587" s="85"/>
      <c r="K587" s="85"/>
      <c r="L587" s="52"/>
      <c r="M587" s="52"/>
      <c r="N587" s="52"/>
    </row>
    <row r="588" ht="15.75" customHeight="1">
      <c r="A588" s="49"/>
      <c r="C588" s="84"/>
      <c r="E588" s="49"/>
      <c r="G588" s="50"/>
      <c r="H588" s="51"/>
      <c r="I588" s="85"/>
      <c r="J588" s="85"/>
      <c r="K588" s="85"/>
      <c r="L588" s="52"/>
      <c r="M588" s="52"/>
      <c r="N588" s="52"/>
    </row>
    <row r="589" ht="15.75" customHeight="1">
      <c r="A589" s="49"/>
      <c r="C589" s="84"/>
      <c r="E589" s="49"/>
      <c r="G589" s="50"/>
      <c r="H589" s="51"/>
      <c r="I589" s="85"/>
      <c r="J589" s="85"/>
      <c r="K589" s="85"/>
      <c r="L589" s="52"/>
      <c r="M589" s="52"/>
      <c r="N589" s="52"/>
    </row>
    <row r="590" ht="15.75" customHeight="1">
      <c r="A590" s="49"/>
      <c r="C590" s="84"/>
      <c r="E590" s="49"/>
      <c r="G590" s="50"/>
      <c r="H590" s="51"/>
      <c r="I590" s="85"/>
      <c r="J590" s="85"/>
      <c r="K590" s="85"/>
      <c r="L590" s="52"/>
      <c r="M590" s="52"/>
      <c r="N590" s="52"/>
    </row>
    <row r="591" ht="15.75" customHeight="1">
      <c r="A591" s="49"/>
      <c r="C591" s="84"/>
      <c r="E591" s="49"/>
      <c r="G591" s="50"/>
      <c r="H591" s="51"/>
      <c r="I591" s="85"/>
      <c r="J591" s="85"/>
      <c r="K591" s="85"/>
      <c r="L591" s="52"/>
      <c r="M591" s="52"/>
      <c r="N591" s="52"/>
    </row>
    <row r="592" ht="15.75" customHeight="1">
      <c r="A592" s="49"/>
      <c r="C592" s="84"/>
      <c r="E592" s="49"/>
      <c r="G592" s="50"/>
      <c r="H592" s="51"/>
      <c r="I592" s="85"/>
      <c r="J592" s="85"/>
      <c r="K592" s="85"/>
      <c r="L592" s="52"/>
      <c r="M592" s="52"/>
      <c r="N592" s="52"/>
    </row>
    <row r="593" ht="15.75" customHeight="1">
      <c r="A593" s="49"/>
      <c r="C593" s="84"/>
      <c r="E593" s="49"/>
      <c r="G593" s="50"/>
      <c r="H593" s="51"/>
      <c r="I593" s="85"/>
      <c r="J593" s="85"/>
      <c r="K593" s="85"/>
      <c r="L593" s="52"/>
      <c r="M593" s="52"/>
      <c r="N593" s="52"/>
    </row>
    <row r="594" ht="15.75" customHeight="1">
      <c r="A594" s="49"/>
      <c r="C594" s="84"/>
      <c r="E594" s="49"/>
      <c r="G594" s="50"/>
      <c r="H594" s="51"/>
      <c r="I594" s="85"/>
      <c r="J594" s="85"/>
      <c r="K594" s="85"/>
      <c r="L594" s="52"/>
      <c r="M594" s="52"/>
      <c r="N594" s="52"/>
    </row>
    <row r="595" ht="15.75" customHeight="1">
      <c r="A595" s="49"/>
      <c r="C595" s="84"/>
      <c r="E595" s="49"/>
      <c r="G595" s="50"/>
      <c r="H595" s="51"/>
      <c r="I595" s="85"/>
      <c r="J595" s="85"/>
      <c r="K595" s="85"/>
      <c r="L595" s="52"/>
      <c r="M595" s="52"/>
      <c r="N595" s="52"/>
    </row>
    <row r="596" ht="15.75" customHeight="1">
      <c r="A596" s="49"/>
      <c r="C596" s="84"/>
      <c r="E596" s="49"/>
      <c r="G596" s="50"/>
      <c r="H596" s="51"/>
      <c r="I596" s="85"/>
      <c r="J596" s="85"/>
      <c r="K596" s="85"/>
      <c r="L596" s="52"/>
      <c r="M596" s="52"/>
      <c r="N596" s="52"/>
    </row>
    <row r="597" ht="15.75" customHeight="1">
      <c r="A597" s="49"/>
      <c r="C597" s="84"/>
      <c r="E597" s="49"/>
      <c r="G597" s="50"/>
      <c r="H597" s="51"/>
      <c r="I597" s="85"/>
      <c r="J597" s="85"/>
      <c r="K597" s="85"/>
      <c r="L597" s="52"/>
      <c r="M597" s="52"/>
      <c r="N597" s="52"/>
    </row>
    <row r="598" ht="15.75" customHeight="1">
      <c r="A598" s="49"/>
      <c r="C598" s="84"/>
      <c r="E598" s="49"/>
      <c r="G598" s="50"/>
      <c r="H598" s="51"/>
      <c r="I598" s="85"/>
      <c r="J598" s="85"/>
      <c r="K598" s="85"/>
      <c r="L598" s="52"/>
      <c r="M598" s="52"/>
      <c r="N598" s="52"/>
    </row>
    <row r="599" ht="15.75" customHeight="1">
      <c r="A599" s="49"/>
      <c r="C599" s="84"/>
      <c r="E599" s="49"/>
      <c r="G599" s="50"/>
      <c r="H599" s="51"/>
      <c r="I599" s="85"/>
      <c r="J599" s="85"/>
      <c r="K599" s="85"/>
      <c r="L599" s="52"/>
      <c r="M599" s="52"/>
      <c r="N599" s="52"/>
    </row>
    <row r="600" ht="15.75" customHeight="1">
      <c r="A600" s="49"/>
      <c r="C600" s="84"/>
      <c r="E600" s="49"/>
      <c r="G600" s="50"/>
      <c r="H600" s="51"/>
      <c r="I600" s="85"/>
      <c r="J600" s="85"/>
      <c r="K600" s="85"/>
      <c r="L600" s="52"/>
      <c r="M600" s="52"/>
      <c r="N600" s="52"/>
    </row>
    <row r="601" ht="15.75" customHeight="1">
      <c r="A601" s="49"/>
      <c r="C601" s="84"/>
      <c r="E601" s="49"/>
      <c r="G601" s="50"/>
      <c r="H601" s="51"/>
      <c r="I601" s="85"/>
      <c r="J601" s="85"/>
      <c r="K601" s="85"/>
      <c r="L601" s="52"/>
      <c r="M601" s="52"/>
      <c r="N601" s="52"/>
    </row>
    <row r="602" ht="15.75" customHeight="1">
      <c r="A602" s="49"/>
      <c r="C602" s="84"/>
      <c r="E602" s="49"/>
      <c r="G602" s="50"/>
      <c r="H602" s="51"/>
      <c r="I602" s="85"/>
      <c r="J602" s="85"/>
      <c r="K602" s="85"/>
      <c r="L602" s="52"/>
      <c r="M602" s="52"/>
      <c r="N602" s="52"/>
    </row>
    <row r="603" ht="15.75" customHeight="1">
      <c r="A603" s="49"/>
      <c r="C603" s="84"/>
      <c r="E603" s="49"/>
      <c r="G603" s="50"/>
      <c r="H603" s="51"/>
      <c r="I603" s="85"/>
      <c r="J603" s="85"/>
      <c r="K603" s="85"/>
      <c r="L603" s="52"/>
      <c r="M603" s="52"/>
      <c r="N603" s="52"/>
    </row>
    <row r="604" ht="15.75" customHeight="1">
      <c r="A604" s="49"/>
      <c r="C604" s="84"/>
      <c r="E604" s="49"/>
      <c r="G604" s="50"/>
      <c r="H604" s="51"/>
      <c r="I604" s="85"/>
      <c r="J604" s="85"/>
      <c r="K604" s="85"/>
      <c r="L604" s="52"/>
      <c r="M604" s="52"/>
      <c r="N604" s="52"/>
    </row>
    <row r="605" ht="15.75" customHeight="1">
      <c r="A605" s="49"/>
      <c r="C605" s="84"/>
      <c r="E605" s="49"/>
      <c r="G605" s="50"/>
      <c r="H605" s="51"/>
      <c r="I605" s="85"/>
      <c r="J605" s="85"/>
      <c r="K605" s="85"/>
      <c r="L605" s="52"/>
      <c r="M605" s="52"/>
      <c r="N605" s="52"/>
    </row>
    <row r="606" ht="15.75" customHeight="1">
      <c r="A606" s="49"/>
      <c r="C606" s="84"/>
      <c r="E606" s="49"/>
      <c r="G606" s="50"/>
      <c r="H606" s="51"/>
      <c r="I606" s="85"/>
      <c r="J606" s="85"/>
      <c r="K606" s="85"/>
      <c r="L606" s="52"/>
      <c r="M606" s="52"/>
      <c r="N606" s="52"/>
    </row>
    <row r="607" ht="15.75" customHeight="1">
      <c r="A607" s="49"/>
      <c r="C607" s="84"/>
      <c r="E607" s="49"/>
      <c r="G607" s="50"/>
      <c r="H607" s="51"/>
      <c r="I607" s="85"/>
      <c r="J607" s="85"/>
      <c r="K607" s="85"/>
      <c r="L607" s="52"/>
      <c r="M607" s="52"/>
      <c r="N607" s="52"/>
    </row>
    <row r="608" ht="15.75" customHeight="1">
      <c r="A608" s="49"/>
      <c r="C608" s="84"/>
      <c r="E608" s="49"/>
      <c r="G608" s="50"/>
      <c r="H608" s="51"/>
      <c r="I608" s="85"/>
      <c r="J608" s="85"/>
      <c r="K608" s="85"/>
      <c r="L608" s="52"/>
      <c r="M608" s="52"/>
      <c r="N608" s="52"/>
    </row>
    <row r="609" ht="15.75" customHeight="1">
      <c r="A609" s="49"/>
      <c r="C609" s="84"/>
      <c r="E609" s="49"/>
      <c r="G609" s="50"/>
      <c r="H609" s="51"/>
      <c r="I609" s="85"/>
      <c r="J609" s="85"/>
      <c r="K609" s="85"/>
      <c r="L609" s="52"/>
      <c r="M609" s="52"/>
      <c r="N609" s="52"/>
    </row>
    <row r="610" ht="15.75" customHeight="1">
      <c r="A610" s="49"/>
      <c r="C610" s="84"/>
      <c r="E610" s="49"/>
      <c r="G610" s="50"/>
      <c r="H610" s="51"/>
      <c r="I610" s="85"/>
      <c r="J610" s="85"/>
      <c r="K610" s="85"/>
      <c r="L610" s="52"/>
      <c r="M610" s="52"/>
      <c r="N610" s="52"/>
    </row>
    <row r="611" ht="15.75" customHeight="1">
      <c r="A611" s="49"/>
      <c r="C611" s="84"/>
      <c r="E611" s="49"/>
      <c r="G611" s="50"/>
      <c r="H611" s="51"/>
      <c r="I611" s="85"/>
      <c r="J611" s="85"/>
      <c r="K611" s="85"/>
      <c r="L611" s="52"/>
      <c r="M611" s="52"/>
      <c r="N611" s="52"/>
    </row>
    <row r="612" ht="15.75" customHeight="1">
      <c r="A612" s="49"/>
      <c r="C612" s="84"/>
      <c r="E612" s="49"/>
      <c r="G612" s="50"/>
      <c r="H612" s="51"/>
      <c r="I612" s="85"/>
      <c r="J612" s="85"/>
      <c r="K612" s="85"/>
      <c r="L612" s="52"/>
      <c r="M612" s="52"/>
      <c r="N612" s="52"/>
    </row>
    <row r="613" ht="15.75" customHeight="1">
      <c r="A613" s="49"/>
      <c r="C613" s="84"/>
      <c r="E613" s="49"/>
      <c r="G613" s="50"/>
      <c r="H613" s="51"/>
      <c r="I613" s="85"/>
      <c r="J613" s="85"/>
      <c r="K613" s="85"/>
      <c r="L613" s="52"/>
      <c r="M613" s="52"/>
      <c r="N613" s="52"/>
    </row>
    <row r="614" ht="15.75" customHeight="1">
      <c r="A614" s="49"/>
      <c r="C614" s="84"/>
      <c r="E614" s="49"/>
      <c r="G614" s="50"/>
      <c r="H614" s="51"/>
      <c r="I614" s="85"/>
      <c r="J614" s="85"/>
      <c r="K614" s="85"/>
      <c r="L614" s="52"/>
      <c r="M614" s="52"/>
      <c r="N614" s="52"/>
    </row>
    <row r="615" ht="15.75" customHeight="1">
      <c r="A615" s="49"/>
      <c r="C615" s="84"/>
      <c r="E615" s="49"/>
      <c r="G615" s="50"/>
      <c r="H615" s="51"/>
      <c r="I615" s="85"/>
      <c r="J615" s="85"/>
      <c r="K615" s="85"/>
      <c r="L615" s="52"/>
      <c r="M615" s="52"/>
      <c r="N615" s="52"/>
    </row>
    <row r="616" ht="15.75" customHeight="1">
      <c r="A616" s="49"/>
      <c r="C616" s="84"/>
      <c r="E616" s="49"/>
      <c r="G616" s="50"/>
      <c r="H616" s="51"/>
      <c r="I616" s="85"/>
      <c r="J616" s="85"/>
      <c r="K616" s="85"/>
      <c r="L616" s="52"/>
      <c r="M616" s="52"/>
      <c r="N616" s="52"/>
    </row>
    <row r="617" ht="15.75" customHeight="1">
      <c r="A617" s="49"/>
      <c r="C617" s="84"/>
      <c r="E617" s="49"/>
      <c r="G617" s="50"/>
      <c r="H617" s="51"/>
      <c r="I617" s="85"/>
      <c r="J617" s="85"/>
      <c r="K617" s="85"/>
      <c r="L617" s="52"/>
      <c r="M617" s="52"/>
      <c r="N617" s="52"/>
    </row>
    <row r="618" ht="15.75" customHeight="1">
      <c r="A618" s="49"/>
      <c r="C618" s="84"/>
      <c r="E618" s="49"/>
      <c r="G618" s="50"/>
      <c r="H618" s="51"/>
      <c r="I618" s="85"/>
      <c r="J618" s="85"/>
      <c r="K618" s="85"/>
      <c r="L618" s="52"/>
      <c r="M618" s="52"/>
      <c r="N618" s="52"/>
    </row>
    <row r="619" ht="15.75" customHeight="1">
      <c r="A619" s="49"/>
      <c r="C619" s="84"/>
      <c r="E619" s="49"/>
      <c r="G619" s="50"/>
      <c r="H619" s="51"/>
      <c r="I619" s="85"/>
      <c r="J619" s="85"/>
      <c r="K619" s="85"/>
      <c r="L619" s="52"/>
      <c r="M619" s="52"/>
      <c r="N619" s="52"/>
    </row>
    <row r="620" ht="15.75" customHeight="1">
      <c r="A620" s="49"/>
      <c r="C620" s="84"/>
      <c r="E620" s="49"/>
      <c r="G620" s="50"/>
      <c r="H620" s="51"/>
      <c r="I620" s="85"/>
      <c r="J620" s="85"/>
      <c r="K620" s="85"/>
      <c r="L620" s="52"/>
      <c r="M620" s="52"/>
      <c r="N620" s="52"/>
    </row>
    <row r="621" ht="15.75" customHeight="1">
      <c r="A621" s="49"/>
      <c r="C621" s="84"/>
      <c r="E621" s="49"/>
      <c r="G621" s="50"/>
      <c r="H621" s="51"/>
      <c r="I621" s="85"/>
      <c r="J621" s="85"/>
      <c r="K621" s="85"/>
      <c r="L621" s="52"/>
      <c r="M621" s="52"/>
      <c r="N621" s="52"/>
    </row>
    <row r="622" ht="15.75" customHeight="1">
      <c r="A622" s="49"/>
      <c r="C622" s="84"/>
      <c r="E622" s="49"/>
      <c r="G622" s="50"/>
      <c r="H622" s="51"/>
      <c r="I622" s="85"/>
      <c r="J622" s="85"/>
      <c r="K622" s="85"/>
      <c r="L622" s="52"/>
      <c r="M622" s="52"/>
      <c r="N622" s="52"/>
    </row>
    <row r="623" ht="15.75" customHeight="1">
      <c r="A623" s="49"/>
      <c r="C623" s="84"/>
      <c r="E623" s="49"/>
      <c r="G623" s="50"/>
      <c r="H623" s="51"/>
      <c r="I623" s="85"/>
      <c r="J623" s="85"/>
      <c r="K623" s="85"/>
      <c r="L623" s="52"/>
      <c r="M623" s="52"/>
      <c r="N623" s="52"/>
    </row>
    <row r="624" ht="15.75" customHeight="1">
      <c r="A624" s="49"/>
      <c r="C624" s="84"/>
      <c r="E624" s="49"/>
      <c r="G624" s="50"/>
      <c r="H624" s="51"/>
      <c r="I624" s="85"/>
      <c r="J624" s="85"/>
      <c r="K624" s="85"/>
      <c r="L624" s="52"/>
      <c r="M624" s="52"/>
      <c r="N624" s="52"/>
    </row>
    <row r="625" ht="15.75" customHeight="1">
      <c r="A625" s="49"/>
      <c r="C625" s="84"/>
      <c r="E625" s="49"/>
      <c r="G625" s="50"/>
      <c r="H625" s="51"/>
      <c r="I625" s="85"/>
      <c r="J625" s="85"/>
      <c r="K625" s="85"/>
      <c r="L625" s="52"/>
      <c r="M625" s="52"/>
      <c r="N625" s="52"/>
    </row>
    <row r="626" ht="15.75" customHeight="1">
      <c r="A626" s="49"/>
      <c r="C626" s="84"/>
      <c r="E626" s="49"/>
      <c r="G626" s="50"/>
      <c r="H626" s="51"/>
      <c r="I626" s="85"/>
      <c r="J626" s="85"/>
      <c r="K626" s="85"/>
      <c r="L626" s="52"/>
      <c r="M626" s="52"/>
      <c r="N626" s="52"/>
    </row>
    <row r="627" ht="15.75" customHeight="1">
      <c r="A627" s="49"/>
      <c r="C627" s="84"/>
      <c r="E627" s="49"/>
      <c r="G627" s="50"/>
      <c r="H627" s="51"/>
      <c r="I627" s="85"/>
      <c r="J627" s="85"/>
      <c r="K627" s="85"/>
      <c r="L627" s="52"/>
      <c r="M627" s="52"/>
      <c r="N627" s="52"/>
    </row>
    <row r="628" ht="15.75" customHeight="1">
      <c r="A628" s="49"/>
      <c r="C628" s="84"/>
      <c r="E628" s="49"/>
      <c r="G628" s="50"/>
      <c r="H628" s="51"/>
      <c r="I628" s="85"/>
      <c r="J628" s="85"/>
      <c r="K628" s="85"/>
      <c r="L628" s="52"/>
      <c r="M628" s="52"/>
      <c r="N628" s="52"/>
    </row>
    <row r="629" ht="15.75" customHeight="1">
      <c r="A629" s="49"/>
      <c r="C629" s="84"/>
      <c r="E629" s="49"/>
      <c r="G629" s="50"/>
      <c r="H629" s="51"/>
      <c r="I629" s="85"/>
      <c r="J629" s="85"/>
      <c r="K629" s="85"/>
      <c r="L629" s="52"/>
      <c r="M629" s="52"/>
      <c r="N629" s="52"/>
    </row>
    <row r="630" ht="15.75" customHeight="1">
      <c r="A630" s="49"/>
      <c r="C630" s="84"/>
      <c r="E630" s="49"/>
      <c r="G630" s="50"/>
      <c r="H630" s="51"/>
      <c r="I630" s="85"/>
      <c r="J630" s="85"/>
      <c r="K630" s="85"/>
      <c r="L630" s="52"/>
      <c r="M630" s="52"/>
      <c r="N630" s="52"/>
    </row>
    <row r="631" ht="15.75" customHeight="1">
      <c r="A631" s="49"/>
      <c r="C631" s="84"/>
      <c r="E631" s="49"/>
      <c r="G631" s="50"/>
      <c r="H631" s="51"/>
      <c r="I631" s="85"/>
      <c r="J631" s="85"/>
      <c r="K631" s="85"/>
      <c r="L631" s="52"/>
      <c r="M631" s="52"/>
      <c r="N631" s="52"/>
    </row>
    <row r="632" ht="15.75" customHeight="1">
      <c r="A632" s="49"/>
      <c r="C632" s="84"/>
      <c r="E632" s="49"/>
      <c r="G632" s="50"/>
      <c r="H632" s="51"/>
      <c r="I632" s="85"/>
      <c r="J632" s="85"/>
      <c r="K632" s="85"/>
      <c r="L632" s="52"/>
      <c r="M632" s="52"/>
      <c r="N632" s="52"/>
    </row>
    <row r="633" ht="15.75" customHeight="1">
      <c r="A633" s="49"/>
      <c r="C633" s="84"/>
      <c r="E633" s="49"/>
      <c r="G633" s="50"/>
      <c r="H633" s="51"/>
      <c r="I633" s="85"/>
      <c r="J633" s="85"/>
      <c r="K633" s="85"/>
      <c r="L633" s="52"/>
      <c r="M633" s="52"/>
      <c r="N633" s="52"/>
    </row>
    <row r="634" ht="15.75" customHeight="1">
      <c r="A634" s="49"/>
      <c r="C634" s="84"/>
      <c r="E634" s="49"/>
      <c r="G634" s="50"/>
      <c r="H634" s="51"/>
      <c r="I634" s="85"/>
      <c r="J634" s="85"/>
      <c r="K634" s="85"/>
      <c r="L634" s="52"/>
      <c r="M634" s="52"/>
      <c r="N634" s="52"/>
    </row>
    <row r="635" ht="15.75" customHeight="1">
      <c r="A635" s="49"/>
      <c r="C635" s="84"/>
      <c r="E635" s="49"/>
      <c r="G635" s="50"/>
      <c r="H635" s="51"/>
      <c r="I635" s="85"/>
      <c r="J635" s="85"/>
      <c r="K635" s="85"/>
      <c r="L635" s="52"/>
      <c r="M635" s="52"/>
      <c r="N635" s="52"/>
    </row>
    <row r="636" ht="15.75" customHeight="1">
      <c r="A636" s="49"/>
      <c r="C636" s="84"/>
      <c r="E636" s="49"/>
      <c r="G636" s="50"/>
      <c r="H636" s="51"/>
      <c r="I636" s="85"/>
      <c r="J636" s="85"/>
      <c r="K636" s="85"/>
      <c r="L636" s="52"/>
      <c r="M636" s="52"/>
      <c r="N636" s="52"/>
    </row>
    <row r="637" ht="15.75" customHeight="1">
      <c r="A637" s="49"/>
      <c r="C637" s="84"/>
      <c r="E637" s="49"/>
      <c r="G637" s="50"/>
      <c r="H637" s="51"/>
      <c r="I637" s="85"/>
      <c r="J637" s="85"/>
      <c r="K637" s="85"/>
      <c r="L637" s="52"/>
      <c r="M637" s="52"/>
      <c r="N637" s="52"/>
    </row>
    <row r="638" ht="15.75" customHeight="1">
      <c r="A638" s="49"/>
      <c r="C638" s="84"/>
      <c r="E638" s="49"/>
      <c r="G638" s="50"/>
      <c r="H638" s="51"/>
      <c r="I638" s="85"/>
      <c r="J638" s="85"/>
      <c r="K638" s="85"/>
      <c r="L638" s="52"/>
      <c r="M638" s="52"/>
      <c r="N638" s="52"/>
    </row>
    <row r="639" ht="15.75" customHeight="1">
      <c r="A639" s="49"/>
      <c r="C639" s="84"/>
      <c r="E639" s="49"/>
      <c r="G639" s="50"/>
      <c r="H639" s="51"/>
      <c r="I639" s="85"/>
      <c r="J639" s="85"/>
      <c r="K639" s="85"/>
      <c r="L639" s="52"/>
      <c r="M639" s="52"/>
      <c r="N639" s="52"/>
    </row>
    <row r="640" ht="15.75" customHeight="1">
      <c r="A640" s="49"/>
      <c r="C640" s="84"/>
      <c r="E640" s="49"/>
      <c r="G640" s="50"/>
      <c r="H640" s="51"/>
      <c r="I640" s="85"/>
      <c r="J640" s="85"/>
      <c r="K640" s="85"/>
      <c r="L640" s="52"/>
      <c r="M640" s="52"/>
      <c r="N640" s="52"/>
    </row>
    <row r="641" ht="15.75" customHeight="1">
      <c r="A641" s="49"/>
      <c r="C641" s="84"/>
      <c r="E641" s="49"/>
      <c r="G641" s="50"/>
      <c r="H641" s="51"/>
      <c r="I641" s="85"/>
      <c r="J641" s="85"/>
      <c r="K641" s="85"/>
      <c r="L641" s="52"/>
      <c r="M641" s="52"/>
      <c r="N641" s="52"/>
    </row>
    <row r="642" ht="15.75" customHeight="1">
      <c r="A642" s="49"/>
      <c r="C642" s="84"/>
      <c r="E642" s="49"/>
      <c r="G642" s="50"/>
      <c r="H642" s="51"/>
      <c r="I642" s="85"/>
      <c r="J642" s="85"/>
      <c r="K642" s="85"/>
      <c r="L642" s="52"/>
      <c r="M642" s="52"/>
      <c r="N642" s="52"/>
    </row>
    <row r="643" ht="15.75" customHeight="1">
      <c r="A643" s="49"/>
      <c r="C643" s="84"/>
      <c r="E643" s="49"/>
      <c r="G643" s="50"/>
      <c r="H643" s="51"/>
      <c r="I643" s="85"/>
      <c r="J643" s="85"/>
      <c r="K643" s="85"/>
      <c r="L643" s="52"/>
      <c r="M643" s="52"/>
      <c r="N643" s="52"/>
    </row>
    <row r="644" ht="15.75" customHeight="1">
      <c r="A644" s="49"/>
      <c r="C644" s="84"/>
      <c r="E644" s="49"/>
      <c r="G644" s="50"/>
      <c r="H644" s="51"/>
      <c r="I644" s="85"/>
      <c r="J644" s="85"/>
      <c r="K644" s="85"/>
      <c r="L644" s="52"/>
      <c r="M644" s="52"/>
      <c r="N644" s="52"/>
    </row>
    <row r="645" ht="15.75" customHeight="1">
      <c r="A645" s="49"/>
      <c r="C645" s="84"/>
      <c r="E645" s="49"/>
      <c r="G645" s="50"/>
      <c r="H645" s="51"/>
      <c r="I645" s="85"/>
      <c r="J645" s="85"/>
      <c r="K645" s="85"/>
      <c r="L645" s="52"/>
      <c r="M645" s="52"/>
      <c r="N645" s="52"/>
    </row>
    <row r="646" ht="15.75" customHeight="1">
      <c r="A646" s="49"/>
      <c r="C646" s="84"/>
      <c r="E646" s="49"/>
      <c r="G646" s="50"/>
      <c r="H646" s="51"/>
      <c r="I646" s="85"/>
      <c r="J646" s="85"/>
      <c r="K646" s="85"/>
      <c r="L646" s="52"/>
      <c r="M646" s="52"/>
      <c r="N646" s="52"/>
    </row>
    <row r="647" ht="15.75" customHeight="1">
      <c r="A647" s="49"/>
      <c r="C647" s="84"/>
      <c r="E647" s="49"/>
      <c r="G647" s="50"/>
      <c r="H647" s="51"/>
      <c r="I647" s="85"/>
      <c r="J647" s="85"/>
      <c r="K647" s="85"/>
      <c r="L647" s="52"/>
      <c r="M647" s="52"/>
      <c r="N647" s="52"/>
    </row>
    <row r="648" ht="15.75" customHeight="1">
      <c r="A648" s="49"/>
      <c r="C648" s="84"/>
      <c r="E648" s="49"/>
      <c r="G648" s="50"/>
      <c r="H648" s="51"/>
      <c r="I648" s="85"/>
      <c r="J648" s="85"/>
      <c r="K648" s="85"/>
      <c r="L648" s="52"/>
      <c r="M648" s="52"/>
      <c r="N648" s="52"/>
    </row>
    <row r="649" ht="15.75" customHeight="1">
      <c r="A649" s="49"/>
      <c r="C649" s="84"/>
      <c r="E649" s="49"/>
      <c r="G649" s="50"/>
      <c r="H649" s="51"/>
      <c r="I649" s="85"/>
      <c r="J649" s="85"/>
      <c r="K649" s="85"/>
      <c r="L649" s="52"/>
      <c r="M649" s="52"/>
      <c r="N649" s="52"/>
    </row>
    <row r="650" ht="15.75" customHeight="1">
      <c r="A650" s="49"/>
      <c r="C650" s="84"/>
      <c r="E650" s="49"/>
      <c r="G650" s="50"/>
      <c r="H650" s="51"/>
      <c r="I650" s="85"/>
      <c r="J650" s="85"/>
      <c r="K650" s="85"/>
      <c r="L650" s="52"/>
      <c r="M650" s="52"/>
      <c r="N650" s="52"/>
    </row>
    <row r="651" ht="15.75" customHeight="1">
      <c r="A651" s="49"/>
      <c r="C651" s="84"/>
      <c r="E651" s="49"/>
      <c r="G651" s="50"/>
      <c r="H651" s="51"/>
      <c r="I651" s="85"/>
      <c r="J651" s="85"/>
      <c r="K651" s="85"/>
      <c r="L651" s="52"/>
      <c r="M651" s="52"/>
      <c r="N651" s="52"/>
    </row>
    <row r="652" ht="15.75" customHeight="1">
      <c r="A652" s="49"/>
      <c r="C652" s="84"/>
      <c r="E652" s="49"/>
      <c r="G652" s="50"/>
      <c r="H652" s="51"/>
      <c r="I652" s="85"/>
      <c r="J652" s="85"/>
      <c r="K652" s="85"/>
      <c r="L652" s="52"/>
      <c r="M652" s="52"/>
      <c r="N652" s="52"/>
    </row>
    <row r="653" ht="15.75" customHeight="1">
      <c r="A653" s="49"/>
      <c r="C653" s="84"/>
      <c r="E653" s="49"/>
      <c r="G653" s="50"/>
      <c r="H653" s="51"/>
      <c r="I653" s="85"/>
      <c r="J653" s="85"/>
      <c r="K653" s="85"/>
      <c r="L653" s="52"/>
      <c r="M653" s="52"/>
      <c r="N653" s="52"/>
    </row>
    <row r="654" ht="15.75" customHeight="1">
      <c r="A654" s="49"/>
      <c r="C654" s="84"/>
      <c r="E654" s="49"/>
      <c r="G654" s="50"/>
      <c r="H654" s="51"/>
      <c r="I654" s="85"/>
      <c r="J654" s="85"/>
      <c r="K654" s="85"/>
      <c r="L654" s="52"/>
      <c r="M654" s="52"/>
      <c r="N654" s="52"/>
    </row>
    <row r="655" ht="15.75" customHeight="1">
      <c r="A655" s="49"/>
      <c r="C655" s="84"/>
      <c r="E655" s="49"/>
      <c r="G655" s="50"/>
      <c r="H655" s="51"/>
      <c r="I655" s="85"/>
      <c r="J655" s="85"/>
      <c r="K655" s="85"/>
      <c r="L655" s="52"/>
      <c r="M655" s="52"/>
      <c r="N655" s="52"/>
    </row>
    <row r="656" ht="15.75" customHeight="1">
      <c r="A656" s="49"/>
      <c r="C656" s="84"/>
      <c r="E656" s="49"/>
      <c r="G656" s="50"/>
      <c r="H656" s="51"/>
      <c r="I656" s="85"/>
      <c r="J656" s="85"/>
      <c r="K656" s="85"/>
      <c r="L656" s="52"/>
      <c r="M656" s="52"/>
      <c r="N656" s="52"/>
    </row>
    <row r="657" ht="15.75" customHeight="1">
      <c r="A657" s="49"/>
      <c r="C657" s="84"/>
      <c r="E657" s="49"/>
      <c r="G657" s="50"/>
      <c r="H657" s="51"/>
      <c r="I657" s="85"/>
      <c r="J657" s="85"/>
      <c r="K657" s="85"/>
      <c r="L657" s="52"/>
      <c r="M657" s="52"/>
      <c r="N657" s="52"/>
    </row>
    <row r="658" ht="15.75" customHeight="1">
      <c r="A658" s="49"/>
      <c r="C658" s="84"/>
      <c r="E658" s="49"/>
      <c r="G658" s="50"/>
      <c r="H658" s="51"/>
      <c r="I658" s="85"/>
      <c r="J658" s="85"/>
      <c r="K658" s="85"/>
      <c r="L658" s="52"/>
      <c r="M658" s="52"/>
      <c r="N658" s="52"/>
    </row>
    <row r="659" ht="15.75" customHeight="1">
      <c r="A659" s="49"/>
      <c r="C659" s="84"/>
      <c r="E659" s="49"/>
      <c r="G659" s="50"/>
      <c r="H659" s="51"/>
      <c r="I659" s="85"/>
      <c r="J659" s="85"/>
      <c r="K659" s="85"/>
      <c r="L659" s="52"/>
      <c r="M659" s="52"/>
      <c r="N659" s="52"/>
    </row>
    <row r="660" ht="15.75" customHeight="1">
      <c r="A660" s="49"/>
      <c r="C660" s="84"/>
      <c r="E660" s="49"/>
      <c r="G660" s="50"/>
      <c r="H660" s="51"/>
      <c r="I660" s="85"/>
      <c r="J660" s="85"/>
      <c r="K660" s="85"/>
      <c r="L660" s="52"/>
      <c r="M660" s="52"/>
      <c r="N660" s="52"/>
    </row>
    <row r="661" ht="15.75" customHeight="1">
      <c r="A661" s="49"/>
      <c r="C661" s="84"/>
      <c r="E661" s="49"/>
      <c r="G661" s="50"/>
      <c r="H661" s="51"/>
      <c r="I661" s="85"/>
      <c r="J661" s="85"/>
      <c r="K661" s="85"/>
      <c r="L661" s="52"/>
      <c r="M661" s="52"/>
      <c r="N661" s="52"/>
    </row>
    <row r="662" ht="15.75" customHeight="1">
      <c r="A662" s="49"/>
      <c r="C662" s="84"/>
      <c r="E662" s="49"/>
      <c r="G662" s="50"/>
      <c r="H662" s="51"/>
      <c r="I662" s="85"/>
      <c r="J662" s="85"/>
      <c r="K662" s="85"/>
      <c r="L662" s="52"/>
      <c r="M662" s="52"/>
      <c r="N662" s="52"/>
    </row>
    <row r="663" ht="15.75" customHeight="1">
      <c r="A663" s="49"/>
      <c r="C663" s="84"/>
      <c r="E663" s="49"/>
      <c r="G663" s="50"/>
      <c r="H663" s="51"/>
      <c r="I663" s="85"/>
      <c r="J663" s="85"/>
      <c r="K663" s="85"/>
      <c r="L663" s="52"/>
      <c r="M663" s="52"/>
      <c r="N663" s="52"/>
    </row>
    <row r="664" ht="15.75" customHeight="1">
      <c r="A664" s="49"/>
      <c r="C664" s="84"/>
      <c r="E664" s="49"/>
      <c r="G664" s="50"/>
      <c r="H664" s="51"/>
      <c r="I664" s="85"/>
      <c r="J664" s="85"/>
      <c r="K664" s="85"/>
      <c r="L664" s="52"/>
      <c r="M664" s="52"/>
      <c r="N664" s="52"/>
    </row>
    <row r="665" ht="15.75" customHeight="1">
      <c r="A665" s="49"/>
      <c r="C665" s="84"/>
      <c r="E665" s="49"/>
      <c r="G665" s="50"/>
      <c r="H665" s="51"/>
      <c r="I665" s="85"/>
      <c r="J665" s="85"/>
      <c r="K665" s="85"/>
      <c r="L665" s="52"/>
      <c r="M665" s="52"/>
      <c r="N665" s="52"/>
    </row>
    <row r="666" ht="15.75" customHeight="1">
      <c r="A666" s="49"/>
      <c r="C666" s="84"/>
      <c r="E666" s="49"/>
      <c r="G666" s="50"/>
      <c r="H666" s="51"/>
      <c r="I666" s="85"/>
      <c r="J666" s="85"/>
      <c r="K666" s="85"/>
      <c r="L666" s="52"/>
      <c r="M666" s="52"/>
      <c r="N666" s="52"/>
    </row>
    <row r="667" ht="15.75" customHeight="1">
      <c r="A667" s="49"/>
      <c r="C667" s="84"/>
      <c r="E667" s="49"/>
      <c r="G667" s="50"/>
      <c r="H667" s="51"/>
      <c r="I667" s="85"/>
      <c r="J667" s="85"/>
      <c r="K667" s="85"/>
      <c r="L667" s="52"/>
      <c r="M667" s="52"/>
      <c r="N667" s="52"/>
    </row>
    <row r="668" ht="15.75" customHeight="1">
      <c r="A668" s="49"/>
      <c r="C668" s="84"/>
      <c r="E668" s="49"/>
      <c r="G668" s="50"/>
      <c r="H668" s="51"/>
      <c r="I668" s="85"/>
      <c r="J668" s="85"/>
      <c r="K668" s="85"/>
      <c r="L668" s="52"/>
      <c r="M668" s="52"/>
      <c r="N668" s="52"/>
    </row>
    <row r="669" ht="15.75" customHeight="1">
      <c r="A669" s="49"/>
      <c r="C669" s="84"/>
      <c r="E669" s="49"/>
      <c r="G669" s="50"/>
      <c r="H669" s="51"/>
      <c r="I669" s="85"/>
      <c r="J669" s="85"/>
      <c r="K669" s="85"/>
      <c r="L669" s="52"/>
      <c r="M669" s="52"/>
      <c r="N669" s="52"/>
    </row>
    <row r="670" ht="15.75" customHeight="1">
      <c r="A670" s="49"/>
      <c r="C670" s="84"/>
      <c r="E670" s="49"/>
      <c r="G670" s="50"/>
      <c r="H670" s="51"/>
      <c r="I670" s="85"/>
      <c r="J670" s="85"/>
      <c r="K670" s="85"/>
      <c r="L670" s="52"/>
      <c r="M670" s="52"/>
      <c r="N670" s="52"/>
    </row>
    <row r="671" ht="15.75" customHeight="1">
      <c r="A671" s="49"/>
      <c r="C671" s="84"/>
      <c r="E671" s="49"/>
      <c r="G671" s="50"/>
      <c r="H671" s="51"/>
      <c r="I671" s="85"/>
      <c r="J671" s="85"/>
      <c r="K671" s="85"/>
      <c r="L671" s="52"/>
      <c r="M671" s="52"/>
      <c r="N671" s="52"/>
    </row>
    <row r="672" ht="15.75" customHeight="1">
      <c r="A672" s="49"/>
      <c r="C672" s="84"/>
      <c r="E672" s="49"/>
      <c r="G672" s="50"/>
      <c r="H672" s="51"/>
      <c r="I672" s="85"/>
      <c r="J672" s="85"/>
      <c r="K672" s="85"/>
      <c r="L672" s="52"/>
      <c r="M672" s="52"/>
      <c r="N672" s="52"/>
    </row>
    <row r="673" ht="15.75" customHeight="1">
      <c r="A673" s="49"/>
      <c r="C673" s="84"/>
      <c r="E673" s="49"/>
      <c r="G673" s="50"/>
      <c r="H673" s="51"/>
      <c r="I673" s="85"/>
      <c r="J673" s="85"/>
      <c r="K673" s="85"/>
      <c r="L673" s="52"/>
      <c r="M673" s="52"/>
      <c r="N673" s="52"/>
    </row>
    <row r="674" ht="15.75" customHeight="1">
      <c r="A674" s="49"/>
      <c r="C674" s="84"/>
      <c r="E674" s="49"/>
      <c r="G674" s="50"/>
      <c r="H674" s="51"/>
      <c r="I674" s="85"/>
      <c r="J674" s="85"/>
      <c r="K674" s="85"/>
      <c r="L674" s="52"/>
      <c r="M674" s="52"/>
      <c r="N674" s="52"/>
    </row>
    <row r="675" ht="15.75" customHeight="1">
      <c r="A675" s="49"/>
      <c r="C675" s="84"/>
      <c r="E675" s="49"/>
      <c r="G675" s="50"/>
      <c r="H675" s="51"/>
      <c r="I675" s="85"/>
      <c r="J675" s="85"/>
      <c r="K675" s="85"/>
      <c r="L675" s="52"/>
      <c r="M675" s="52"/>
      <c r="N675" s="52"/>
    </row>
    <row r="676" ht="15.75" customHeight="1">
      <c r="A676" s="49"/>
      <c r="C676" s="84"/>
      <c r="E676" s="49"/>
      <c r="G676" s="50"/>
      <c r="H676" s="51"/>
      <c r="I676" s="85"/>
      <c r="J676" s="85"/>
      <c r="K676" s="85"/>
      <c r="L676" s="52"/>
      <c r="M676" s="52"/>
      <c r="N676" s="52"/>
    </row>
    <row r="677" ht="15.75" customHeight="1">
      <c r="A677" s="49"/>
      <c r="C677" s="84"/>
      <c r="E677" s="49"/>
      <c r="G677" s="50"/>
      <c r="H677" s="51"/>
      <c r="I677" s="85"/>
      <c r="J677" s="85"/>
      <c r="K677" s="85"/>
      <c r="L677" s="52"/>
      <c r="M677" s="52"/>
      <c r="N677" s="52"/>
    </row>
    <row r="678" ht="15.75" customHeight="1">
      <c r="A678" s="49"/>
      <c r="C678" s="84"/>
      <c r="E678" s="49"/>
      <c r="G678" s="50"/>
      <c r="H678" s="51"/>
      <c r="I678" s="85"/>
      <c r="J678" s="85"/>
      <c r="K678" s="85"/>
      <c r="L678" s="52"/>
      <c r="M678" s="52"/>
      <c r="N678" s="52"/>
    </row>
    <row r="679" ht="15.75" customHeight="1">
      <c r="A679" s="49"/>
      <c r="C679" s="84"/>
      <c r="E679" s="49"/>
      <c r="G679" s="50"/>
      <c r="H679" s="51"/>
      <c r="I679" s="85"/>
      <c r="J679" s="85"/>
      <c r="K679" s="85"/>
      <c r="L679" s="52"/>
      <c r="M679" s="52"/>
      <c r="N679" s="52"/>
    </row>
    <row r="680" ht="15.75" customHeight="1">
      <c r="A680" s="49"/>
      <c r="C680" s="84"/>
      <c r="E680" s="49"/>
      <c r="G680" s="50"/>
      <c r="H680" s="51"/>
      <c r="I680" s="85"/>
      <c r="J680" s="85"/>
      <c r="K680" s="85"/>
      <c r="L680" s="52"/>
      <c r="M680" s="52"/>
      <c r="N680" s="52"/>
    </row>
    <row r="681" ht="15.75" customHeight="1">
      <c r="A681" s="49"/>
      <c r="C681" s="84"/>
      <c r="E681" s="49"/>
      <c r="G681" s="50"/>
      <c r="H681" s="51"/>
      <c r="I681" s="85"/>
      <c r="J681" s="85"/>
      <c r="K681" s="85"/>
      <c r="L681" s="52"/>
      <c r="M681" s="52"/>
      <c r="N681" s="52"/>
    </row>
    <row r="682" ht="15.75" customHeight="1">
      <c r="A682" s="49"/>
      <c r="C682" s="84"/>
      <c r="E682" s="49"/>
      <c r="G682" s="50"/>
      <c r="H682" s="51"/>
      <c r="I682" s="85"/>
      <c r="J682" s="85"/>
      <c r="K682" s="85"/>
      <c r="L682" s="52"/>
      <c r="M682" s="52"/>
      <c r="N682" s="52"/>
    </row>
    <row r="683" ht="15.75" customHeight="1">
      <c r="A683" s="49"/>
      <c r="C683" s="84"/>
      <c r="E683" s="49"/>
      <c r="G683" s="50"/>
      <c r="H683" s="51"/>
      <c r="I683" s="85"/>
      <c r="J683" s="85"/>
      <c r="K683" s="85"/>
      <c r="L683" s="52"/>
      <c r="M683" s="52"/>
      <c r="N683" s="52"/>
    </row>
    <row r="684" ht="15.75" customHeight="1">
      <c r="A684" s="49"/>
      <c r="C684" s="84"/>
      <c r="E684" s="49"/>
      <c r="G684" s="50"/>
      <c r="H684" s="51"/>
      <c r="I684" s="85"/>
      <c r="J684" s="85"/>
      <c r="K684" s="85"/>
      <c r="L684" s="52"/>
      <c r="M684" s="52"/>
      <c r="N684" s="52"/>
    </row>
    <row r="685" ht="15.75" customHeight="1">
      <c r="A685" s="49"/>
      <c r="C685" s="84"/>
      <c r="E685" s="49"/>
      <c r="G685" s="50"/>
      <c r="H685" s="51"/>
      <c r="I685" s="85"/>
      <c r="J685" s="85"/>
      <c r="K685" s="85"/>
      <c r="L685" s="52"/>
      <c r="M685" s="52"/>
      <c r="N685" s="52"/>
    </row>
    <row r="686">
      <c r="A686" s="86"/>
      <c r="C686" s="84"/>
      <c r="G686" s="50"/>
      <c r="H686" s="51"/>
      <c r="I686" s="85"/>
      <c r="J686" s="85"/>
      <c r="K686" s="85"/>
      <c r="L686" s="52"/>
      <c r="M686" s="52"/>
      <c r="N686" s="52"/>
    </row>
    <row r="687">
      <c r="A687" s="86"/>
      <c r="C687" s="84"/>
      <c r="G687" s="50"/>
      <c r="H687" s="51"/>
      <c r="I687" s="85"/>
      <c r="J687" s="85"/>
      <c r="K687" s="85"/>
      <c r="L687" s="52"/>
      <c r="M687" s="52"/>
      <c r="N687" s="52"/>
    </row>
    <row r="688">
      <c r="A688" s="86"/>
      <c r="C688" s="84"/>
      <c r="G688" s="50"/>
      <c r="H688" s="51"/>
      <c r="I688" s="85"/>
      <c r="J688" s="85"/>
      <c r="K688" s="85"/>
      <c r="L688" s="52"/>
      <c r="M688" s="52"/>
      <c r="N688" s="52"/>
    </row>
    <row r="689">
      <c r="A689" s="86"/>
      <c r="C689" s="84"/>
      <c r="G689" s="50"/>
      <c r="H689" s="51"/>
      <c r="I689" s="85"/>
      <c r="J689" s="85"/>
      <c r="K689" s="85"/>
      <c r="L689" s="52"/>
      <c r="M689" s="52"/>
      <c r="N689" s="52"/>
    </row>
    <row r="690">
      <c r="A690" s="86"/>
      <c r="C690" s="84"/>
      <c r="G690" s="50"/>
      <c r="H690" s="51"/>
      <c r="I690" s="85"/>
      <c r="J690" s="85"/>
      <c r="K690" s="85"/>
      <c r="L690" s="52"/>
      <c r="M690" s="52"/>
      <c r="N690" s="52"/>
    </row>
    <row r="691">
      <c r="A691" s="86"/>
      <c r="C691" s="84"/>
      <c r="G691" s="50"/>
      <c r="H691" s="51"/>
      <c r="I691" s="85"/>
      <c r="J691" s="85"/>
      <c r="K691" s="85"/>
      <c r="L691" s="52"/>
      <c r="M691" s="52"/>
      <c r="N691" s="52"/>
    </row>
    <row r="692">
      <c r="A692" s="86"/>
      <c r="C692" s="84"/>
      <c r="G692" s="50"/>
      <c r="H692" s="51"/>
      <c r="I692" s="85"/>
      <c r="J692" s="85"/>
      <c r="K692" s="85"/>
      <c r="L692" s="52"/>
      <c r="M692" s="52"/>
      <c r="N692" s="52"/>
    </row>
    <row r="693">
      <c r="A693" s="86"/>
      <c r="C693" s="84"/>
      <c r="G693" s="50"/>
      <c r="H693" s="51"/>
      <c r="I693" s="85"/>
      <c r="J693" s="85"/>
      <c r="K693" s="85"/>
      <c r="L693" s="52"/>
      <c r="M693" s="52"/>
      <c r="N693" s="52"/>
    </row>
    <row r="694">
      <c r="A694" s="86"/>
      <c r="C694" s="84"/>
      <c r="G694" s="50"/>
      <c r="H694" s="51"/>
      <c r="I694" s="85"/>
      <c r="J694" s="85"/>
      <c r="K694" s="85"/>
      <c r="L694" s="52"/>
      <c r="M694" s="52"/>
      <c r="N694" s="52"/>
    </row>
    <row r="695">
      <c r="A695" s="86"/>
      <c r="C695" s="84"/>
      <c r="G695" s="50"/>
      <c r="H695" s="51"/>
      <c r="I695" s="85"/>
      <c r="J695" s="85"/>
      <c r="K695" s="85"/>
      <c r="L695" s="52"/>
      <c r="M695" s="52"/>
      <c r="N695" s="52"/>
    </row>
    <row r="696">
      <c r="A696" s="86"/>
      <c r="C696" s="84"/>
      <c r="G696" s="50"/>
      <c r="H696" s="51"/>
      <c r="I696" s="85"/>
      <c r="J696" s="85"/>
      <c r="K696" s="85"/>
      <c r="L696" s="52"/>
      <c r="M696" s="52"/>
      <c r="N696" s="52"/>
    </row>
    <row r="697">
      <c r="A697" s="86"/>
      <c r="C697" s="84"/>
      <c r="G697" s="50"/>
      <c r="H697" s="51"/>
      <c r="I697" s="85"/>
      <c r="J697" s="85"/>
      <c r="K697" s="85"/>
      <c r="L697" s="52"/>
      <c r="M697" s="52"/>
      <c r="N697" s="52"/>
    </row>
    <row r="698">
      <c r="A698" s="86"/>
      <c r="C698" s="84"/>
      <c r="G698" s="50"/>
      <c r="H698" s="51"/>
      <c r="I698" s="85"/>
      <c r="J698" s="85"/>
      <c r="K698" s="85"/>
      <c r="L698" s="52"/>
      <c r="M698" s="52"/>
      <c r="N698" s="52"/>
    </row>
    <row r="699">
      <c r="A699" s="86"/>
      <c r="C699" s="84"/>
      <c r="G699" s="50"/>
      <c r="H699" s="51"/>
      <c r="I699" s="85"/>
      <c r="J699" s="85"/>
      <c r="K699" s="85"/>
      <c r="L699" s="52"/>
      <c r="M699" s="52"/>
      <c r="N699" s="52"/>
    </row>
    <row r="700">
      <c r="A700" s="86"/>
      <c r="C700" s="84"/>
      <c r="G700" s="50"/>
      <c r="H700" s="51"/>
      <c r="I700" s="85"/>
      <c r="J700" s="85"/>
      <c r="K700" s="85"/>
      <c r="L700" s="52"/>
      <c r="M700" s="52"/>
      <c r="N700" s="52"/>
    </row>
    <row r="701">
      <c r="A701" s="86"/>
      <c r="C701" s="84"/>
      <c r="G701" s="50"/>
      <c r="H701" s="51"/>
      <c r="I701" s="85"/>
      <c r="J701" s="85"/>
      <c r="K701" s="85"/>
      <c r="L701" s="52"/>
      <c r="M701" s="52"/>
      <c r="N701" s="52"/>
    </row>
    <row r="702">
      <c r="A702" s="86"/>
      <c r="C702" s="84"/>
      <c r="G702" s="50"/>
      <c r="H702" s="51"/>
      <c r="I702" s="85"/>
      <c r="J702" s="85"/>
      <c r="K702" s="85"/>
      <c r="L702" s="52"/>
      <c r="M702" s="52"/>
      <c r="N702" s="52"/>
    </row>
    <row r="703">
      <c r="A703" s="86"/>
      <c r="C703" s="84"/>
      <c r="G703" s="50"/>
      <c r="H703" s="51"/>
      <c r="I703" s="85"/>
      <c r="J703" s="85"/>
      <c r="K703" s="85"/>
      <c r="L703" s="52"/>
      <c r="M703" s="52"/>
      <c r="N703" s="52"/>
    </row>
    <row r="704">
      <c r="A704" s="86"/>
      <c r="C704" s="84"/>
      <c r="G704" s="50"/>
      <c r="H704" s="51"/>
      <c r="I704" s="85"/>
      <c r="J704" s="85"/>
      <c r="K704" s="85"/>
      <c r="L704" s="52"/>
      <c r="M704" s="52"/>
      <c r="N704" s="52"/>
    </row>
    <row r="705">
      <c r="A705" s="86"/>
      <c r="C705" s="84"/>
      <c r="G705" s="50"/>
      <c r="H705" s="51"/>
      <c r="I705" s="85"/>
      <c r="J705" s="85"/>
      <c r="K705" s="85"/>
      <c r="L705" s="52"/>
      <c r="M705" s="52"/>
      <c r="N705" s="52"/>
    </row>
    <row r="706">
      <c r="A706" s="86"/>
      <c r="C706" s="84"/>
      <c r="G706" s="50"/>
      <c r="H706" s="51"/>
      <c r="I706" s="85"/>
      <c r="J706" s="85"/>
      <c r="K706" s="85"/>
      <c r="L706" s="52"/>
      <c r="M706" s="52"/>
      <c r="N706" s="52"/>
    </row>
    <row r="707">
      <c r="A707" s="86"/>
      <c r="C707" s="84"/>
      <c r="G707" s="50"/>
      <c r="H707" s="51"/>
      <c r="I707" s="85"/>
      <c r="J707" s="85"/>
      <c r="K707" s="85"/>
      <c r="L707" s="52"/>
      <c r="M707" s="52"/>
      <c r="N707" s="52"/>
    </row>
  </sheetData>
  <autoFilter ref="$A$1:$O$113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4.29"/>
    <col customWidth="1" min="3" max="3" width="4.14"/>
    <col customWidth="1" min="4" max="4" width="3.14"/>
    <col customWidth="1" min="5" max="5" width="31.29"/>
    <col customWidth="1" min="6" max="6" width="11.0"/>
    <col customWidth="1" min="7" max="7" width="6.29"/>
    <col customWidth="1" min="8" max="8" width="10.57"/>
    <col customWidth="1" min="9" max="11" width="4.86"/>
    <col customWidth="1" hidden="1" min="12" max="13" width="17.14"/>
    <col customWidth="1" hidden="1" min="14" max="14" width="13.71"/>
    <col customWidth="1" min="15" max="26" width="8.71"/>
  </cols>
  <sheetData>
    <row r="1">
      <c r="A1" s="64" t="s">
        <v>0</v>
      </c>
      <c r="B1" s="65" t="s">
        <v>1</v>
      </c>
      <c r="C1" s="67" t="s">
        <v>3</v>
      </c>
      <c r="D1" s="68" t="s">
        <v>4</v>
      </c>
      <c r="E1" s="69" t="s">
        <v>5</v>
      </c>
      <c r="F1" s="70" t="s">
        <v>6</v>
      </c>
      <c r="G1" s="5" t="s">
        <v>7</v>
      </c>
      <c r="H1" s="6" t="s">
        <v>8</v>
      </c>
      <c r="I1" s="71" t="s">
        <v>9</v>
      </c>
      <c r="J1" s="71" t="s">
        <v>10</v>
      </c>
      <c r="K1" s="71" t="s">
        <v>11</v>
      </c>
      <c r="L1" s="7" t="s">
        <v>12</v>
      </c>
      <c r="M1" s="7" t="s">
        <v>13</v>
      </c>
      <c r="N1" s="7" t="s">
        <v>14</v>
      </c>
      <c r="O1" s="72" t="s">
        <v>15</v>
      </c>
    </row>
    <row r="2">
      <c r="A2" s="13" t="s">
        <v>1364</v>
      </c>
      <c r="B2" s="9" t="str">
        <f t="shared" ref="B2:B327" si="1">LEFT(A2,FIND(".",A2))</f>
        <v>Мр.</v>
      </c>
      <c r="C2" s="11" t="str">
        <f t="shared" ref="C2:C327" si="2">MID(A2,FIND(".",A2)+2,FIND(" ",RIGHT(A2,LEN(A2)-FIND(".",A2)-1))-1)</f>
        <v>10</v>
      </c>
      <c r="D2" s="9"/>
      <c r="E2" s="13" t="s">
        <v>1365</v>
      </c>
      <c r="F2" s="14"/>
      <c r="G2" s="15" t="s">
        <v>913</v>
      </c>
      <c r="H2" s="16" t="s">
        <v>20</v>
      </c>
      <c r="I2" s="73">
        <v>1.0</v>
      </c>
      <c r="J2" s="54"/>
      <c r="K2" s="55">
        <v>6.0</v>
      </c>
      <c r="L2" s="18">
        <f>IFNA( VLOOKUP(LEFT(E2, IFERROR(FIND(" ", E2, 1),1) - 1), lists!$A$31:$B$37, 2, FALSE),"")</f>
        <v>6</v>
      </c>
      <c r="M2" s="18" t="str">
        <f>IFERROR(__xludf.DUMMYFUNCTION("IFNA(VLOOKUP(IFNA(REGEXEXTRACT(E2, ""(Пасхи|50-ці|посту)""),""""),lists!$A$39:$B$41,2,FALSE),"""")"),"lent")</f>
        <v>lent</v>
      </c>
      <c r="N2" s="19" t="str">
        <f>IFERROR(__xludf.DUMMYFUNCTION("IFNA(REGEXEXTRACT(E2, ""\d{1,2}""),"""")"),"1")</f>
        <v>1</v>
      </c>
      <c r="O2" s="14" t="b">
        <f t="shared" ref="O2:O327" si="3">AND(OR(H2="",I2="",K2=""),G2="")</f>
        <v>0</v>
      </c>
    </row>
    <row r="3">
      <c r="A3" s="13" t="s">
        <v>1022</v>
      </c>
      <c r="B3" s="9" t="str">
        <f t="shared" si="1"/>
        <v>Йо.</v>
      </c>
      <c r="C3" s="11" t="str">
        <f t="shared" si="2"/>
        <v>5</v>
      </c>
      <c r="D3" s="9"/>
      <c r="E3" s="13" t="s">
        <v>869</v>
      </c>
      <c r="F3" s="14"/>
      <c r="G3" s="15" t="s">
        <v>913</v>
      </c>
      <c r="H3" s="16" t="s">
        <v>20</v>
      </c>
      <c r="I3" s="54">
        <v>1.0</v>
      </c>
      <c r="J3" s="54"/>
      <c r="K3" s="55">
        <v>7.0</v>
      </c>
      <c r="L3" s="18">
        <f>IFNA( VLOOKUP(LEFT(E3, IFERROR(FIND(" ", E3, 1),1) - 1), lists!$A$31:$B$37, 2, FALSE),"")</f>
        <v>7</v>
      </c>
      <c r="M3" s="18" t="str">
        <f>IFERROR(__xludf.DUMMYFUNCTION("IFNA(VLOOKUP(IFNA(REGEXEXTRACT(E3, ""(Пасхи|50-ці|посту)""),""""),lists!$A$39:$B$41,2,FALSE),"""")"),"lent")</f>
        <v>lent</v>
      </c>
      <c r="N3" s="19" t="str">
        <f>IFERROR(__xludf.DUMMYFUNCTION("IFNA(REGEXEXTRACT(E3, ""\d{1,2}""),"""")"),"1")</f>
        <v>1</v>
      </c>
      <c r="O3" s="14" t="b">
        <f t="shared" si="3"/>
        <v>0</v>
      </c>
    </row>
    <row r="4">
      <c r="A4" s="13" t="s">
        <v>1355</v>
      </c>
      <c r="B4" s="9" t="str">
        <f t="shared" si="1"/>
        <v>Мр.</v>
      </c>
      <c r="C4" s="11" t="str">
        <f t="shared" si="2"/>
        <v>6</v>
      </c>
      <c r="D4" s="9"/>
      <c r="E4" s="13" t="s">
        <v>1356</v>
      </c>
      <c r="F4" s="14"/>
      <c r="G4" s="15" t="s">
        <v>913</v>
      </c>
      <c r="H4" s="16" t="s">
        <v>20</v>
      </c>
      <c r="I4" s="73">
        <v>2.0</v>
      </c>
      <c r="J4" s="54"/>
      <c r="K4" s="55">
        <v>6.0</v>
      </c>
      <c r="L4" s="18">
        <f>IFNA( VLOOKUP(LEFT(E4, IFERROR(FIND(" ", E4, 1),1) - 1), lists!$A$31:$B$37, 2, FALSE),"")</f>
        <v>6</v>
      </c>
      <c r="M4" s="18" t="str">
        <f>IFERROR(__xludf.DUMMYFUNCTION("IFNA(VLOOKUP(IFNA(REGEXEXTRACT(E4, ""(Пасхи|50-ці|посту)""),""""),lists!$A$39:$B$41,2,FALSE),"""")"),"lent")</f>
        <v>lent</v>
      </c>
      <c r="N4" s="19" t="str">
        <f>IFERROR(__xludf.DUMMYFUNCTION("IFNA(REGEXEXTRACT(E4, ""\d{1,2}""),"""")"),"2")</f>
        <v>2</v>
      </c>
      <c r="O4" s="14" t="b">
        <f t="shared" si="3"/>
        <v>0</v>
      </c>
    </row>
    <row r="5">
      <c r="A5" s="13" t="s">
        <v>1357</v>
      </c>
      <c r="B5" s="9" t="str">
        <f t="shared" si="1"/>
        <v>Мр.</v>
      </c>
      <c r="C5" s="11" t="str">
        <f t="shared" si="2"/>
        <v>7</v>
      </c>
      <c r="D5" s="9"/>
      <c r="E5" s="13" t="s">
        <v>1358</v>
      </c>
      <c r="F5" s="14"/>
      <c r="G5" s="15" t="s">
        <v>913</v>
      </c>
      <c r="H5" s="16" t="s">
        <v>20</v>
      </c>
      <c r="I5" s="73">
        <v>2.0</v>
      </c>
      <c r="J5" s="54"/>
      <c r="K5" s="55">
        <v>7.0</v>
      </c>
      <c r="L5" s="18">
        <f>IFNA( VLOOKUP(LEFT(E5, IFERROR(FIND(" ", E5, 1),1) - 1), lists!$A$31:$B$37, 2, FALSE),"")</f>
        <v>7</v>
      </c>
      <c r="M5" s="18" t="str">
        <f>IFERROR(__xludf.DUMMYFUNCTION("IFNA(VLOOKUP(IFNA(REGEXEXTRACT(E5, ""(Пасхи|50-ці|посту)""),""""),lists!$A$39:$B$41,2,FALSE),"""")"),"lent")</f>
        <v>lent</v>
      </c>
      <c r="N5" s="19" t="str">
        <f>IFERROR(__xludf.DUMMYFUNCTION("IFNA(REGEXEXTRACT(E5, ""\d{1,2}""),"""")"),"2")</f>
        <v>2</v>
      </c>
      <c r="O5" s="14" t="b">
        <f t="shared" si="3"/>
        <v>0</v>
      </c>
    </row>
    <row r="6">
      <c r="A6" s="13" t="s">
        <v>1359</v>
      </c>
      <c r="B6" s="9" t="str">
        <f t="shared" si="1"/>
        <v>Мр.</v>
      </c>
      <c r="C6" s="11" t="str">
        <f t="shared" si="2"/>
        <v>8</v>
      </c>
      <c r="D6" s="9"/>
      <c r="E6" s="13" t="s">
        <v>1360</v>
      </c>
      <c r="F6" s="14"/>
      <c r="G6" s="15" t="s">
        <v>913</v>
      </c>
      <c r="H6" s="16" t="s">
        <v>20</v>
      </c>
      <c r="I6" s="73">
        <v>3.0</v>
      </c>
      <c r="J6" s="54"/>
      <c r="K6" s="55">
        <v>6.0</v>
      </c>
      <c r="L6" s="18">
        <f>IFNA( VLOOKUP(LEFT(E6, IFERROR(FIND(" ", E6, 1),1) - 1), lists!$A$31:$B$37, 2, FALSE),"")</f>
        <v>6</v>
      </c>
      <c r="M6" s="18" t="str">
        <f>IFERROR(__xludf.DUMMYFUNCTION("IFNA(VLOOKUP(IFNA(REGEXEXTRACT(E6, ""(Пасхи|50-ці|посту)""),""""),lists!$A$39:$B$41,2,FALSE),"""")"),"lent")</f>
        <v>lent</v>
      </c>
      <c r="N6" s="19" t="str">
        <f>IFERROR(__xludf.DUMMYFUNCTION("IFNA(REGEXEXTRACT(E6, ""\d{1,2}""),"""")"),"3")</f>
        <v>3</v>
      </c>
      <c r="O6" s="14" t="b">
        <f t="shared" si="3"/>
        <v>0</v>
      </c>
    </row>
    <row r="7">
      <c r="A7" s="13" t="s">
        <v>1418</v>
      </c>
      <c r="B7" s="9" t="str">
        <f t="shared" si="1"/>
        <v>Мр.</v>
      </c>
      <c r="C7" s="11" t="str">
        <f t="shared" si="2"/>
        <v>37</v>
      </c>
      <c r="D7" s="9"/>
      <c r="E7" s="13" t="s">
        <v>1419</v>
      </c>
      <c r="F7" s="14"/>
      <c r="G7" s="15" t="s">
        <v>913</v>
      </c>
      <c r="H7" s="16" t="s">
        <v>20</v>
      </c>
      <c r="I7" s="73">
        <v>3.0</v>
      </c>
      <c r="J7" s="54"/>
      <c r="K7" s="55">
        <v>7.0</v>
      </c>
      <c r="L7" s="18">
        <f>IFNA( VLOOKUP(LEFT(E7, IFERROR(FIND(" ", E7, 1),1) - 1), lists!$A$31:$B$37, 2, FALSE),"")</f>
        <v>7</v>
      </c>
      <c r="M7" s="18" t="str">
        <f>IFERROR(__xludf.DUMMYFUNCTION("IFNA(VLOOKUP(IFNA(REGEXEXTRACT(E7, ""(Пасхи|50-ці|посту)""),""""),lists!$A$39:$B$41,2,FALSE),"""")"),"lent")</f>
        <v>lent</v>
      </c>
      <c r="N7" s="19" t="str">
        <f>IFERROR(__xludf.DUMMYFUNCTION("IFNA(REGEXEXTRACT(E7, ""\d{1,2}""),"""")"),"3")</f>
        <v>3</v>
      </c>
      <c r="O7" s="14" t="b">
        <f t="shared" si="3"/>
        <v>0</v>
      </c>
    </row>
    <row r="8">
      <c r="A8" s="13" t="s">
        <v>1406</v>
      </c>
      <c r="B8" s="9" t="str">
        <f t="shared" si="1"/>
        <v>Мр.</v>
      </c>
      <c r="C8" s="11" t="str">
        <f t="shared" si="2"/>
        <v>31</v>
      </c>
      <c r="D8" s="9"/>
      <c r="E8" s="13" t="s">
        <v>1407</v>
      </c>
      <c r="F8" s="14"/>
      <c r="G8" s="15" t="s">
        <v>913</v>
      </c>
      <c r="H8" s="16" t="s">
        <v>20</v>
      </c>
      <c r="I8" s="73">
        <v>4.0</v>
      </c>
      <c r="J8" s="54"/>
      <c r="K8" s="55">
        <v>6.0</v>
      </c>
      <c r="L8" s="18">
        <f>IFNA( VLOOKUP(LEFT(E8, IFERROR(FIND(" ", E8, 1),1) - 1), lists!$A$31:$B$37, 2, FALSE),"")</f>
        <v>6</v>
      </c>
      <c r="M8" s="18" t="str">
        <f>IFERROR(__xludf.DUMMYFUNCTION("IFNA(VLOOKUP(IFNA(REGEXEXTRACT(E8, ""(Пасхи|50-ці|посту)""),""""),lists!$A$39:$B$41,2,FALSE),"""")"),"lent")</f>
        <v>lent</v>
      </c>
      <c r="N8" s="19" t="str">
        <f>IFERROR(__xludf.DUMMYFUNCTION("IFNA(REGEXEXTRACT(E8, ""\d{1,2}""),"""")"),"4")</f>
        <v>4</v>
      </c>
      <c r="O8" s="14" t="b">
        <f t="shared" si="3"/>
        <v>0</v>
      </c>
    </row>
    <row r="9">
      <c r="A9" s="13" t="s">
        <v>1424</v>
      </c>
      <c r="B9" s="9" t="str">
        <f t="shared" si="1"/>
        <v>Мр.</v>
      </c>
      <c r="C9" s="11" t="str">
        <f t="shared" si="2"/>
        <v>40</v>
      </c>
      <c r="D9" s="9"/>
      <c r="E9" s="13" t="s">
        <v>1425</v>
      </c>
      <c r="F9" s="14"/>
      <c r="G9" s="15" t="s">
        <v>913</v>
      </c>
      <c r="H9" s="16" t="s">
        <v>20</v>
      </c>
      <c r="I9" s="73">
        <v>4.0</v>
      </c>
      <c r="J9" s="54"/>
      <c r="K9" s="55">
        <v>7.0</v>
      </c>
      <c r="L9" s="18">
        <f>IFNA( VLOOKUP(LEFT(E9, IFERROR(FIND(" ", E9, 1),1) - 1), lists!$A$31:$B$37, 2, FALSE),"")</f>
        <v>7</v>
      </c>
      <c r="M9" s="18" t="str">
        <f>IFERROR(__xludf.DUMMYFUNCTION("IFNA(VLOOKUP(IFNA(REGEXEXTRACT(E9, ""(Пасхи|50-ці|посту)""),""""),lists!$A$39:$B$41,2,FALSE),"""")"),"lent")</f>
        <v>lent</v>
      </c>
      <c r="N9" s="19" t="str">
        <f>IFERROR(__xludf.DUMMYFUNCTION("IFNA(REGEXEXTRACT(E9, ""\d{1,2}""),"""")"),"4")</f>
        <v>4</v>
      </c>
      <c r="O9" s="14" t="b">
        <f t="shared" si="3"/>
        <v>0</v>
      </c>
    </row>
    <row r="10">
      <c r="A10" s="13" t="s">
        <v>1414</v>
      </c>
      <c r="B10" s="9" t="str">
        <f t="shared" si="1"/>
        <v>Мр.</v>
      </c>
      <c r="C10" s="11" t="str">
        <f t="shared" si="2"/>
        <v>35</v>
      </c>
      <c r="D10" s="9"/>
      <c r="E10" s="13" t="s">
        <v>1415</v>
      </c>
      <c r="F10" s="14"/>
      <c r="G10" s="15" t="s">
        <v>913</v>
      </c>
      <c r="H10" s="16" t="s">
        <v>20</v>
      </c>
      <c r="I10" s="73">
        <v>5.0</v>
      </c>
      <c r="J10" s="54"/>
      <c r="K10" s="55">
        <v>6.0</v>
      </c>
      <c r="L10" s="18">
        <f>IFNA( VLOOKUP(LEFT(E10, IFERROR(FIND(" ", E10, 1),1) - 1), lists!$A$31:$B$37, 2, FALSE),"")</f>
        <v>6</v>
      </c>
      <c r="M10" s="18" t="str">
        <f>IFERROR(__xludf.DUMMYFUNCTION("IFNA(VLOOKUP(IFNA(REGEXEXTRACT(E10, ""(Пасхи|50-ці|посту)""),""""),lists!$A$39:$B$41,2,FALSE),"""")"),"lent")</f>
        <v>lent</v>
      </c>
      <c r="N10" s="19" t="str">
        <f>IFERROR(__xludf.DUMMYFUNCTION("IFNA(REGEXEXTRACT(E10, ""\d{1,2}""),"""")"),"5")</f>
        <v>5</v>
      </c>
      <c r="O10" s="14" t="b">
        <f t="shared" si="3"/>
        <v>0</v>
      </c>
    </row>
    <row r="11">
      <c r="A11" s="13" t="s">
        <v>1438</v>
      </c>
      <c r="B11" s="9" t="str">
        <f t="shared" si="1"/>
        <v>Мр.</v>
      </c>
      <c r="C11" s="11" t="str">
        <f t="shared" si="2"/>
        <v>47</v>
      </c>
      <c r="D11" s="9"/>
      <c r="E11" s="13" t="s">
        <v>1439</v>
      </c>
      <c r="F11" s="14"/>
      <c r="G11" s="15" t="s">
        <v>913</v>
      </c>
      <c r="H11" s="16" t="s">
        <v>20</v>
      </c>
      <c r="I11" s="73">
        <v>5.0</v>
      </c>
      <c r="J11" s="54"/>
      <c r="K11" s="55">
        <v>7.0</v>
      </c>
      <c r="L11" s="18">
        <f>IFNA( VLOOKUP(LEFT(E11, IFERROR(FIND(" ", E11, 1),1) - 1), lists!$A$31:$B$37, 2, FALSE),"")</f>
        <v>7</v>
      </c>
      <c r="M11" s="18" t="str">
        <f>IFERROR(__xludf.DUMMYFUNCTION("IFNA(VLOOKUP(IFNA(REGEXEXTRACT(E11, ""(Пасхи|50-ці|посту)""),""""),lists!$A$39:$B$41,2,FALSE),"""")"),"lent")</f>
        <v>lent</v>
      </c>
      <c r="N11" s="19" t="str">
        <f>IFERROR(__xludf.DUMMYFUNCTION("IFNA(REGEXEXTRACT(E11, ""\d{1,2}""),"""")"),"5")</f>
        <v>5</v>
      </c>
      <c r="O11" s="14" t="b">
        <f t="shared" si="3"/>
        <v>0</v>
      </c>
    </row>
    <row r="12">
      <c r="A12" s="13" t="s">
        <v>1062</v>
      </c>
      <c r="B12" s="9" t="str">
        <f t="shared" si="1"/>
        <v>Йо.</v>
      </c>
      <c r="C12" s="11" t="str">
        <f t="shared" si="2"/>
        <v>39</v>
      </c>
      <c r="D12" s="9"/>
      <c r="E12" s="13" t="s">
        <v>942</v>
      </c>
      <c r="F12" s="14"/>
      <c r="G12" s="15" t="s">
        <v>913</v>
      </c>
      <c r="H12" s="16" t="s">
        <v>20</v>
      </c>
      <c r="I12" s="53">
        <v>6.0</v>
      </c>
      <c r="J12" s="54"/>
      <c r="K12" s="55">
        <v>6.0</v>
      </c>
      <c r="L12" s="18" t="str">
        <f>IFNA( VLOOKUP(LEFT(E12, IFERROR(FIND(" ", E12, 1),1) - 1), lists!$A$31:$B$37, 2, FALSE),"")</f>
        <v/>
      </c>
      <c r="M12" s="18" t="str">
        <f>IFERROR(__xludf.DUMMYFUNCTION("IFNA(VLOOKUP(IFNA(REGEXEXTRACT(E12, ""(Пасхи|50-ці|посту)""),""""),lists!$A$39:$B$41,2,FALSE),"""")"),"")</f>
        <v/>
      </c>
      <c r="N12" s="19" t="str">
        <f>IFERROR(__xludf.DUMMYFUNCTION("IFNA(REGEXEXTRACT(E12, ""\d{1,2}""),"""")"),"")</f>
        <v/>
      </c>
      <c r="O12" s="14" t="b">
        <f t="shared" si="3"/>
        <v>0</v>
      </c>
    </row>
    <row r="13">
      <c r="A13" s="13" t="s">
        <v>1650</v>
      </c>
      <c r="B13" s="9" t="str">
        <f t="shared" si="1"/>
        <v>Мт.</v>
      </c>
      <c r="C13" s="11" t="str">
        <f t="shared" si="2"/>
        <v>83</v>
      </c>
      <c r="D13" s="26" t="s">
        <v>22</v>
      </c>
      <c r="E13" s="13" t="s">
        <v>1651</v>
      </c>
      <c r="F13" s="14"/>
      <c r="G13" s="15" t="s">
        <v>1744</v>
      </c>
      <c r="H13" s="16" t="s">
        <v>20</v>
      </c>
      <c r="I13" s="53">
        <v>6.0</v>
      </c>
      <c r="J13" s="54"/>
      <c r="K13" s="55">
        <v>7.0</v>
      </c>
      <c r="L13" s="18" t="str">
        <f>IFNA( VLOOKUP(LEFT(E13, IFERROR(FIND(" ", E13, 1),1) - 1), lists!$A$31:$B$37, 2, FALSE),"")</f>
        <v/>
      </c>
      <c r="M13" s="18" t="str">
        <f>IFERROR(__xludf.DUMMYFUNCTION("IFNA(VLOOKUP(IFNA(REGEXEXTRACT(E13, ""(Пасхи|50-ці|посту)""),""""),lists!$A$39:$B$41,2,FALSE),"""")"),"")</f>
        <v/>
      </c>
      <c r="N13" s="19" t="str">
        <f>IFERROR(__xludf.DUMMYFUNCTION("IFNA(REGEXEXTRACT(E13, ""\d{1,2}""),"""")"),"")</f>
        <v/>
      </c>
      <c r="O13" s="14" t="b">
        <f t="shared" si="3"/>
        <v>0</v>
      </c>
    </row>
    <row r="14">
      <c r="A14" s="13" t="s">
        <v>1064</v>
      </c>
      <c r="B14" s="9" t="str">
        <f t="shared" si="1"/>
        <v>Йо.</v>
      </c>
      <c r="C14" s="11" t="str">
        <f t="shared" si="2"/>
        <v>41</v>
      </c>
      <c r="D14" s="26" t="s">
        <v>18</v>
      </c>
      <c r="E14" s="21" t="s">
        <v>946</v>
      </c>
      <c r="F14" s="13"/>
      <c r="G14" s="15" t="s">
        <v>913</v>
      </c>
      <c r="H14" s="16" t="s">
        <v>20</v>
      </c>
      <c r="I14" s="53">
        <v>6.0</v>
      </c>
      <c r="J14" s="54"/>
      <c r="K14" s="55">
        <v>7.0</v>
      </c>
      <c r="L14" s="18" t="str">
        <f>IFNA( VLOOKUP(LEFT(E14, IFERROR(FIND(" ", E14, 1),1) - 1), lists!$A$31:$B$37, 2, FALSE),"")</f>
        <v/>
      </c>
      <c r="M14" s="18" t="str">
        <f>IFERROR(__xludf.DUMMYFUNCTION("IFNA(VLOOKUP(IFNA(REGEXEXTRACT(E14, ""(Пасхи|50-ці|посту)""),""""),lists!$A$39:$B$41,2,FALSE),"""")"),"")</f>
        <v/>
      </c>
      <c r="N14" s="19" t="str">
        <f>IFERROR(__xludf.DUMMYFUNCTION("IFNA(REGEXEXTRACT(E14, ""\d{1,2}""),"""")"),"")</f>
        <v/>
      </c>
      <c r="O14" s="14" t="b">
        <f t="shared" si="3"/>
        <v>0</v>
      </c>
    </row>
    <row r="15">
      <c r="A15" s="13" t="s">
        <v>1656</v>
      </c>
      <c r="B15" s="9" t="str">
        <f t="shared" si="1"/>
        <v>Мт.</v>
      </c>
      <c r="C15" s="11" t="str">
        <f t="shared" si="2"/>
        <v>84</v>
      </c>
      <c r="D15" s="26" t="s">
        <v>22</v>
      </c>
      <c r="E15" s="21" t="s">
        <v>1657</v>
      </c>
      <c r="F15" s="14"/>
      <c r="G15" s="15" t="s">
        <v>1744</v>
      </c>
      <c r="H15" s="16" t="s">
        <v>20</v>
      </c>
      <c r="I15" s="53">
        <v>7.0</v>
      </c>
      <c r="J15" s="54"/>
      <c r="K15" s="55">
        <v>1.0</v>
      </c>
      <c r="L15" s="18" t="str">
        <f>IFNA( VLOOKUP(LEFT(E15, IFERROR(FIND(" ", E15, 1),1) - 1), lists!$A$31:$B$37, 2, FALSE),"")</f>
        <v/>
      </c>
      <c r="M15" s="18" t="str">
        <f>IFERROR(__xludf.DUMMYFUNCTION("IFNA(VLOOKUP(IFNA(REGEXEXTRACT(E15, ""(Пасхи|50-ці|посту)""),""""),lists!$A$39:$B$41,2,FALSE),"""")"),"")</f>
        <v/>
      </c>
      <c r="N15" s="19" t="str">
        <f>IFERROR(__xludf.DUMMYFUNCTION("IFNA(REGEXEXTRACT(E15, ""\d{1,2}""),"""")"),"")</f>
        <v/>
      </c>
      <c r="O15" s="14" t="b">
        <f t="shared" si="3"/>
        <v>0</v>
      </c>
    </row>
    <row r="16">
      <c r="A16" s="13" t="s">
        <v>1686</v>
      </c>
      <c r="B16" s="9" t="str">
        <f t="shared" si="1"/>
        <v>Мт.</v>
      </c>
      <c r="C16" s="11" t="str">
        <f t="shared" si="2"/>
        <v>98</v>
      </c>
      <c r="D16" s="9"/>
      <c r="E16" s="13" t="s">
        <v>1687</v>
      </c>
      <c r="F16" s="14"/>
      <c r="G16" s="15" t="s">
        <v>913</v>
      </c>
      <c r="H16" s="16" t="s">
        <v>20</v>
      </c>
      <c r="I16" s="53">
        <v>7.0</v>
      </c>
      <c r="J16" s="54"/>
      <c r="K16" s="55">
        <v>1.0</v>
      </c>
      <c r="L16" s="18" t="str">
        <f>IFNA( VLOOKUP(LEFT(E16, IFERROR(FIND(" ", E16, 1),1) - 1), lists!$A$31:$B$37, 2, FALSE),"")</f>
        <v/>
      </c>
      <c r="M16" s="18" t="str">
        <f>IFERROR(__xludf.DUMMYFUNCTION("IFNA(VLOOKUP(IFNA(REGEXEXTRACT(E16, ""(Пасхи|50-ці|посту)""),""""),lists!$A$39:$B$41,2,FALSE),"""")"),"")</f>
        <v/>
      </c>
      <c r="N16" s="19" t="str">
        <f>IFERROR(__xludf.DUMMYFUNCTION("IFNA(REGEXEXTRACT(E16, ""\d{1,2}""),"""")"),"")</f>
        <v/>
      </c>
      <c r="O16" s="14" t="b">
        <f t="shared" si="3"/>
        <v>0</v>
      </c>
    </row>
    <row r="17">
      <c r="A17" s="13" t="s">
        <v>1694</v>
      </c>
      <c r="B17" s="9" t="str">
        <f t="shared" si="1"/>
        <v>Мт.</v>
      </c>
      <c r="C17" s="11" t="str">
        <f t="shared" si="2"/>
        <v>102</v>
      </c>
      <c r="D17" s="9"/>
      <c r="E17" s="13" t="s">
        <v>1695</v>
      </c>
      <c r="F17" s="14"/>
      <c r="G17" s="15" t="s">
        <v>913</v>
      </c>
      <c r="H17" s="16" t="s">
        <v>20</v>
      </c>
      <c r="I17" s="53">
        <v>7.0</v>
      </c>
      <c r="J17" s="54"/>
      <c r="K17" s="55">
        <v>2.0</v>
      </c>
      <c r="L17" s="18" t="str">
        <f>IFNA( VLOOKUP(LEFT(E17, IFERROR(FIND(" ", E17, 1),1) - 1), lists!$A$31:$B$37, 2, FALSE),"")</f>
        <v/>
      </c>
      <c r="M17" s="18" t="str">
        <f>IFERROR(__xludf.DUMMYFUNCTION("IFNA(VLOOKUP(IFNA(REGEXEXTRACT(E17, ""(Пасхи|50-ці|посту)""),""""),lists!$A$39:$B$41,2,FALSE),"""")"),"")</f>
        <v/>
      </c>
      <c r="N17" s="19" t="str">
        <f>IFERROR(__xludf.DUMMYFUNCTION("IFNA(REGEXEXTRACT(E17, ""\d{1,2}""),"""")"),"")</f>
        <v/>
      </c>
      <c r="O17" s="14" t="b">
        <f t="shared" si="3"/>
        <v>0</v>
      </c>
    </row>
    <row r="18">
      <c r="A18" s="13" t="s">
        <v>1708</v>
      </c>
      <c r="B18" s="9" t="str">
        <f t="shared" si="1"/>
        <v>Мт.</v>
      </c>
      <c r="C18" s="11" t="str">
        <f t="shared" si="2"/>
        <v>108</v>
      </c>
      <c r="D18" s="9"/>
      <c r="E18" s="13" t="s">
        <v>1709</v>
      </c>
      <c r="F18" s="14"/>
      <c r="G18" s="15" t="s">
        <v>913</v>
      </c>
      <c r="H18" s="16" t="s">
        <v>20</v>
      </c>
      <c r="I18" s="53">
        <v>7.0</v>
      </c>
      <c r="J18" s="54"/>
      <c r="K18" s="55">
        <v>3.0</v>
      </c>
      <c r="L18" s="18" t="str">
        <f>IFNA( VLOOKUP(LEFT(E18, IFERROR(FIND(" ", E18, 1),1) - 1), lists!$A$31:$B$37, 2, FALSE),"")</f>
        <v/>
      </c>
      <c r="M18" s="18" t="str">
        <f>IFERROR(__xludf.DUMMYFUNCTION("IFNA(VLOOKUP(IFNA(REGEXEXTRACT(E18, ""(Пасхи|50-ці|посту)""),""""),lists!$A$39:$B$41,2,FALSE),"""")"),"")</f>
        <v/>
      </c>
      <c r="N18" s="19" t="str">
        <f>IFERROR(__xludf.DUMMYFUNCTION("IFNA(REGEXEXTRACT(E18, ""\d{1,2}""),"""")"),"")</f>
        <v/>
      </c>
      <c r="O18" s="14" t="b">
        <f t="shared" si="3"/>
        <v>0</v>
      </c>
    </row>
    <row r="19">
      <c r="A19" s="13" t="s">
        <v>1326</v>
      </c>
      <c r="B19" s="9" t="str">
        <f t="shared" si="1"/>
        <v>Лк.</v>
      </c>
      <c r="C19" s="11" t="str">
        <f t="shared" si="2"/>
        <v>108</v>
      </c>
      <c r="D19" s="12" t="s">
        <v>18</v>
      </c>
      <c r="E19" s="13" t="s">
        <v>1327</v>
      </c>
      <c r="F19" s="9"/>
      <c r="G19" s="15" t="s">
        <v>1744</v>
      </c>
      <c r="H19" s="16" t="s">
        <v>20</v>
      </c>
      <c r="I19" s="53">
        <v>7.0</v>
      </c>
      <c r="J19" s="54"/>
      <c r="K19" s="55">
        <v>4.0</v>
      </c>
      <c r="L19" s="18" t="str">
        <f>IFNA( VLOOKUP(LEFT(E19, IFERROR(FIND(" ", E19, 1),1) - 1), lists!$A$31:$B$37, 2, FALSE),"")</f>
        <v/>
      </c>
      <c r="M19" s="18" t="str">
        <f>IFERROR(__xludf.DUMMYFUNCTION("IFNA(VLOOKUP(IFNA(REGEXEXTRACT(E19, ""(Пасхи|50-ці|посту)""),""""),lists!$A$39:$B$41,2,FALSE),"""")"),"")</f>
        <v/>
      </c>
      <c r="N19" s="19" t="str">
        <f>IFERROR(__xludf.DUMMYFUNCTION("IFNA(REGEXEXTRACT(E19, ""\d{1,2}""),"""")"),"10")</f>
        <v>10</v>
      </c>
      <c r="O19" s="14" t="b">
        <f t="shared" si="3"/>
        <v>0</v>
      </c>
    </row>
    <row r="20">
      <c r="A20" s="79" t="s">
        <v>1704</v>
      </c>
      <c r="B20" s="9" t="str">
        <f t="shared" si="1"/>
        <v>Мт.</v>
      </c>
      <c r="C20" s="11" t="str">
        <f t="shared" si="2"/>
        <v>107</v>
      </c>
      <c r="D20" s="9"/>
      <c r="E20" s="13" t="s">
        <v>1705</v>
      </c>
      <c r="F20" s="14"/>
      <c r="G20" s="15" t="s">
        <v>913</v>
      </c>
      <c r="H20" s="16" t="s">
        <v>20</v>
      </c>
      <c r="I20" s="53">
        <v>7.0</v>
      </c>
      <c r="J20" s="54"/>
      <c r="K20" s="55">
        <v>4.0</v>
      </c>
      <c r="L20" s="18" t="str">
        <f>IFNA( VLOOKUP(LEFT(E20, IFERROR(FIND(" ", E20, 1),1) - 1), lists!$A$31:$B$37, 2, FALSE),"")</f>
        <v/>
      </c>
      <c r="M20" s="18" t="str">
        <f>IFERROR(__xludf.DUMMYFUNCTION("IFNA(VLOOKUP(IFNA(REGEXEXTRACT(E20, ""(Пасхи|50-ці|посту)""),""""),lists!$A$39:$B$41,2,FALSE),"""")"),"")</f>
        <v/>
      </c>
      <c r="N20" s="19" t="str">
        <f>IFERROR(__xludf.DUMMYFUNCTION("IFNA(REGEXEXTRACT(E20, ""\d{1,2}""),"""")"),"")</f>
        <v/>
      </c>
      <c r="O20" s="14" t="b">
        <f t="shared" si="3"/>
        <v>0</v>
      </c>
    </row>
    <row r="21">
      <c r="A21" s="13" t="s">
        <v>1725</v>
      </c>
      <c r="B21" s="9" t="str">
        <f t="shared" si="1"/>
        <v>Мт.</v>
      </c>
      <c r="C21" s="11" t="str">
        <f t="shared" si="2"/>
        <v>114</v>
      </c>
      <c r="D21" s="9"/>
      <c r="E21" s="21" t="s">
        <v>1726</v>
      </c>
      <c r="F21" s="14"/>
      <c r="G21" s="15" t="s">
        <v>1744</v>
      </c>
      <c r="H21" s="16" t="s">
        <v>20</v>
      </c>
      <c r="I21" s="55">
        <v>7.0</v>
      </c>
      <c r="J21" s="54"/>
      <c r="K21" s="55">
        <v>6.0</v>
      </c>
      <c r="L21" s="18" t="str">
        <f>IFNA( VLOOKUP(LEFT(E21, IFERROR(FIND(" ", E21, 1),1) - 1), lists!$A$31:$B$37, 2, FALSE),"")</f>
        <v/>
      </c>
      <c r="M21" s="18" t="str">
        <f>IFERROR(__xludf.DUMMYFUNCTION("IFNA(VLOOKUP(IFNA(REGEXEXTRACT(E21, ""(Пасхи|50-ці|посту)""),""""),lists!$A$39:$B$41,2,FALSE),"""")"),"")</f>
        <v/>
      </c>
      <c r="N21" s="19" t="str">
        <f>IFERROR(__xludf.DUMMYFUNCTION("IFNA(REGEXEXTRACT(E21, ""\d{1,2}""),"""")"),"12")</f>
        <v>12</v>
      </c>
      <c r="O21" s="14" t="b">
        <f t="shared" si="3"/>
        <v>0</v>
      </c>
    </row>
    <row r="22">
      <c r="A22" s="13" t="s">
        <v>1727</v>
      </c>
      <c r="B22" s="9" t="str">
        <f t="shared" si="1"/>
        <v>Мт.</v>
      </c>
      <c r="C22" s="11" t="str">
        <f t="shared" si="2"/>
        <v>115</v>
      </c>
      <c r="D22" s="9"/>
      <c r="E22" s="13" t="s">
        <v>1728</v>
      </c>
      <c r="F22" s="14"/>
      <c r="G22" s="15" t="s">
        <v>913</v>
      </c>
      <c r="H22" s="16" t="s">
        <v>20</v>
      </c>
      <c r="I22" s="55">
        <v>7.0</v>
      </c>
      <c r="J22" s="54"/>
      <c r="K22" s="55">
        <v>6.0</v>
      </c>
      <c r="L22" s="18" t="str">
        <f>IFNA( VLOOKUP(LEFT(E22, IFERROR(FIND(" ", E22, 1),1) - 1), lists!$A$31:$B$37, 2, FALSE),"")</f>
        <v/>
      </c>
      <c r="M22" s="18" t="str">
        <f>IFERROR(__xludf.DUMMYFUNCTION("IFNA(VLOOKUP(IFNA(REGEXEXTRACT(E22, ""(Пасхи|50-ці|посту)""),""""),lists!$A$39:$B$41,2,FALSE),"""")"),"")</f>
        <v/>
      </c>
      <c r="N22" s="19" t="str">
        <f>IFERROR(__xludf.DUMMYFUNCTION("IFNA(REGEXEXTRACT(E22, ""\d{1,2}""),"""")"),"")</f>
        <v/>
      </c>
      <c r="O22" s="14" t="b">
        <f t="shared" si="3"/>
        <v>0</v>
      </c>
    </row>
    <row r="23">
      <c r="A23" s="13" t="s">
        <v>1018</v>
      </c>
      <c r="B23" s="9" t="str">
        <f t="shared" si="1"/>
        <v>Йо.</v>
      </c>
      <c r="C23" s="11" t="str">
        <f t="shared" si="2"/>
        <v>1</v>
      </c>
      <c r="D23" s="9"/>
      <c r="E23" s="13" t="s">
        <v>862</v>
      </c>
      <c r="F23" s="14"/>
      <c r="G23" s="15" t="s">
        <v>913</v>
      </c>
      <c r="H23" s="16" t="s">
        <v>24</v>
      </c>
      <c r="I23" s="55">
        <v>1.0</v>
      </c>
      <c r="J23" s="54"/>
      <c r="K23" s="55">
        <v>0.0</v>
      </c>
      <c r="L23" s="18" t="str">
        <f>IFNA( VLOOKUP(LEFT(E23, IFERROR(FIND(" ", E23, 1),1) - 1), lists!$A$31:$B$37, 2, FALSE),"")</f>
        <v/>
      </c>
      <c r="M23" s="18" t="str">
        <f>IFERROR(__xludf.DUMMYFUNCTION("IFNA(VLOOKUP(IFNA(REGEXEXTRACT(E23, ""(Пасхи|50-ці|посту)""),""""),lists!$A$39:$B$41,2,FALSE),"""")"),"pascha")</f>
        <v>pascha</v>
      </c>
      <c r="N23" s="19" t="str">
        <f>IFERROR(__xludf.DUMMYFUNCTION("IFNA(REGEXEXTRACT(E23, ""\d{1,2}""),"""")"),"")</f>
        <v/>
      </c>
      <c r="O23" s="14" t="b">
        <f t="shared" si="3"/>
        <v>0</v>
      </c>
    </row>
    <row r="24">
      <c r="A24" s="13" t="s">
        <v>1019</v>
      </c>
      <c r="B24" s="9" t="str">
        <f t="shared" si="1"/>
        <v>Йо.</v>
      </c>
      <c r="C24" s="11" t="str">
        <f t="shared" si="2"/>
        <v>2</v>
      </c>
      <c r="D24" s="9"/>
      <c r="E24" s="13" t="s">
        <v>846</v>
      </c>
      <c r="F24" s="14"/>
      <c r="G24" s="15" t="s">
        <v>913</v>
      </c>
      <c r="H24" s="16" t="s">
        <v>24</v>
      </c>
      <c r="I24" s="55">
        <v>1.0</v>
      </c>
      <c r="J24" s="54"/>
      <c r="K24" s="55">
        <v>1.0</v>
      </c>
      <c r="L24" s="18">
        <f>IFNA( VLOOKUP(LEFT(E24, IFERROR(FIND(" ", E24, 1),1) - 1), lists!$A$31:$B$37, 2, FALSE),"")</f>
        <v>1</v>
      </c>
      <c r="M24" s="18" t="str">
        <f>IFERROR(__xludf.DUMMYFUNCTION("IFNA(VLOOKUP(IFNA(REGEXEXTRACT(E24, ""(Пасхи|50-ці|посту)""),""""),lists!$A$39:$B$41,2,FALSE),"""")"),"")</f>
        <v/>
      </c>
      <c r="N24" s="19" t="str">
        <f>IFERROR(__xludf.DUMMYFUNCTION("IFNA(REGEXEXTRACT(E24, ""\d{1,2}""),"""")"),"")</f>
        <v/>
      </c>
      <c r="O24" s="14" t="b">
        <f t="shared" si="3"/>
        <v>0</v>
      </c>
    </row>
    <row r="25">
      <c r="A25" s="13" t="s">
        <v>1338</v>
      </c>
      <c r="B25" s="9" t="str">
        <f t="shared" si="1"/>
        <v>Лк.</v>
      </c>
      <c r="C25" s="11" t="str">
        <f t="shared" si="2"/>
        <v>113</v>
      </c>
      <c r="D25" s="9"/>
      <c r="E25" s="13" t="s">
        <v>1740</v>
      </c>
      <c r="F25" s="14"/>
      <c r="G25" s="15" t="s">
        <v>913</v>
      </c>
      <c r="H25" s="16" t="s">
        <v>24</v>
      </c>
      <c r="I25" s="53">
        <v>1.0</v>
      </c>
      <c r="J25" s="54"/>
      <c r="K25" s="55">
        <v>2.0</v>
      </c>
      <c r="L25" s="18">
        <f>IFNA( VLOOKUP(LEFT(E25, IFERROR(FIND(" ", E25, 1),1) - 1), lists!$A$31:$B$37, 2, FALSE),"")</f>
        <v>2</v>
      </c>
      <c r="M25" s="18" t="str">
        <f>IFERROR(__xludf.DUMMYFUNCTION("IFNA(VLOOKUP(IFNA(REGEXEXTRACT(E25, ""(Пасхи|50-ці|посту)""),""""),lists!$A$39:$B$41,2,FALSE),"""")"),"")</f>
        <v/>
      </c>
      <c r="N25" s="19" t="str">
        <f>IFERROR(__xludf.DUMMYFUNCTION("IFNA(REGEXEXTRACT(E25, ""\d{1,2}""),"""")"),"5")</f>
        <v>5</v>
      </c>
      <c r="O25" s="14" t="b">
        <f t="shared" si="3"/>
        <v>0</v>
      </c>
    </row>
    <row r="26">
      <c r="A26" s="13" t="s">
        <v>1021</v>
      </c>
      <c r="B26" s="9" t="str">
        <f t="shared" si="1"/>
        <v>Йо.</v>
      </c>
      <c r="C26" s="11" t="str">
        <f t="shared" si="2"/>
        <v>4</v>
      </c>
      <c r="D26" s="9"/>
      <c r="E26" s="13" t="s">
        <v>867</v>
      </c>
      <c r="F26" s="14"/>
      <c r="G26" s="15" t="s">
        <v>913</v>
      </c>
      <c r="H26" s="16" t="s">
        <v>24</v>
      </c>
      <c r="I26" s="55">
        <v>1.0</v>
      </c>
      <c r="J26" s="54"/>
      <c r="K26" s="55">
        <v>3.0</v>
      </c>
      <c r="L26" s="18">
        <f>IFNA( VLOOKUP(LEFT(E26, IFERROR(FIND(" ", E26, 1),1) - 1), lists!$A$31:$B$37, 2, FALSE),"")</f>
        <v>3</v>
      </c>
      <c r="M26" s="18" t="str">
        <f>IFERROR(__xludf.DUMMYFUNCTION("IFNA(VLOOKUP(IFNA(REGEXEXTRACT(E26, ""(Пасхи|50-ці|посту)""),""""),lists!$A$39:$B$41,2,FALSE),"""")"),"")</f>
        <v/>
      </c>
      <c r="N26" s="19" t="str">
        <f>IFERROR(__xludf.DUMMYFUNCTION("IFNA(REGEXEXTRACT(E26, ""\d{1,2}""),"""")"),"")</f>
        <v/>
      </c>
      <c r="O26" s="14" t="b">
        <f t="shared" si="3"/>
        <v>0</v>
      </c>
    </row>
    <row r="27">
      <c r="A27" s="13" t="s">
        <v>1025</v>
      </c>
      <c r="B27" s="9" t="str">
        <f t="shared" si="1"/>
        <v>Йо.</v>
      </c>
      <c r="C27" s="11" t="str">
        <f t="shared" si="2"/>
        <v>8</v>
      </c>
      <c r="D27" s="9"/>
      <c r="E27" s="13" t="s">
        <v>35</v>
      </c>
      <c r="F27" s="14"/>
      <c r="G27" s="15" t="s">
        <v>913</v>
      </c>
      <c r="H27" s="16" t="s">
        <v>24</v>
      </c>
      <c r="I27" s="55">
        <v>1.0</v>
      </c>
      <c r="J27" s="54"/>
      <c r="K27" s="55">
        <v>4.0</v>
      </c>
      <c r="L27" s="18">
        <f>IFNA( VLOOKUP(LEFT(E27, IFERROR(FIND(" ", E27, 1),1) - 1), lists!$A$31:$B$37, 2, FALSE),"")</f>
        <v>4</v>
      </c>
      <c r="M27" s="18" t="str">
        <f>IFERROR(__xludf.DUMMYFUNCTION("IFNA(VLOOKUP(IFNA(REGEXEXTRACT(E27, ""(Пасхи|50-ці|посту)""),""""),lists!$A$39:$B$41,2,FALSE),"""")"),"")</f>
        <v/>
      </c>
      <c r="N27" s="19" t="str">
        <f>IFERROR(__xludf.DUMMYFUNCTION("IFNA(REGEXEXTRACT(E27, ""\d{1,2}""),"""")"),"")</f>
        <v/>
      </c>
      <c r="O27" s="14" t="b">
        <f t="shared" si="3"/>
        <v>0</v>
      </c>
    </row>
    <row r="28">
      <c r="A28" s="13" t="s">
        <v>1024</v>
      </c>
      <c r="B28" s="9" t="str">
        <f t="shared" si="1"/>
        <v>Йо.</v>
      </c>
      <c r="C28" s="11" t="str">
        <f t="shared" si="2"/>
        <v>7</v>
      </c>
      <c r="D28" s="9"/>
      <c r="E28" s="13" t="s">
        <v>37</v>
      </c>
      <c r="F28" s="14"/>
      <c r="G28" s="15" t="s">
        <v>913</v>
      </c>
      <c r="H28" s="16" t="s">
        <v>24</v>
      </c>
      <c r="I28" s="55">
        <v>1.0</v>
      </c>
      <c r="J28" s="54"/>
      <c r="K28" s="55">
        <v>5.0</v>
      </c>
      <c r="L28" s="18">
        <f>IFNA( VLOOKUP(LEFT(E28, IFERROR(FIND(" ", E28, 1),1) - 1), lists!$A$31:$B$37, 2, FALSE),"")</f>
        <v>5</v>
      </c>
      <c r="M28" s="18" t="str">
        <f>IFERROR(__xludf.DUMMYFUNCTION("IFNA(VLOOKUP(IFNA(REGEXEXTRACT(E28, ""(Пасхи|50-ці|посту)""),""""),lists!$A$39:$B$41,2,FALSE),"""")"),"")</f>
        <v/>
      </c>
      <c r="N28" s="19" t="str">
        <f>IFERROR(__xludf.DUMMYFUNCTION("IFNA(REGEXEXTRACT(E28, ""\d{1,2}""),"""")"),"")</f>
        <v/>
      </c>
      <c r="O28" s="14" t="b">
        <f t="shared" si="3"/>
        <v>0</v>
      </c>
    </row>
    <row r="29">
      <c r="A29" s="13" t="s">
        <v>1029</v>
      </c>
      <c r="B29" s="9" t="str">
        <f t="shared" si="1"/>
        <v>Йо.</v>
      </c>
      <c r="C29" s="11" t="str">
        <f t="shared" si="2"/>
        <v>11</v>
      </c>
      <c r="D29" s="9"/>
      <c r="E29" s="13" t="s">
        <v>39</v>
      </c>
      <c r="F29" s="14"/>
      <c r="G29" s="15" t="s">
        <v>913</v>
      </c>
      <c r="H29" s="16" t="s">
        <v>24</v>
      </c>
      <c r="I29" s="55">
        <v>1.0</v>
      </c>
      <c r="J29" s="54"/>
      <c r="K29" s="55">
        <v>6.0</v>
      </c>
      <c r="L29" s="18">
        <f>IFNA( VLOOKUP(LEFT(E29, IFERROR(FIND(" ", E29, 1),1) - 1), lists!$A$31:$B$37, 2, FALSE),"")</f>
        <v>6</v>
      </c>
      <c r="M29" s="18" t="str">
        <f>IFERROR(__xludf.DUMMYFUNCTION("IFNA(VLOOKUP(IFNA(REGEXEXTRACT(E29, ""(Пасхи|50-ці|посту)""),""""),lists!$A$39:$B$41,2,FALSE),"""")"),"")</f>
        <v/>
      </c>
      <c r="N29" s="19" t="str">
        <f>IFERROR(__xludf.DUMMYFUNCTION("IFNA(REGEXEXTRACT(E29, ""\d{1,2}""),"""")"),"")</f>
        <v/>
      </c>
      <c r="O29" s="14" t="b">
        <f t="shared" si="3"/>
        <v>0</v>
      </c>
    </row>
    <row r="30">
      <c r="A30" s="13" t="s">
        <v>1098</v>
      </c>
      <c r="B30" s="9" t="str">
        <f t="shared" si="1"/>
        <v>Йо.</v>
      </c>
      <c r="C30" s="11" t="str">
        <f t="shared" si="2"/>
        <v>65</v>
      </c>
      <c r="D30" s="26" t="s">
        <v>18</v>
      </c>
      <c r="E30" s="13" t="s">
        <v>1012</v>
      </c>
      <c r="F30" s="14"/>
      <c r="G30" s="15" t="s">
        <v>913</v>
      </c>
      <c r="H30" s="16" t="s">
        <v>24</v>
      </c>
      <c r="I30" s="53">
        <v>2.0</v>
      </c>
      <c r="J30" s="54"/>
      <c r="K30" s="55">
        <v>0.0</v>
      </c>
      <c r="L30" s="18" t="str">
        <f>IFNA( VLOOKUP(LEFT(E30, IFERROR(FIND(" ", E30, 1),1) - 1), lists!$A$31:$B$37, 2, FALSE),"")</f>
        <v/>
      </c>
      <c r="M30" s="18" t="str">
        <f>IFERROR(__xludf.DUMMYFUNCTION("IFNA(VLOOKUP(IFNA(REGEXEXTRACT(E30, ""(Пасхи|50-ці|посту)""),""""),lists!$A$39:$B$41,2,FALSE),"""")"),"")</f>
        <v/>
      </c>
      <c r="N30" s="19" t="str">
        <f>IFERROR(__xludf.DUMMYFUNCTION("IFNA(REGEXEXTRACT(E30, ""\d{1,2}""),"""")"),"9")</f>
        <v>9</v>
      </c>
      <c r="O30" s="14" t="b">
        <f t="shared" si="3"/>
        <v>0</v>
      </c>
    </row>
    <row r="31">
      <c r="A31" s="13" t="s">
        <v>1023</v>
      </c>
      <c r="B31" s="9" t="str">
        <f t="shared" si="1"/>
        <v>Йо.</v>
      </c>
      <c r="C31" s="11" t="str">
        <f t="shared" si="2"/>
        <v>6</v>
      </c>
      <c r="D31" s="9"/>
      <c r="E31" s="13" t="s">
        <v>871</v>
      </c>
      <c r="F31" s="14"/>
      <c r="G31" s="15" t="s">
        <v>913</v>
      </c>
      <c r="H31" s="16" t="s">
        <v>24</v>
      </c>
      <c r="I31" s="54">
        <v>2.0</v>
      </c>
      <c r="J31" s="54"/>
      <c r="K31" s="55">
        <v>1.0</v>
      </c>
      <c r="L31" s="18">
        <f>IFNA( VLOOKUP(LEFT(E31, IFERROR(FIND(" ", E31, 1),1) - 1), lists!$A$31:$B$37, 2, FALSE),"")</f>
        <v>1</v>
      </c>
      <c r="M31" s="18" t="str">
        <f>IFERROR(__xludf.DUMMYFUNCTION("IFNA(VLOOKUP(IFNA(REGEXEXTRACT(E31, ""(Пасхи|50-ці|посту)""),""""),lists!$A$39:$B$41,2,FALSE),"""")"),"")</f>
        <v/>
      </c>
      <c r="N31" s="19" t="str">
        <f>IFERROR(__xludf.DUMMYFUNCTION("IFNA(REGEXEXTRACT(E31, ""\d{1,2}""),"""")"),"2")</f>
        <v>2</v>
      </c>
      <c r="O31" s="14" t="b">
        <f t="shared" si="3"/>
        <v>0</v>
      </c>
    </row>
    <row r="32">
      <c r="A32" s="13" t="s">
        <v>1028</v>
      </c>
      <c r="B32" s="9" t="str">
        <f t="shared" si="1"/>
        <v>Йо.</v>
      </c>
      <c r="C32" s="11" t="str">
        <f t="shared" si="2"/>
        <v>10</v>
      </c>
      <c r="D32" s="9"/>
      <c r="E32" s="13" t="s">
        <v>877</v>
      </c>
      <c r="F32" s="14"/>
      <c r="G32" s="15" t="s">
        <v>913</v>
      </c>
      <c r="H32" s="16" t="s">
        <v>24</v>
      </c>
      <c r="I32" s="54">
        <v>2.0</v>
      </c>
      <c r="J32" s="54"/>
      <c r="K32" s="55">
        <v>2.0</v>
      </c>
      <c r="L32" s="18">
        <f>IFNA( VLOOKUP(LEFT(E32, IFERROR(FIND(" ", E32, 1),1) - 1), lists!$A$31:$B$37, 2, FALSE),"")</f>
        <v>2</v>
      </c>
      <c r="M32" s="18" t="str">
        <f>IFERROR(__xludf.DUMMYFUNCTION("IFNA(VLOOKUP(IFNA(REGEXEXTRACT(E32, ""(Пасхи|50-ці|посту)""),""""),lists!$A$39:$B$41,2,FALSE),"""")"),"")</f>
        <v/>
      </c>
      <c r="N32" s="19" t="str">
        <f>IFERROR(__xludf.DUMMYFUNCTION("IFNA(REGEXEXTRACT(E32, ""\d{1,2}""),"""")"),"2")</f>
        <v>2</v>
      </c>
      <c r="O32" s="14" t="b">
        <f t="shared" si="3"/>
        <v>0</v>
      </c>
    </row>
    <row r="33">
      <c r="A33" s="13" t="s">
        <v>1034</v>
      </c>
      <c r="B33" s="9" t="str">
        <f t="shared" si="1"/>
        <v>Йо.</v>
      </c>
      <c r="C33" s="11" t="str">
        <f t="shared" si="2"/>
        <v>15</v>
      </c>
      <c r="D33" s="9"/>
      <c r="E33" s="13" t="s">
        <v>886</v>
      </c>
      <c r="F33" s="14"/>
      <c r="G33" s="15" t="s">
        <v>913</v>
      </c>
      <c r="H33" s="16" t="s">
        <v>24</v>
      </c>
      <c r="I33" s="73">
        <v>2.0</v>
      </c>
      <c r="J33" s="54"/>
      <c r="K33" s="55">
        <v>3.0</v>
      </c>
      <c r="L33" s="18">
        <f>IFNA( VLOOKUP(LEFT(E33, IFERROR(FIND(" ", E33, 1),1) - 1), lists!$A$31:$B$37, 2, FALSE),"")</f>
        <v>3</v>
      </c>
      <c r="M33" s="18" t="str">
        <f>IFERROR(__xludf.DUMMYFUNCTION("IFNA(VLOOKUP(IFNA(REGEXEXTRACT(E33, ""(Пасхи|50-ці|посту)""),""""),lists!$A$39:$B$41,2,FALSE),"""")"),"")</f>
        <v/>
      </c>
      <c r="N33" s="19" t="str">
        <f>IFERROR(__xludf.DUMMYFUNCTION("IFNA(REGEXEXTRACT(E33, ""\d{1,2}""),"""")"),"2")</f>
        <v>2</v>
      </c>
      <c r="O33" s="14" t="b">
        <f t="shared" si="3"/>
        <v>0</v>
      </c>
    </row>
    <row r="34">
      <c r="A34" s="13" t="s">
        <v>1035</v>
      </c>
      <c r="B34" s="9" t="str">
        <f t="shared" si="1"/>
        <v>Йо.</v>
      </c>
      <c r="C34" s="11" t="str">
        <f t="shared" si="2"/>
        <v>16</v>
      </c>
      <c r="D34" s="9"/>
      <c r="E34" s="13" t="s">
        <v>888</v>
      </c>
      <c r="F34" s="14"/>
      <c r="G34" s="15" t="s">
        <v>913</v>
      </c>
      <c r="H34" s="16" t="s">
        <v>24</v>
      </c>
      <c r="I34" s="73">
        <v>2.0</v>
      </c>
      <c r="J34" s="54"/>
      <c r="K34" s="55">
        <v>4.0</v>
      </c>
      <c r="L34" s="18">
        <f>IFNA( VLOOKUP(LEFT(E34, IFERROR(FIND(" ", E34, 1),1) - 1), lists!$A$31:$B$37, 2, FALSE),"")</f>
        <v>4</v>
      </c>
      <c r="M34" s="18" t="str">
        <f>IFERROR(__xludf.DUMMYFUNCTION("IFNA(VLOOKUP(IFNA(REGEXEXTRACT(E34, ""(Пасхи|50-ці|посту)""),""""),lists!$A$39:$B$41,2,FALSE),"""")"),"")</f>
        <v/>
      </c>
      <c r="N34" s="19" t="str">
        <f>IFERROR(__xludf.DUMMYFUNCTION("IFNA(REGEXEXTRACT(E34, ""\d{1,2}""),"""")"),"2")</f>
        <v>2</v>
      </c>
      <c r="O34" s="14" t="b">
        <f t="shared" si="3"/>
        <v>0</v>
      </c>
    </row>
    <row r="35">
      <c r="A35" s="13" t="s">
        <v>1036</v>
      </c>
      <c r="B35" s="9" t="str">
        <f t="shared" si="1"/>
        <v>Йо.</v>
      </c>
      <c r="C35" s="11" t="str">
        <f t="shared" si="2"/>
        <v>17</v>
      </c>
      <c r="D35" s="9"/>
      <c r="E35" s="13" t="s">
        <v>890</v>
      </c>
      <c r="F35" s="14"/>
      <c r="G35" s="15" t="s">
        <v>913</v>
      </c>
      <c r="H35" s="16" t="s">
        <v>24</v>
      </c>
      <c r="I35" s="73">
        <v>2.0</v>
      </c>
      <c r="J35" s="54"/>
      <c r="K35" s="55">
        <v>5.0</v>
      </c>
      <c r="L35" s="18">
        <f>IFNA( VLOOKUP(LEFT(E35, IFERROR(FIND(" ", E35, 1),1) - 1), lists!$A$31:$B$37, 2, FALSE),"")</f>
        <v>5</v>
      </c>
      <c r="M35" s="18" t="str">
        <f>IFERROR(__xludf.DUMMYFUNCTION("IFNA(VLOOKUP(IFNA(REGEXEXTRACT(E35, ""(Пасхи|50-ці|посту)""),""""),lists!$A$39:$B$41,2,FALSE),"""")"),"")</f>
        <v/>
      </c>
      <c r="N35" s="19" t="str">
        <f>IFERROR(__xludf.DUMMYFUNCTION("IFNA(REGEXEXTRACT(E35, ""\d{1,2}""),"""")"),"2")</f>
        <v>2</v>
      </c>
      <c r="O35" s="14" t="b">
        <f t="shared" si="3"/>
        <v>0</v>
      </c>
    </row>
    <row r="36">
      <c r="A36" s="13" t="s">
        <v>1038</v>
      </c>
      <c r="B36" s="9" t="str">
        <f t="shared" si="1"/>
        <v>Йо.</v>
      </c>
      <c r="C36" s="11" t="str">
        <f t="shared" si="2"/>
        <v>19</v>
      </c>
      <c r="D36" s="9"/>
      <c r="E36" s="13" t="s">
        <v>894</v>
      </c>
      <c r="F36" s="14"/>
      <c r="G36" s="15" t="s">
        <v>913</v>
      </c>
      <c r="H36" s="16" t="s">
        <v>24</v>
      </c>
      <c r="I36" s="73">
        <v>2.0</v>
      </c>
      <c r="J36" s="54"/>
      <c r="K36" s="55">
        <v>6.0</v>
      </c>
      <c r="L36" s="18">
        <f>IFNA( VLOOKUP(LEFT(E36, IFERROR(FIND(" ", E36, 1),1) - 1), lists!$A$31:$B$37, 2, FALSE),"")</f>
        <v>6</v>
      </c>
      <c r="M36" s="18" t="str">
        <f>IFERROR(__xludf.DUMMYFUNCTION("IFNA(VLOOKUP(IFNA(REGEXEXTRACT(E36, ""(Пасхи|50-ці|посту)""),""""),lists!$A$39:$B$41,2,FALSE),"""")"),"pascha")</f>
        <v>pascha</v>
      </c>
      <c r="N36" s="19" t="str">
        <f>IFERROR(__xludf.DUMMYFUNCTION("IFNA(REGEXEXTRACT(E36, ""\d{1,2}""),"""")"),"2")</f>
        <v>2</v>
      </c>
      <c r="O36" s="14" t="b">
        <f t="shared" si="3"/>
        <v>0</v>
      </c>
    </row>
    <row r="37">
      <c r="A37" s="13" t="s">
        <v>1484</v>
      </c>
      <c r="B37" s="9" t="str">
        <f t="shared" si="1"/>
        <v>Мр.</v>
      </c>
      <c r="C37" s="11" t="str">
        <f t="shared" si="2"/>
        <v>69</v>
      </c>
      <c r="D37" s="26" t="s">
        <v>18</v>
      </c>
      <c r="E37" s="13" t="s">
        <v>1485</v>
      </c>
      <c r="F37" s="14"/>
      <c r="G37" s="15" t="s">
        <v>913</v>
      </c>
      <c r="H37" s="16" t="s">
        <v>24</v>
      </c>
      <c r="I37" s="53">
        <v>3.0</v>
      </c>
      <c r="J37" s="54"/>
      <c r="K37" s="55">
        <v>0.0</v>
      </c>
      <c r="L37" s="18" t="str">
        <f>IFNA( VLOOKUP(LEFT(E37, IFERROR(FIND(" ", E37, 1),1) - 1), lists!$A$31:$B$37, 2, FALSE),"")</f>
        <v/>
      </c>
      <c r="M37" s="18" t="str">
        <f>IFERROR(__xludf.DUMMYFUNCTION("IFNA(VLOOKUP(IFNA(REGEXEXTRACT(E37, ""(Пасхи|50-ці|посту)""),""""),lists!$A$39:$B$41,2,FALSE),"""")"),"pascha")</f>
        <v>pascha</v>
      </c>
      <c r="N37" s="19" t="str">
        <f>IFERROR(__xludf.DUMMYFUNCTION("IFNA(REGEXEXTRACT(E37, ""\d{1,2}""),"""")"),"3")</f>
        <v>3</v>
      </c>
      <c r="O37" s="14" t="b">
        <f t="shared" si="3"/>
        <v>0</v>
      </c>
    </row>
    <row r="38">
      <c r="A38" s="13" t="s">
        <v>1031</v>
      </c>
      <c r="B38" s="9" t="str">
        <f t="shared" si="1"/>
        <v>Йо.</v>
      </c>
      <c r="C38" s="11" t="str">
        <f t="shared" si="2"/>
        <v>13</v>
      </c>
      <c r="D38" s="9"/>
      <c r="E38" s="13" t="s">
        <v>882</v>
      </c>
      <c r="F38" s="14"/>
      <c r="G38" s="15" t="s">
        <v>913</v>
      </c>
      <c r="H38" s="16" t="s">
        <v>24</v>
      </c>
      <c r="I38" s="54">
        <v>3.0</v>
      </c>
      <c r="J38" s="54"/>
      <c r="K38" s="55">
        <v>1.0</v>
      </c>
      <c r="L38" s="18">
        <f>IFNA( VLOOKUP(LEFT(E38, IFERROR(FIND(" ", E38, 1),1) - 1), lists!$A$31:$B$37, 2, FALSE),"")</f>
        <v>1</v>
      </c>
      <c r="M38" s="18" t="str">
        <f>IFERROR(__xludf.DUMMYFUNCTION("IFNA(VLOOKUP(IFNA(REGEXEXTRACT(E38, ""(Пасхи|50-ці|посту)""),""""),lists!$A$39:$B$41,2,FALSE),"""")"),"")</f>
        <v/>
      </c>
      <c r="N38" s="19" t="str">
        <f>IFERROR(__xludf.DUMMYFUNCTION("IFNA(REGEXEXTRACT(E38, ""\d{1,2}""),"""")"),"3")</f>
        <v>3</v>
      </c>
      <c r="O38" s="14" t="b">
        <f t="shared" si="3"/>
        <v>0</v>
      </c>
    </row>
    <row r="39">
      <c r="A39" s="13" t="s">
        <v>1039</v>
      </c>
      <c r="B39" s="9" t="str">
        <f t="shared" si="1"/>
        <v>Йо.</v>
      </c>
      <c r="C39" s="11" t="str">
        <f t="shared" si="2"/>
        <v>20</v>
      </c>
      <c r="D39" s="9"/>
      <c r="E39" s="13" t="s">
        <v>896</v>
      </c>
      <c r="F39" s="14"/>
      <c r="G39" s="15" t="s">
        <v>913</v>
      </c>
      <c r="H39" s="16" t="s">
        <v>24</v>
      </c>
      <c r="I39" s="73">
        <v>3.0</v>
      </c>
      <c r="J39" s="54"/>
      <c r="K39" s="55">
        <v>2.0</v>
      </c>
      <c r="L39" s="18">
        <f>IFNA( VLOOKUP(LEFT(E39, IFERROR(FIND(" ", E39, 1),1) - 1), lists!$A$31:$B$37, 2, FALSE),"")</f>
        <v>2</v>
      </c>
      <c r="M39" s="18" t="str">
        <f>IFERROR(__xludf.DUMMYFUNCTION("IFNA(VLOOKUP(IFNA(REGEXEXTRACT(E39, ""(Пасхи|50-ці|посту)""),""""),lists!$A$39:$B$41,2,FALSE),"""")"),"")</f>
        <v/>
      </c>
      <c r="N39" s="19" t="str">
        <f>IFERROR(__xludf.DUMMYFUNCTION("IFNA(REGEXEXTRACT(E39, ""\d{1,2}""),"""")"),"3")</f>
        <v>3</v>
      </c>
      <c r="O39" s="14" t="b">
        <f t="shared" si="3"/>
        <v>0</v>
      </c>
    </row>
    <row r="40">
      <c r="A40" s="13" t="s">
        <v>1040</v>
      </c>
      <c r="B40" s="9" t="str">
        <f t="shared" si="1"/>
        <v>Йо.</v>
      </c>
      <c r="C40" s="11" t="str">
        <f t="shared" si="2"/>
        <v>21</v>
      </c>
      <c r="D40" s="9"/>
      <c r="E40" s="13" t="s">
        <v>898</v>
      </c>
      <c r="F40" s="14"/>
      <c r="G40" s="15" t="s">
        <v>913</v>
      </c>
      <c r="H40" s="16" t="s">
        <v>24</v>
      </c>
      <c r="I40" s="73">
        <v>3.0</v>
      </c>
      <c r="J40" s="54"/>
      <c r="K40" s="55">
        <v>3.0</v>
      </c>
      <c r="L40" s="18">
        <f>IFNA( VLOOKUP(LEFT(E40, IFERROR(FIND(" ", E40, 1),1) - 1), lists!$A$31:$B$37, 2, FALSE),"")</f>
        <v>3</v>
      </c>
      <c r="M40" s="18" t="str">
        <f>IFERROR(__xludf.DUMMYFUNCTION("IFNA(VLOOKUP(IFNA(REGEXEXTRACT(E40, ""(Пасхи|50-ці|посту)""),""""),lists!$A$39:$B$41,2,FALSE),"""")"),"")</f>
        <v/>
      </c>
      <c r="N40" s="19" t="str">
        <f>IFERROR(__xludf.DUMMYFUNCTION("IFNA(REGEXEXTRACT(E40, ""\d{1,2}""),"""")"),"3")</f>
        <v>3</v>
      </c>
      <c r="O40" s="14" t="b">
        <f t="shared" si="3"/>
        <v>0</v>
      </c>
    </row>
    <row r="41">
      <c r="A41" s="13" t="s">
        <v>1041</v>
      </c>
      <c r="B41" s="9" t="str">
        <f t="shared" si="1"/>
        <v>Йо.</v>
      </c>
      <c r="C41" s="11" t="str">
        <f t="shared" si="2"/>
        <v>22</v>
      </c>
      <c r="D41" s="9"/>
      <c r="E41" s="13" t="s">
        <v>900</v>
      </c>
      <c r="F41" s="14"/>
      <c r="G41" s="15" t="s">
        <v>913</v>
      </c>
      <c r="H41" s="16" t="s">
        <v>24</v>
      </c>
      <c r="I41" s="73">
        <v>3.0</v>
      </c>
      <c r="J41" s="54"/>
      <c r="K41" s="55">
        <v>4.0</v>
      </c>
      <c r="L41" s="18">
        <f>IFNA( VLOOKUP(LEFT(E41, IFERROR(FIND(" ", E41, 1),1) - 1), lists!$A$31:$B$37, 2, FALSE),"")</f>
        <v>4</v>
      </c>
      <c r="M41" s="18" t="str">
        <f>IFERROR(__xludf.DUMMYFUNCTION("IFNA(VLOOKUP(IFNA(REGEXEXTRACT(E41, ""(Пасхи|50-ці|посту)""),""""),lists!$A$39:$B$41,2,FALSE),"""")"),"")</f>
        <v/>
      </c>
      <c r="N41" s="19" t="str">
        <f>IFERROR(__xludf.DUMMYFUNCTION("IFNA(REGEXEXTRACT(E41, ""\d{1,2}""),"""")"),"3")</f>
        <v>3</v>
      </c>
      <c r="O41" s="14" t="b">
        <f t="shared" si="3"/>
        <v>0</v>
      </c>
    </row>
    <row r="42">
      <c r="A42" s="13" t="s">
        <v>1042</v>
      </c>
      <c r="B42" s="9" t="str">
        <f t="shared" si="1"/>
        <v>Йо.</v>
      </c>
      <c r="C42" s="11" t="str">
        <f t="shared" si="2"/>
        <v>23</v>
      </c>
      <c r="D42" s="9"/>
      <c r="E42" s="13" t="s">
        <v>1043</v>
      </c>
      <c r="F42" s="14"/>
      <c r="G42" s="15" t="s">
        <v>913</v>
      </c>
      <c r="H42" s="16" t="s">
        <v>24</v>
      </c>
      <c r="I42" s="73">
        <v>3.0</v>
      </c>
      <c r="J42" s="54"/>
      <c r="K42" s="55">
        <v>5.0</v>
      </c>
      <c r="L42" s="18">
        <f>IFNA( VLOOKUP(LEFT(E42, IFERROR(FIND(" ", E42, 1),1) - 1), lists!$A$31:$B$37, 2, FALSE),"")</f>
        <v>5</v>
      </c>
      <c r="M42" s="18" t="str">
        <f>IFERROR(__xludf.DUMMYFUNCTION("IFNA(VLOOKUP(IFNA(REGEXEXTRACT(E42, ""(Пасхи|50-ці|посту)""),""""),lists!$A$39:$B$41,2,FALSE),"""")"),"")</f>
        <v/>
      </c>
      <c r="N42" s="19" t="str">
        <f>IFERROR(__xludf.DUMMYFUNCTION("IFNA(REGEXEXTRACT(E42, ""\d{1,2}""),"""")"),"3")</f>
        <v>3</v>
      </c>
      <c r="O42" s="14" t="b">
        <f t="shared" si="3"/>
        <v>0</v>
      </c>
    </row>
    <row r="43">
      <c r="A43" s="13" t="s">
        <v>1078</v>
      </c>
      <c r="B43" s="9" t="str">
        <f t="shared" si="1"/>
        <v>Йо.</v>
      </c>
      <c r="C43" s="11" t="str">
        <f t="shared" si="2"/>
        <v>52</v>
      </c>
      <c r="D43" s="9"/>
      <c r="E43" s="21" t="s">
        <v>975</v>
      </c>
      <c r="F43" s="14"/>
      <c r="G43" s="15" t="s">
        <v>913</v>
      </c>
      <c r="H43" s="16" t="s">
        <v>24</v>
      </c>
      <c r="I43" s="53">
        <v>3.0</v>
      </c>
      <c r="J43" s="54"/>
      <c r="K43" s="55">
        <v>6.0</v>
      </c>
      <c r="L43" s="18">
        <f>IFNA( VLOOKUP(LEFT(E43, IFERROR(FIND(" ", E43, 1),1) - 1), lists!$A$31:$B$37, 2, FALSE),"")</f>
        <v>6</v>
      </c>
      <c r="M43" s="18" t="str">
        <f>IFERROR(__xludf.DUMMYFUNCTION("IFNA(VLOOKUP(IFNA(REGEXEXTRACT(E43, ""(Пасхи|50-ці|посту)""),""""),lists!$A$39:$B$41,2,FALSE),"""")"),"")</f>
        <v/>
      </c>
      <c r="N43" s="19" t="str">
        <f>IFERROR(__xludf.DUMMYFUNCTION("IFNA(REGEXEXTRACT(E43, ""\d{1,2}""),"""")"),"3")</f>
        <v>3</v>
      </c>
      <c r="O43" s="14" t="b">
        <f t="shared" si="3"/>
        <v>0</v>
      </c>
    </row>
    <row r="44">
      <c r="A44" s="13" t="s">
        <v>1032</v>
      </c>
      <c r="B44" s="9" t="str">
        <f t="shared" si="1"/>
        <v>Йо.</v>
      </c>
      <c r="C44" s="11" t="str">
        <f t="shared" si="2"/>
        <v>14</v>
      </c>
      <c r="D44" s="26" t="s">
        <v>18</v>
      </c>
      <c r="E44" s="13" t="s">
        <v>75</v>
      </c>
      <c r="F44" s="14"/>
      <c r="G44" s="15" t="s">
        <v>913</v>
      </c>
      <c r="H44" s="16" t="s">
        <v>24</v>
      </c>
      <c r="I44" s="55">
        <v>4.0</v>
      </c>
      <c r="J44" s="54"/>
      <c r="K44" s="55">
        <v>0.0</v>
      </c>
      <c r="L44" s="18">
        <f>IFNA( VLOOKUP(LEFT(E44, IFERROR(FIND(" ", E44, 1),1) - 1), lists!$A$31:$B$37, 2, FALSE),"")</f>
        <v>7</v>
      </c>
      <c r="M44" s="18" t="str">
        <f>IFERROR(__xludf.DUMMYFUNCTION("IFNA(VLOOKUP(IFNA(REGEXEXTRACT(E44, ""(Пасхи|50-ці|посту)""),""""),lists!$A$39:$B$41,2,FALSE),"""")"),"")</f>
        <v/>
      </c>
      <c r="N44" s="19" t="str">
        <f>IFERROR(__xludf.DUMMYFUNCTION("IFNA(REGEXEXTRACT(E44, ""\d{1,2}""),"""")"),"4")</f>
        <v>4</v>
      </c>
      <c r="O44" s="14" t="b">
        <f t="shared" si="3"/>
        <v>0</v>
      </c>
    </row>
    <row r="45">
      <c r="A45" s="13" t="s">
        <v>1044</v>
      </c>
      <c r="B45" s="9" t="str">
        <f t="shared" si="1"/>
        <v>Йо.</v>
      </c>
      <c r="C45" s="11" t="str">
        <f t="shared" si="2"/>
        <v>24</v>
      </c>
      <c r="D45" s="9"/>
      <c r="E45" s="13" t="s">
        <v>906</v>
      </c>
      <c r="F45" s="14"/>
      <c r="G45" s="15" t="s">
        <v>913</v>
      </c>
      <c r="H45" s="16" t="s">
        <v>24</v>
      </c>
      <c r="I45" s="73">
        <v>4.0</v>
      </c>
      <c r="J45" s="54"/>
      <c r="K45" s="55">
        <v>1.0</v>
      </c>
      <c r="L45" s="18">
        <f>IFNA( VLOOKUP(LEFT(E45, IFERROR(FIND(" ", E45, 1),1) - 1), lists!$A$31:$B$37, 2, FALSE),"")</f>
        <v>1</v>
      </c>
      <c r="M45" s="18" t="str">
        <f>IFERROR(__xludf.DUMMYFUNCTION("IFNA(VLOOKUP(IFNA(REGEXEXTRACT(E45, ""(Пасхи|50-ці|посту)""),""""),lists!$A$39:$B$41,2,FALSE),"""")"),"")</f>
        <v/>
      </c>
      <c r="N45" s="19" t="str">
        <f>IFERROR(__xludf.DUMMYFUNCTION("IFNA(REGEXEXTRACT(E45, ""\d{1,2}""),"""")"),"4")</f>
        <v>4</v>
      </c>
      <c r="O45" s="14" t="b">
        <f t="shared" si="3"/>
        <v>0</v>
      </c>
    </row>
    <row r="46">
      <c r="A46" s="13" t="s">
        <v>1045</v>
      </c>
      <c r="B46" s="9" t="str">
        <f t="shared" si="1"/>
        <v>Йо.</v>
      </c>
      <c r="C46" s="11" t="str">
        <f t="shared" si="2"/>
        <v>25</v>
      </c>
      <c r="D46" s="9"/>
      <c r="E46" s="13" t="s">
        <v>908</v>
      </c>
      <c r="F46" s="14"/>
      <c r="G46" s="15" t="s">
        <v>913</v>
      </c>
      <c r="H46" s="16" t="s">
        <v>24</v>
      </c>
      <c r="I46" s="73">
        <v>4.0</v>
      </c>
      <c r="J46" s="54"/>
      <c r="K46" s="55">
        <v>2.0</v>
      </c>
      <c r="L46" s="18">
        <f>IFNA( VLOOKUP(LEFT(E46, IFERROR(FIND(" ", E46, 1),1) - 1), lists!$A$31:$B$37, 2, FALSE),"")</f>
        <v>2</v>
      </c>
      <c r="M46" s="18" t="str">
        <f>IFERROR(__xludf.DUMMYFUNCTION("IFNA(VLOOKUP(IFNA(REGEXEXTRACT(E46, ""(Пасхи|50-ці|посту)""),""""),lists!$A$39:$B$41,2,FALSE),"""")"),"")</f>
        <v/>
      </c>
      <c r="N46" s="19" t="str">
        <f>IFERROR(__xludf.DUMMYFUNCTION("IFNA(REGEXEXTRACT(E46, ""\d{1,2}""),"""")"),"4")</f>
        <v>4</v>
      </c>
      <c r="O46" s="14" t="b">
        <f t="shared" si="3"/>
        <v>0</v>
      </c>
    </row>
    <row r="47">
      <c r="A47" s="13" t="s">
        <v>1046</v>
      </c>
      <c r="B47" s="9" t="str">
        <f t="shared" si="1"/>
        <v>Йо.</v>
      </c>
      <c r="C47" s="11" t="str">
        <f t="shared" si="2"/>
        <v>26</v>
      </c>
      <c r="D47" s="9"/>
      <c r="E47" s="13" t="s">
        <v>910</v>
      </c>
      <c r="F47" s="13"/>
      <c r="G47" s="15" t="s">
        <v>913</v>
      </c>
      <c r="H47" s="16" t="s">
        <v>24</v>
      </c>
      <c r="I47" s="73">
        <v>4.0</v>
      </c>
      <c r="J47" s="54"/>
      <c r="K47" s="55">
        <v>3.0</v>
      </c>
      <c r="L47" s="18">
        <f>IFNA( VLOOKUP(LEFT(E47, IFERROR(FIND(" ", E47, 1),1) - 1), lists!$A$31:$B$37, 2, FALSE),"")</f>
        <v>3</v>
      </c>
      <c r="M47" s="18" t="str">
        <f>IFERROR(__xludf.DUMMYFUNCTION("IFNA(VLOOKUP(IFNA(REGEXEXTRACT(E47, ""(Пасхи|50-ці|посту)""),""""),lists!$A$39:$B$41,2,FALSE),"""")"),"")</f>
        <v/>
      </c>
      <c r="N47" s="19" t="str">
        <f>IFERROR(__xludf.DUMMYFUNCTION("IFNA(REGEXEXTRACT(E47, ""\d{1,2}""),"""")"),"4")</f>
        <v>4</v>
      </c>
      <c r="O47" s="14" t="b">
        <f t="shared" si="3"/>
        <v>0</v>
      </c>
    </row>
    <row r="48">
      <c r="A48" s="13" t="s">
        <v>1049</v>
      </c>
      <c r="B48" s="9" t="str">
        <f t="shared" si="1"/>
        <v>Йо.</v>
      </c>
      <c r="C48" s="11" t="str">
        <f t="shared" si="2"/>
        <v>29</v>
      </c>
      <c r="D48" s="9"/>
      <c r="E48" s="13" t="s">
        <v>917</v>
      </c>
      <c r="F48" s="14"/>
      <c r="G48" s="15" t="s">
        <v>913</v>
      </c>
      <c r="H48" s="16" t="s">
        <v>24</v>
      </c>
      <c r="I48" s="73">
        <v>4.0</v>
      </c>
      <c r="J48" s="54"/>
      <c r="K48" s="55">
        <v>4.0</v>
      </c>
      <c r="L48" s="18">
        <f>IFNA( VLOOKUP(LEFT(E48, IFERROR(FIND(" ", E48, 1),1) - 1), lists!$A$31:$B$37, 2, FALSE),"")</f>
        <v>4</v>
      </c>
      <c r="M48" s="18" t="str">
        <f>IFERROR(__xludf.DUMMYFUNCTION("IFNA(VLOOKUP(IFNA(REGEXEXTRACT(E48, ""(Пасхи|50-ці|посту)""),""""),lists!$A$39:$B$41,2,FALSE),"""")"),"")</f>
        <v/>
      </c>
      <c r="N48" s="19" t="str">
        <f>IFERROR(__xludf.DUMMYFUNCTION("IFNA(REGEXEXTRACT(E48, ""\d{1,2}""),"""")"),"4")</f>
        <v>4</v>
      </c>
      <c r="O48" s="14" t="b">
        <f t="shared" si="3"/>
        <v>0</v>
      </c>
    </row>
    <row r="49">
      <c r="A49" s="13" t="s">
        <v>1050</v>
      </c>
      <c r="B49" s="9" t="str">
        <f t="shared" si="1"/>
        <v>Йо.</v>
      </c>
      <c r="C49" s="11" t="str">
        <f t="shared" si="2"/>
        <v>30</v>
      </c>
      <c r="D49" s="9"/>
      <c r="E49" s="13" t="s">
        <v>919</v>
      </c>
      <c r="F49" s="14"/>
      <c r="G49" s="15" t="s">
        <v>913</v>
      </c>
      <c r="H49" s="16" t="s">
        <v>24</v>
      </c>
      <c r="I49" s="73">
        <v>4.0</v>
      </c>
      <c r="J49" s="54"/>
      <c r="K49" s="55">
        <v>5.0</v>
      </c>
      <c r="L49" s="18">
        <f>IFNA( VLOOKUP(LEFT(E49, IFERROR(FIND(" ", E49, 1),1) - 1), lists!$A$31:$B$37, 2, FALSE),"")</f>
        <v>5</v>
      </c>
      <c r="M49" s="18" t="str">
        <f>IFERROR(__xludf.DUMMYFUNCTION("IFNA(VLOOKUP(IFNA(REGEXEXTRACT(E49, ""(Пасхи|50-ці|посту)""),""""),lists!$A$39:$B$41,2,FALSE),"""")"),"")</f>
        <v/>
      </c>
      <c r="N49" s="19" t="str">
        <f>IFERROR(__xludf.DUMMYFUNCTION("IFNA(REGEXEXTRACT(E49, ""\d{1,2}""),"""")"),"4")</f>
        <v>4</v>
      </c>
      <c r="O49" s="14" t="b">
        <f t="shared" si="3"/>
        <v>0</v>
      </c>
    </row>
    <row r="50">
      <c r="A50" s="13" t="s">
        <v>1051</v>
      </c>
      <c r="B50" s="9" t="str">
        <f t="shared" si="1"/>
        <v>Йо.</v>
      </c>
      <c r="C50" s="11" t="str">
        <f t="shared" si="2"/>
        <v>31</v>
      </c>
      <c r="D50" s="9"/>
      <c r="E50" s="13" t="s">
        <v>921</v>
      </c>
      <c r="F50" s="14"/>
      <c r="G50" s="15" t="s">
        <v>913</v>
      </c>
      <c r="H50" s="16" t="s">
        <v>24</v>
      </c>
      <c r="I50" s="73">
        <v>4.0</v>
      </c>
      <c r="J50" s="54"/>
      <c r="K50" s="55">
        <v>6.0</v>
      </c>
      <c r="L50" s="18">
        <f>IFNA( VLOOKUP(LEFT(E50, IFERROR(FIND(" ", E50, 1),1) - 1), lists!$A$31:$B$37, 2, FALSE),"")</f>
        <v>6</v>
      </c>
      <c r="M50" s="18" t="str">
        <f>IFERROR(__xludf.DUMMYFUNCTION("IFNA(VLOOKUP(IFNA(REGEXEXTRACT(E50, ""(Пасхи|50-ці|посту)""),""""),lists!$A$39:$B$41,2,FALSE),"""")"),"")</f>
        <v/>
      </c>
      <c r="N50" s="19" t="str">
        <f>IFERROR(__xludf.DUMMYFUNCTION("IFNA(REGEXEXTRACT(E50, ""\d{1,2}""),"""")"),"4")</f>
        <v>4</v>
      </c>
      <c r="O50" s="14" t="b">
        <f t="shared" si="3"/>
        <v>0</v>
      </c>
    </row>
    <row r="51">
      <c r="A51" s="13" t="s">
        <v>1054</v>
      </c>
      <c r="B51" s="9" t="str">
        <f t="shared" si="1"/>
        <v>Йо.</v>
      </c>
      <c r="C51" s="11" t="str">
        <f t="shared" si="2"/>
        <v>34</v>
      </c>
      <c r="D51" s="9"/>
      <c r="E51" s="21" t="s">
        <v>1745</v>
      </c>
      <c r="F51" s="14"/>
      <c r="G51" s="15" t="s">
        <v>913</v>
      </c>
      <c r="H51" s="16" t="s">
        <v>24</v>
      </c>
      <c r="I51" s="53">
        <v>5.0</v>
      </c>
      <c r="J51" s="54"/>
      <c r="K51" s="55">
        <v>0.0</v>
      </c>
      <c r="L51" s="18">
        <f>IFNA( VLOOKUP(LEFT(E51, IFERROR(FIND(" ", E51, 1),1) - 1), lists!$A$31:$B$37, 2, FALSE),"")</f>
        <v>7</v>
      </c>
      <c r="M51" s="18" t="str">
        <f>IFERROR(__xludf.DUMMYFUNCTION("IFNA(VLOOKUP(IFNA(REGEXEXTRACT(E51, ""(Пасхи|50-ці|посту)""),""""),lists!$A$39:$B$41,2,FALSE),"""")"),"")</f>
        <v/>
      </c>
      <c r="N51" s="19" t="str">
        <f>IFERROR(__xludf.DUMMYFUNCTION("IFNA(REGEXEXTRACT(E51, ""\d{1,2}""),"""")"),"5")</f>
        <v>5</v>
      </c>
      <c r="O51" s="14" t="b">
        <f t="shared" si="3"/>
        <v>0</v>
      </c>
    </row>
    <row r="52">
      <c r="A52" s="13" t="s">
        <v>1052</v>
      </c>
      <c r="B52" s="9" t="str">
        <f t="shared" si="1"/>
        <v>Йо.</v>
      </c>
      <c r="C52" s="11" t="str">
        <f t="shared" si="2"/>
        <v>32</v>
      </c>
      <c r="D52" s="9"/>
      <c r="E52" s="13" t="s">
        <v>923</v>
      </c>
      <c r="F52" s="14"/>
      <c r="G52" s="15" t="s">
        <v>913</v>
      </c>
      <c r="H52" s="16" t="s">
        <v>24</v>
      </c>
      <c r="I52" s="73">
        <v>5.0</v>
      </c>
      <c r="J52" s="54"/>
      <c r="K52" s="55">
        <v>1.0</v>
      </c>
      <c r="L52" s="18">
        <f>IFNA( VLOOKUP(LEFT(E52, IFERROR(FIND(" ", E52, 1),1) - 1), lists!$A$31:$B$37, 2, FALSE),"")</f>
        <v>1</v>
      </c>
      <c r="M52" s="18" t="str">
        <f>IFERROR(__xludf.DUMMYFUNCTION("IFNA(VLOOKUP(IFNA(REGEXEXTRACT(E52, ""(Пасхи|50-ці|посту)""),""""),lists!$A$39:$B$41,2,FALSE),"""")"),"")</f>
        <v/>
      </c>
      <c r="N52" s="19" t="str">
        <f>IFERROR(__xludf.DUMMYFUNCTION("IFNA(REGEXEXTRACT(E52, ""\d{1,2}""),"""")"),"5")</f>
        <v>5</v>
      </c>
      <c r="O52" s="14" t="b">
        <f t="shared" si="3"/>
        <v>0</v>
      </c>
    </row>
    <row r="53">
      <c r="A53" s="13" t="s">
        <v>1053</v>
      </c>
      <c r="B53" s="9" t="str">
        <f t="shared" si="1"/>
        <v>Йо.</v>
      </c>
      <c r="C53" s="11" t="str">
        <f t="shared" si="2"/>
        <v>33</v>
      </c>
      <c r="D53" s="9"/>
      <c r="E53" s="13" t="s">
        <v>925</v>
      </c>
      <c r="F53" s="14"/>
      <c r="G53" s="15" t="s">
        <v>913</v>
      </c>
      <c r="H53" s="16" t="s">
        <v>24</v>
      </c>
      <c r="I53" s="73">
        <v>5.0</v>
      </c>
      <c r="J53" s="54"/>
      <c r="K53" s="55">
        <v>2.0</v>
      </c>
      <c r="L53" s="18">
        <f>IFNA( VLOOKUP(LEFT(E53, IFERROR(FIND(" ", E53, 1),1) - 1), lists!$A$31:$B$37, 2, FALSE),"")</f>
        <v>2</v>
      </c>
      <c r="M53" s="18" t="str">
        <f>IFERROR(__xludf.DUMMYFUNCTION("IFNA(VLOOKUP(IFNA(REGEXEXTRACT(E53, ""(Пасхи|50-ці|посту)""),""""),lists!$A$39:$B$41,2,FALSE),"""")"),"")</f>
        <v/>
      </c>
      <c r="N53" s="19" t="str">
        <f>IFERROR(__xludf.DUMMYFUNCTION("IFNA(REGEXEXTRACT(E53, ""\d{1,2}""),"""")"),"5")</f>
        <v>5</v>
      </c>
      <c r="O53" s="14" t="b">
        <f t="shared" si="3"/>
        <v>0</v>
      </c>
    </row>
    <row r="54">
      <c r="A54" s="13" t="s">
        <v>1037</v>
      </c>
      <c r="B54" s="9" t="str">
        <f t="shared" si="1"/>
        <v>Йо.</v>
      </c>
      <c r="C54" s="11" t="str">
        <f t="shared" si="2"/>
        <v>18</v>
      </c>
      <c r="D54" s="9"/>
      <c r="E54" s="13" t="s">
        <v>892</v>
      </c>
      <c r="F54" s="14"/>
      <c r="G54" s="15" t="s">
        <v>913</v>
      </c>
      <c r="H54" s="16" t="s">
        <v>24</v>
      </c>
      <c r="I54" s="73">
        <v>5.0</v>
      </c>
      <c r="J54" s="54"/>
      <c r="K54" s="55">
        <v>3.0</v>
      </c>
      <c r="L54" s="18">
        <f>IFNA( VLOOKUP(LEFT(E54, IFERROR(FIND(" ", E54, 1),1) - 1), lists!$A$31:$B$37, 2, FALSE),"")</f>
        <v>3</v>
      </c>
      <c r="M54" s="18" t="str">
        <f>IFERROR(__xludf.DUMMYFUNCTION("IFNA(VLOOKUP(IFNA(REGEXEXTRACT(E54, ""(Пасхи|50-ці|посту)""),""""),lists!$A$39:$B$41,2,FALSE),"""")"),"")</f>
        <v/>
      </c>
      <c r="N54" s="19" t="str">
        <f>IFERROR(__xludf.DUMMYFUNCTION("IFNA(REGEXEXTRACT(E54, ""\d{1,2}""),"""")"),"5")</f>
        <v>5</v>
      </c>
      <c r="O54" s="14" t="b">
        <f t="shared" si="3"/>
        <v>0</v>
      </c>
    </row>
    <row r="55">
      <c r="A55" s="13" t="s">
        <v>1055</v>
      </c>
      <c r="B55" s="9" t="str">
        <f t="shared" si="1"/>
        <v>Йо.</v>
      </c>
      <c r="C55" s="11" t="str">
        <f t="shared" si="2"/>
        <v>35</v>
      </c>
      <c r="D55" s="12" t="s">
        <v>18</v>
      </c>
      <c r="E55" s="13" t="s">
        <v>929</v>
      </c>
      <c r="F55" s="14"/>
      <c r="G55" s="15" t="s">
        <v>913</v>
      </c>
      <c r="H55" s="16" t="s">
        <v>24</v>
      </c>
      <c r="I55" s="73">
        <v>5.0</v>
      </c>
      <c r="J55" s="54"/>
      <c r="K55" s="55">
        <v>4.0</v>
      </c>
      <c r="L55" s="18">
        <f>IFNA( VLOOKUP(LEFT(E55, IFERROR(FIND(" ", E55, 1),1) - 1), lists!$A$31:$B$37, 2, FALSE),"")</f>
        <v>4</v>
      </c>
      <c r="M55" s="18" t="str">
        <f>IFERROR(__xludf.DUMMYFUNCTION("IFNA(VLOOKUP(IFNA(REGEXEXTRACT(E55, ""(Пасхи|50-ці|посту)""),""""),lists!$A$39:$B$41,2,FALSE),"""")"),"")</f>
        <v/>
      </c>
      <c r="N55" s="19" t="str">
        <f>IFERROR(__xludf.DUMMYFUNCTION("IFNA(REGEXEXTRACT(E55, ""\d{1,2}""),"""")"),"5")</f>
        <v>5</v>
      </c>
      <c r="O55" s="14" t="b">
        <f t="shared" si="3"/>
        <v>0</v>
      </c>
    </row>
    <row r="56">
      <c r="A56" s="21" t="s">
        <v>1059</v>
      </c>
      <c r="B56" s="9" t="str">
        <f t="shared" si="1"/>
        <v>Йо.</v>
      </c>
      <c r="C56" s="11" t="str">
        <f t="shared" si="2"/>
        <v>37</v>
      </c>
      <c r="D56" s="87" t="s">
        <v>18</v>
      </c>
      <c r="E56" s="13" t="s">
        <v>935</v>
      </c>
      <c r="F56" s="14"/>
      <c r="G56" s="15" t="s">
        <v>913</v>
      </c>
      <c r="H56" s="16" t="s">
        <v>24</v>
      </c>
      <c r="I56" s="73">
        <v>5.0</v>
      </c>
      <c r="J56" s="54"/>
      <c r="K56" s="55">
        <v>5.0</v>
      </c>
      <c r="L56" s="18">
        <f>IFNA( VLOOKUP(LEFT(E56, IFERROR(FIND(" ", E56, 1),1) - 1), lists!$A$31:$B$37, 2, FALSE),"")</f>
        <v>5</v>
      </c>
      <c r="M56" s="18" t="str">
        <f>IFERROR(__xludf.DUMMYFUNCTION("IFNA(VLOOKUP(IFNA(REGEXEXTRACT(E56, ""(Пасхи|50-ці|посту)""),""""),lists!$A$39:$B$41,2,FALSE),"""")"),"")</f>
        <v/>
      </c>
      <c r="N56" s="19" t="str">
        <f>IFERROR(__xludf.DUMMYFUNCTION("IFNA(REGEXEXTRACT(E56, ""\d{1,2}""),"""")"),"5")</f>
        <v>5</v>
      </c>
      <c r="O56" s="14" t="b">
        <f t="shared" si="3"/>
        <v>0</v>
      </c>
    </row>
    <row r="57">
      <c r="A57" s="13" t="s">
        <v>1061</v>
      </c>
      <c r="B57" s="9" t="str">
        <f t="shared" si="1"/>
        <v>Йо.</v>
      </c>
      <c r="C57" s="11" t="str">
        <f t="shared" si="2"/>
        <v>38</v>
      </c>
      <c r="D57" s="9"/>
      <c r="E57" s="77" t="s">
        <v>939</v>
      </c>
      <c r="F57" s="9"/>
      <c r="G57" s="15" t="s">
        <v>913</v>
      </c>
      <c r="H57" s="16" t="s">
        <v>24</v>
      </c>
      <c r="I57" s="73">
        <v>5.0</v>
      </c>
      <c r="J57" s="54"/>
      <c r="K57" s="55">
        <v>6.0</v>
      </c>
      <c r="L57" s="18">
        <f>IFNA( VLOOKUP(LEFT(E57, IFERROR(FIND(" ", E57, 1),1) - 1), lists!$A$31:$B$37, 2, FALSE),"")</f>
        <v>6</v>
      </c>
      <c r="M57" s="18" t="str">
        <f>IFERROR(__xludf.DUMMYFUNCTION("IFNA(VLOOKUP(IFNA(REGEXEXTRACT(E57, ""(Пасхи|50-ці|посту)""),""""),lists!$A$39:$B$41,2,FALSE),"""")"),"")</f>
        <v/>
      </c>
      <c r="N57" s="19" t="str">
        <f>IFERROR(__xludf.DUMMYFUNCTION("IFNA(REGEXEXTRACT(E57, ""\d{1,2}""),"""")"),"5")</f>
        <v>5</v>
      </c>
      <c r="O57" s="14" t="b">
        <f t="shared" si="3"/>
        <v>0</v>
      </c>
    </row>
    <row r="58">
      <c r="A58" s="13" t="s">
        <v>1030</v>
      </c>
      <c r="B58" s="9" t="str">
        <f t="shared" si="1"/>
        <v>Йо.</v>
      </c>
      <c r="C58" s="11" t="str">
        <f t="shared" si="2"/>
        <v>12</v>
      </c>
      <c r="D58" s="9"/>
      <c r="E58" s="13" t="s">
        <v>880</v>
      </c>
      <c r="F58" s="14"/>
      <c r="G58" s="15" t="s">
        <v>913</v>
      </c>
      <c r="H58" s="16" t="s">
        <v>24</v>
      </c>
      <c r="I58" s="55">
        <v>6.0</v>
      </c>
      <c r="J58" s="54"/>
      <c r="K58" s="55">
        <v>0.0</v>
      </c>
      <c r="L58" s="18">
        <f>IFNA( VLOOKUP(LEFT(E58, IFERROR(FIND(" ", E58, 1),1) - 1), lists!$A$31:$B$37, 2, FALSE),"")</f>
        <v>7</v>
      </c>
      <c r="M58" s="18" t="str">
        <f>IFERROR(__xludf.DUMMYFUNCTION("IFNA(VLOOKUP(IFNA(REGEXEXTRACT(E58, ""(Пасхи|50-ці|посту)""),""""),lists!$A$39:$B$41,2,FALSE),"""")"),"pascha")</f>
        <v>pascha</v>
      </c>
      <c r="N58" s="19" t="str">
        <f>IFERROR(__xludf.DUMMYFUNCTION("IFNA(REGEXEXTRACT(E58, ""\d{1,2}""),"""")"),"5")</f>
        <v>5</v>
      </c>
      <c r="O58" s="14" t="b">
        <f t="shared" si="3"/>
        <v>0</v>
      </c>
    </row>
    <row r="59">
      <c r="A59" s="13" t="s">
        <v>1063</v>
      </c>
      <c r="B59" s="9" t="str">
        <f t="shared" si="1"/>
        <v>Йо.</v>
      </c>
      <c r="C59" s="11" t="str">
        <f t="shared" si="2"/>
        <v>40</v>
      </c>
      <c r="D59" s="9"/>
      <c r="E59" s="13" t="s">
        <v>944</v>
      </c>
      <c r="F59" s="14"/>
      <c r="G59" s="15" t="s">
        <v>913</v>
      </c>
      <c r="H59" s="16" t="s">
        <v>24</v>
      </c>
      <c r="I59" s="73">
        <v>6.0</v>
      </c>
      <c r="J59" s="54"/>
      <c r="K59" s="55">
        <v>1.0</v>
      </c>
      <c r="L59" s="18">
        <f>IFNA( VLOOKUP(LEFT(E59, IFERROR(FIND(" ", E59, 1),1) - 1), lists!$A$31:$B$37, 2, FALSE),"")</f>
        <v>1</v>
      </c>
      <c r="M59" s="18" t="str">
        <f>IFERROR(__xludf.DUMMYFUNCTION("IFNA(VLOOKUP(IFNA(REGEXEXTRACT(E59, ""(Пасхи|50-ці|посту)""),""""),lists!$A$39:$B$41,2,FALSE),"""")"),"")</f>
        <v/>
      </c>
      <c r="N59" s="19" t="str">
        <f>IFERROR(__xludf.DUMMYFUNCTION("IFNA(REGEXEXTRACT(E59, ""\d{1,2}""),"""")"),"6")</f>
        <v>6</v>
      </c>
      <c r="O59" s="14" t="b">
        <f t="shared" si="3"/>
        <v>0</v>
      </c>
    </row>
    <row r="60">
      <c r="A60" s="13" t="s">
        <v>1066</v>
      </c>
      <c r="B60" s="9" t="str">
        <f t="shared" si="1"/>
        <v>Йо.</v>
      </c>
      <c r="C60" s="11" t="str">
        <f t="shared" si="2"/>
        <v>42</v>
      </c>
      <c r="D60" s="26" t="s">
        <v>18</v>
      </c>
      <c r="E60" s="13" t="s">
        <v>950</v>
      </c>
      <c r="F60" s="13"/>
      <c r="G60" s="15" t="s">
        <v>913</v>
      </c>
      <c r="H60" s="16" t="s">
        <v>24</v>
      </c>
      <c r="I60" s="73">
        <v>6.0</v>
      </c>
      <c r="J60" s="54"/>
      <c r="K60" s="55">
        <v>2.0</v>
      </c>
      <c r="L60" s="18">
        <f>IFNA( VLOOKUP(LEFT(E60, IFERROR(FIND(" ", E60, 1),1) - 1), lists!$A$31:$B$37, 2, FALSE),"")</f>
        <v>2</v>
      </c>
      <c r="M60" s="18" t="str">
        <f>IFERROR(__xludf.DUMMYFUNCTION("IFNA(VLOOKUP(IFNA(REGEXEXTRACT(E60, ""(Пасхи|50-ці|посту)""),""""),lists!$A$39:$B$41,2,FALSE),"""")"),"")</f>
        <v/>
      </c>
      <c r="N60" s="19" t="str">
        <f>IFERROR(__xludf.DUMMYFUNCTION("IFNA(REGEXEXTRACT(E60, ""\d{1,2}""),"""")"),"6")</f>
        <v>6</v>
      </c>
      <c r="O60" s="14" t="b">
        <f t="shared" si="3"/>
        <v>0</v>
      </c>
    </row>
    <row r="61">
      <c r="A61" s="13" t="s">
        <v>1068</v>
      </c>
      <c r="B61" s="9" t="str">
        <f t="shared" si="1"/>
        <v>Йо.</v>
      </c>
      <c r="C61" s="11" t="str">
        <f t="shared" si="2"/>
        <v>43</v>
      </c>
      <c r="D61" s="9"/>
      <c r="E61" s="13" t="s">
        <v>954</v>
      </c>
      <c r="F61" s="14"/>
      <c r="G61" s="15" t="s">
        <v>913</v>
      </c>
      <c r="H61" s="16" t="s">
        <v>24</v>
      </c>
      <c r="I61" s="73">
        <v>6.0</v>
      </c>
      <c r="J61" s="54"/>
      <c r="K61" s="55">
        <v>3.0</v>
      </c>
      <c r="L61" s="18">
        <f>IFNA( VLOOKUP(LEFT(E61, IFERROR(FIND(" ", E61, 1),1) - 1), lists!$A$31:$B$37, 2, FALSE),"")</f>
        <v>3</v>
      </c>
      <c r="M61" s="18" t="str">
        <f>IFERROR(__xludf.DUMMYFUNCTION("IFNA(VLOOKUP(IFNA(REGEXEXTRACT(E61, ""(Пасхи|50-ці|посту)""),""""),lists!$A$39:$B$41,2,FALSE),"""")"),"")</f>
        <v/>
      </c>
      <c r="N61" s="19" t="str">
        <f>IFERROR(__xludf.DUMMYFUNCTION("IFNA(REGEXEXTRACT(E61, ""\d{1,2}""),"""")"),"6")</f>
        <v>6</v>
      </c>
      <c r="O61" s="14" t="b">
        <f t="shared" si="3"/>
        <v>0</v>
      </c>
    </row>
    <row r="62">
      <c r="A62" s="13" t="s">
        <v>1490</v>
      </c>
      <c r="B62" s="9" t="str">
        <f t="shared" si="1"/>
        <v>Мр.</v>
      </c>
      <c r="C62" s="11" t="str">
        <f t="shared" si="2"/>
        <v>71</v>
      </c>
      <c r="D62" s="9"/>
      <c r="E62" s="21" t="s">
        <v>1491</v>
      </c>
      <c r="F62" s="14"/>
      <c r="G62" s="15" t="s">
        <v>1744</v>
      </c>
      <c r="H62" s="16" t="s">
        <v>24</v>
      </c>
      <c r="I62" s="53">
        <v>6.0</v>
      </c>
      <c r="J62" s="54"/>
      <c r="K62" s="55">
        <v>4.0</v>
      </c>
      <c r="L62" s="18" t="str">
        <f>IFNA( VLOOKUP(LEFT(E62, IFERROR(FIND(" ", E62, 1),1) - 1), lists!$A$31:$B$37, 2, FALSE),"")</f>
        <v/>
      </c>
      <c r="M62" s="18" t="str">
        <f>IFERROR(__xludf.DUMMYFUNCTION("IFNA(VLOOKUP(IFNA(REGEXEXTRACT(E62, ""(Пасхи|50-ці|посту)""),""""),lists!$A$39:$B$41,2,FALSE),"""")"),"")</f>
        <v/>
      </c>
      <c r="N62" s="19" t="str">
        <f>IFERROR(__xludf.DUMMYFUNCTION("IFNA(REGEXEXTRACT(E62, ""\d{1,2}""),"""")"),"3")</f>
        <v>3</v>
      </c>
      <c r="O62" s="14" t="b">
        <f t="shared" si="3"/>
        <v>0</v>
      </c>
    </row>
    <row r="63">
      <c r="A63" s="13" t="s">
        <v>1340</v>
      </c>
      <c r="B63" s="9" t="str">
        <f t="shared" si="1"/>
        <v>Лк.</v>
      </c>
      <c r="C63" s="11" t="str">
        <f t="shared" si="2"/>
        <v>114</v>
      </c>
      <c r="D63" s="9"/>
      <c r="E63" s="13" t="s">
        <v>1341</v>
      </c>
      <c r="F63" s="14"/>
      <c r="G63" s="15" t="s">
        <v>913</v>
      </c>
      <c r="H63" s="16" t="s">
        <v>24</v>
      </c>
      <c r="I63" s="53">
        <v>6.0</v>
      </c>
      <c r="J63" s="54"/>
      <c r="K63" s="55">
        <v>4.0</v>
      </c>
      <c r="L63" s="18" t="str">
        <f>IFNA( VLOOKUP(LEFT(E63, IFERROR(FIND(" ", E63, 1),1) - 1), lists!$A$31:$B$37, 2, FALSE),"")</f>
        <v/>
      </c>
      <c r="M63" s="18" t="str">
        <f>IFERROR(__xludf.DUMMYFUNCTION("IFNA(VLOOKUP(IFNA(REGEXEXTRACT(E63, ""(Пасхи|50-ці|посту)""),""""),lists!$A$39:$B$41,2,FALSE),"""")"),"")</f>
        <v/>
      </c>
      <c r="N63" s="19" t="str">
        <f>IFERROR(__xludf.DUMMYFUNCTION("IFNA(REGEXEXTRACT(E63, ""\d{1,2}""),"""")"),"6")</f>
        <v>6</v>
      </c>
      <c r="O63" s="14" t="b">
        <f t="shared" si="3"/>
        <v>0</v>
      </c>
    </row>
    <row r="64">
      <c r="A64" s="13" t="s">
        <v>1072</v>
      </c>
      <c r="B64" s="9" t="str">
        <f t="shared" si="1"/>
        <v>Йо.</v>
      </c>
      <c r="C64" s="11" t="str">
        <f t="shared" si="2"/>
        <v>47</v>
      </c>
      <c r="D64" s="9"/>
      <c r="E64" s="13" t="s">
        <v>962</v>
      </c>
      <c r="F64" s="14"/>
      <c r="G64" s="15" t="s">
        <v>913</v>
      </c>
      <c r="H64" s="16" t="s">
        <v>24</v>
      </c>
      <c r="I64" s="73">
        <v>6.0</v>
      </c>
      <c r="J64" s="54"/>
      <c r="K64" s="55">
        <v>5.0</v>
      </c>
      <c r="L64" s="18">
        <f>IFNA( VLOOKUP(LEFT(E64, IFERROR(FIND(" ", E64, 1),1) - 1), lists!$A$31:$B$37, 2, FALSE),"")</f>
        <v>5</v>
      </c>
      <c r="M64" s="18" t="str">
        <f>IFERROR(__xludf.DUMMYFUNCTION("IFNA(VLOOKUP(IFNA(REGEXEXTRACT(E64, ""(Пасхи|50-ці|посту)""),""""),lists!$A$39:$B$41,2,FALSE),"""")"),"")</f>
        <v/>
      </c>
      <c r="N64" s="19" t="str">
        <f>IFERROR(__xludf.DUMMYFUNCTION("IFNA(REGEXEXTRACT(E64, ""\d{1,2}""),"""")"),"6")</f>
        <v>6</v>
      </c>
      <c r="O64" s="14" t="b">
        <f t="shared" si="3"/>
        <v>0</v>
      </c>
    </row>
    <row r="65">
      <c r="A65" s="13" t="s">
        <v>1073</v>
      </c>
      <c r="B65" s="9" t="str">
        <f t="shared" si="1"/>
        <v>Йо.</v>
      </c>
      <c r="C65" s="11" t="str">
        <f t="shared" si="2"/>
        <v>48</v>
      </c>
      <c r="D65" s="12" t="s">
        <v>18</v>
      </c>
      <c r="E65" s="13" t="s">
        <v>964</v>
      </c>
      <c r="F65" s="14"/>
      <c r="G65" s="15" t="s">
        <v>913</v>
      </c>
      <c r="H65" s="16" t="s">
        <v>24</v>
      </c>
      <c r="I65" s="73">
        <v>6.0</v>
      </c>
      <c r="J65" s="54"/>
      <c r="K65" s="55">
        <v>6.0</v>
      </c>
      <c r="L65" s="18">
        <f>IFNA( VLOOKUP(LEFT(E65, IFERROR(FIND(" ", E65, 1),1) - 1), lists!$A$31:$B$37, 2, FALSE),"")</f>
        <v>6</v>
      </c>
      <c r="M65" s="18" t="str">
        <f>IFERROR(__xludf.DUMMYFUNCTION("IFNA(VLOOKUP(IFNA(REGEXEXTRACT(E65, ""(Пасхи|50-ці|посту)""),""""),lists!$A$39:$B$41,2,FALSE),"""")"),"")</f>
        <v/>
      </c>
      <c r="N65" s="19" t="str">
        <f>IFERROR(__xludf.DUMMYFUNCTION("IFNA(REGEXEXTRACT(E65, ""\d{1,2}""),"""")"),"6")</f>
        <v>6</v>
      </c>
      <c r="O65" s="14" t="b">
        <f t="shared" si="3"/>
        <v>0</v>
      </c>
    </row>
    <row r="66">
      <c r="A66" s="13" t="s">
        <v>1082</v>
      </c>
      <c r="B66" s="9" t="str">
        <f t="shared" si="1"/>
        <v>Йо.</v>
      </c>
      <c r="C66" s="11" t="str">
        <f t="shared" si="2"/>
        <v>56</v>
      </c>
      <c r="D66" s="9"/>
      <c r="E66" s="13" t="s">
        <v>984</v>
      </c>
      <c r="F66" s="14"/>
      <c r="G66" s="15" t="s">
        <v>913</v>
      </c>
      <c r="H66" s="16" t="s">
        <v>24</v>
      </c>
      <c r="I66" s="53">
        <v>7.0</v>
      </c>
      <c r="J66" s="54"/>
      <c r="K66" s="55">
        <v>0.0</v>
      </c>
      <c r="L66" s="18">
        <f>IFNA( VLOOKUP(LEFT(E66, IFERROR(FIND(" ", E66, 1),1) - 1), lists!$A$31:$B$37, 2, FALSE),"")</f>
        <v>7</v>
      </c>
      <c r="M66" s="18" t="str">
        <f>IFERROR(__xludf.DUMMYFUNCTION("IFNA(VLOOKUP(IFNA(REGEXEXTRACT(E66, ""(Пасхи|50-ці|посту)""),""""),lists!$A$39:$B$41,2,FALSE),"""")"),"")</f>
        <v/>
      </c>
      <c r="N66" s="19" t="str">
        <f>IFERROR(__xludf.DUMMYFUNCTION("IFNA(REGEXEXTRACT(E66, ""\d{1,2}""),"""")"),"7")</f>
        <v>7</v>
      </c>
      <c r="O66" s="14" t="b">
        <f t="shared" si="3"/>
        <v>0</v>
      </c>
    </row>
    <row r="67">
      <c r="A67" s="13" t="s">
        <v>1075</v>
      </c>
      <c r="B67" s="9" t="str">
        <f t="shared" si="1"/>
        <v>Йо.</v>
      </c>
      <c r="C67" s="11" t="str">
        <f t="shared" si="2"/>
        <v>49</v>
      </c>
      <c r="D67" s="9"/>
      <c r="E67" s="78" t="s">
        <v>968</v>
      </c>
      <c r="F67" s="9"/>
      <c r="G67" s="15" t="s">
        <v>913</v>
      </c>
      <c r="H67" s="16" t="s">
        <v>24</v>
      </c>
      <c r="I67" s="73">
        <v>7.0</v>
      </c>
      <c r="J67" s="54"/>
      <c r="K67" s="55">
        <v>1.0</v>
      </c>
      <c r="L67" s="18">
        <f>IFNA( VLOOKUP(LEFT(E67, IFERROR(FIND(" ", E67, 1),1) - 1), lists!$A$31:$B$37, 2, FALSE),"")</f>
        <v>1</v>
      </c>
      <c r="M67" s="18" t="str">
        <f>IFERROR(__xludf.DUMMYFUNCTION("IFNA(VLOOKUP(IFNA(REGEXEXTRACT(E67, ""(Пасхи|50-ці|посту)""),""""),lists!$A$39:$B$41,2,FALSE),"""")"),"")</f>
        <v/>
      </c>
      <c r="N67" s="19" t="str">
        <f>IFERROR(__xludf.DUMMYFUNCTION("IFNA(REGEXEXTRACT(E67, ""\d{1,2}""),"""")"),"7")</f>
        <v>7</v>
      </c>
      <c r="O67" s="14" t="b">
        <f t="shared" si="3"/>
        <v>0</v>
      </c>
    </row>
    <row r="68">
      <c r="A68" s="13" t="s">
        <v>1079</v>
      </c>
      <c r="B68" s="9" t="str">
        <f t="shared" si="1"/>
        <v>Йо.</v>
      </c>
      <c r="C68" s="11" t="str">
        <f t="shared" si="2"/>
        <v>53</v>
      </c>
      <c r="D68" s="9"/>
      <c r="E68" s="78" t="s">
        <v>977</v>
      </c>
      <c r="F68" s="9"/>
      <c r="G68" s="15" t="s">
        <v>913</v>
      </c>
      <c r="H68" s="16" t="s">
        <v>24</v>
      </c>
      <c r="I68" s="73">
        <v>7.0</v>
      </c>
      <c r="J68" s="54"/>
      <c r="K68" s="55">
        <v>2.0</v>
      </c>
      <c r="L68" s="18">
        <f>IFNA( VLOOKUP(LEFT(E68, IFERROR(FIND(" ", E68, 1),1) - 1), lists!$A$31:$B$37, 2, FALSE),"")</f>
        <v>2</v>
      </c>
      <c r="M68" s="18" t="str">
        <f>IFERROR(__xludf.DUMMYFUNCTION("IFNA(VLOOKUP(IFNA(REGEXEXTRACT(E68, ""(Пасхи|50-ці|посту)""),""""),lists!$A$39:$B$41,2,FALSE),"""")"),"")</f>
        <v/>
      </c>
      <c r="N68" s="19" t="str">
        <f>IFERROR(__xludf.DUMMYFUNCTION("IFNA(REGEXEXTRACT(E68, ""\d{1,2}""),"""")"),"7")</f>
        <v>7</v>
      </c>
      <c r="O68" s="14" t="b">
        <f t="shared" si="3"/>
        <v>0</v>
      </c>
    </row>
    <row r="69">
      <c r="A69" s="13" t="s">
        <v>1080</v>
      </c>
      <c r="B69" s="9" t="str">
        <f t="shared" si="1"/>
        <v>Йо.</v>
      </c>
      <c r="C69" s="11" t="str">
        <f t="shared" si="2"/>
        <v>54</v>
      </c>
      <c r="D69" s="9"/>
      <c r="E69" s="13" t="s">
        <v>980</v>
      </c>
      <c r="F69" s="14"/>
      <c r="G69" s="15" t="s">
        <v>913</v>
      </c>
      <c r="H69" s="16" t="s">
        <v>24</v>
      </c>
      <c r="I69" s="73">
        <v>7.0</v>
      </c>
      <c r="J69" s="54"/>
      <c r="K69" s="55">
        <v>3.0</v>
      </c>
      <c r="L69" s="18">
        <f>IFNA( VLOOKUP(LEFT(E69, IFERROR(FIND(" ", E69, 1),1) - 1), lists!$A$31:$B$37, 2, FALSE),"")</f>
        <v>3</v>
      </c>
      <c r="M69" s="18" t="str">
        <f>IFERROR(__xludf.DUMMYFUNCTION("IFNA(VLOOKUP(IFNA(REGEXEXTRACT(E69, ""(Пасхи|50-ці|посту)""),""""),lists!$A$39:$B$41,2,FALSE),"""")"),"")</f>
        <v/>
      </c>
      <c r="N69" s="19" t="str">
        <f>IFERROR(__xludf.DUMMYFUNCTION("IFNA(REGEXEXTRACT(E69, ""\d{1,2}""),"""")"),"7")</f>
        <v>7</v>
      </c>
      <c r="O69" s="14" t="b">
        <f t="shared" si="3"/>
        <v>0</v>
      </c>
    </row>
    <row r="70">
      <c r="A70" s="13" t="s">
        <v>1081</v>
      </c>
      <c r="B70" s="9" t="str">
        <f t="shared" si="1"/>
        <v>Йо.</v>
      </c>
      <c r="C70" s="11" t="str">
        <f t="shared" si="2"/>
        <v>55</v>
      </c>
      <c r="D70" s="9"/>
      <c r="E70" s="13" t="s">
        <v>982</v>
      </c>
      <c r="F70" s="14"/>
      <c r="G70" s="15" t="s">
        <v>913</v>
      </c>
      <c r="H70" s="16" t="s">
        <v>24</v>
      </c>
      <c r="I70" s="73">
        <v>7.0</v>
      </c>
      <c r="J70" s="54"/>
      <c r="K70" s="55">
        <v>4.0</v>
      </c>
      <c r="L70" s="18">
        <f>IFNA( VLOOKUP(LEFT(E70, IFERROR(FIND(" ", E70, 1),1) - 1), lists!$A$31:$B$37, 2, FALSE),"")</f>
        <v>4</v>
      </c>
      <c r="M70" s="18" t="str">
        <f>IFERROR(__xludf.DUMMYFUNCTION("IFNA(VLOOKUP(IFNA(REGEXEXTRACT(E70, ""(Пасхи|50-ці|посту)""),""""),lists!$A$39:$B$41,2,FALSE),"""")"),"")</f>
        <v/>
      </c>
      <c r="N70" s="19" t="str">
        <f>IFERROR(__xludf.DUMMYFUNCTION("IFNA(REGEXEXTRACT(E70, ""\d{1,2}""),"""")"),"7")</f>
        <v>7</v>
      </c>
      <c r="O70" s="14" t="b">
        <f t="shared" si="3"/>
        <v>0</v>
      </c>
    </row>
    <row r="71">
      <c r="A71" s="13" t="s">
        <v>1083</v>
      </c>
      <c r="B71" s="9" t="str">
        <f t="shared" si="1"/>
        <v>Йо.</v>
      </c>
      <c r="C71" s="11" t="str">
        <f t="shared" si="2"/>
        <v>57</v>
      </c>
      <c r="D71" s="9"/>
      <c r="E71" s="13" t="s">
        <v>986</v>
      </c>
      <c r="F71" s="14"/>
      <c r="G71" s="15" t="s">
        <v>913</v>
      </c>
      <c r="H71" s="16" t="s">
        <v>24</v>
      </c>
      <c r="I71" s="73">
        <v>7.0</v>
      </c>
      <c r="J71" s="54"/>
      <c r="K71" s="55">
        <v>5.0</v>
      </c>
      <c r="L71" s="18">
        <f>IFNA( VLOOKUP(LEFT(E71, IFERROR(FIND(" ", E71, 1),1) - 1), lists!$A$31:$B$37, 2, FALSE),"")</f>
        <v>5</v>
      </c>
      <c r="M71" s="18" t="str">
        <f>IFERROR(__xludf.DUMMYFUNCTION("IFNA(VLOOKUP(IFNA(REGEXEXTRACT(E71, ""(Пасхи|50-ці|посту)""),""""),lists!$A$39:$B$41,2,FALSE),"""")"),"")</f>
        <v/>
      </c>
      <c r="N71" s="19" t="str">
        <f>IFERROR(__xludf.DUMMYFUNCTION("IFNA(REGEXEXTRACT(E71, ""\d{1,2}""),"""")"),"7")</f>
        <v>7</v>
      </c>
      <c r="O71" s="14" t="b">
        <f t="shared" si="3"/>
        <v>0</v>
      </c>
    </row>
    <row r="72">
      <c r="A72" s="13" t="s">
        <v>1100</v>
      </c>
      <c r="B72" s="9" t="str">
        <f t="shared" si="1"/>
        <v>Йо.</v>
      </c>
      <c r="C72" s="11" t="str">
        <f t="shared" si="2"/>
        <v>67</v>
      </c>
      <c r="D72" s="9"/>
      <c r="E72" s="13" t="s">
        <v>1738</v>
      </c>
      <c r="F72" s="9"/>
      <c r="G72" s="15" t="s">
        <v>913</v>
      </c>
      <c r="H72" s="16" t="s">
        <v>24</v>
      </c>
      <c r="I72" s="53">
        <v>7.0</v>
      </c>
      <c r="J72" s="55"/>
      <c r="K72" s="55">
        <v>6.0</v>
      </c>
      <c r="L72" s="18" t="str">
        <f>IFNA( VLOOKUP(LEFT(E72, IFERROR(FIND(" ", E72, 1),1) - 1), lists!$A$31:$B$37, 2, FALSE),"")</f>
        <v/>
      </c>
      <c r="M72" s="18" t="str">
        <f>IFERROR(__xludf.DUMMYFUNCTION("IFNA(VLOOKUP(IFNA(REGEXEXTRACT(E72, ""(Пасхи|50-ці|посту)""),""""),lists!$A$39:$B$41,2,FALSE),"""")"),"")</f>
        <v/>
      </c>
      <c r="N72" s="19" t="str">
        <f>IFERROR(__xludf.DUMMYFUNCTION("IFNA(REGEXEXTRACT(E72, ""\d{1,2}""),"""")"),"11")</f>
        <v>11</v>
      </c>
      <c r="O72" s="14" t="b">
        <f t="shared" si="3"/>
        <v>0</v>
      </c>
    </row>
    <row r="73">
      <c r="A73" s="13" t="s">
        <v>1096</v>
      </c>
      <c r="B73" s="9" t="str">
        <f t="shared" si="1"/>
        <v>Йо.</v>
      </c>
      <c r="C73" s="11" t="str">
        <f t="shared" si="2"/>
        <v>65</v>
      </c>
      <c r="D73" s="26" t="s">
        <v>22</v>
      </c>
      <c r="E73" s="13" t="s">
        <v>1008</v>
      </c>
      <c r="F73" s="14"/>
      <c r="G73" s="15" t="s">
        <v>1744</v>
      </c>
      <c r="H73" s="16" t="s">
        <v>29</v>
      </c>
      <c r="I73" s="53">
        <v>1.0</v>
      </c>
      <c r="J73" s="54"/>
      <c r="K73" s="55">
        <v>0.0</v>
      </c>
      <c r="L73" s="18" t="str">
        <f>IFNA( VLOOKUP(LEFT(E73, IFERROR(FIND(" ", E73, 1),1) - 1), lists!$A$31:$B$37, 2, FALSE),"")</f>
        <v/>
      </c>
      <c r="M73" s="18" t="str">
        <f>IFERROR(__xludf.DUMMYFUNCTION("IFNA(VLOOKUP(IFNA(REGEXEXTRACT(E73, ""(Пасхи|50-ці|посту)""),""""),lists!$A$39:$B$41,2,FALSE),"""")"),"")</f>
        <v/>
      </c>
      <c r="N73" s="19" t="str">
        <f>IFERROR(__xludf.DUMMYFUNCTION("IFNA(REGEXEXTRACT(E73, ""\d{1,2}""),"""")"),"8")</f>
        <v>8</v>
      </c>
      <c r="O73" s="14" t="b">
        <f t="shared" si="3"/>
        <v>0</v>
      </c>
    </row>
    <row r="74">
      <c r="A74" s="13" t="s">
        <v>1047</v>
      </c>
      <c r="B74" s="9" t="str">
        <f t="shared" si="1"/>
        <v>Йо.</v>
      </c>
      <c r="C74" s="11" t="str">
        <f t="shared" si="2"/>
        <v>27</v>
      </c>
      <c r="D74" s="9"/>
      <c r="E74" s="13" t="s">
        <v>912</v>
      </c>
      <c r="F74" s="14"/>
      <c r="G74" s="15" t="s">
        <v>913</v>
      </c>
      <c r="H74" s="16" t="s">
        <v>29</v>
      </c>
      <c r="I74" s="53">
        <v>1.0</v>
      </c>
      <c r="J74" s="54"/>
      <c r="K74" s="55">
        <v>0.0</v>
      </c>
      <c r="L74" s="18">
        <f>IFNA( VLOOKUP(LEFT(E74, IFERROR(FIND(" ", E74, 1),1) - 1), lists!$A$31:$B$37, 2, FALSE),"")</f>
        <v>7</v>
      </c>
      <c r="M74" s="18" t="str">
        <f>IFERROR(__xludf.DUMMYFUNCTION("IFNA(VLOOKUP(IFNA(REGEXEXTRACT(E74, ""(Пасхи|50-ці|посту)""),""""),lists!$A$39:$B$41,2,FALSE),"""")"),"")</f>
        <v/>
      </c>
      <c r="N74" s="19" t="str">
        <f>IFERROR(__xludf.DUMMYFUNCTION("IFNA(REGEXEXTRACT(E74, ""\d{1,2}""),"""")"),"8")</f>
        <v>8</v>
      </c>
      <c r="O74" s="14" t="b">
        <f t="shared" si="3"/>
        <v>0</v>
      </c>
    </row>
    <row r="75">
      <c r="A75" s="13" t="s">
        <v>1634</v>
      </c>
      <c r="B75" s="9" t="str">
        <f t="shared" si="1"/>
        <v>Мт.</v>
      </c>
      <c r="C75" s="11" t="str">
        <f t="shared" si="2"/>
        <v>75</v>
      </c>
      <c r="D75" s="9"/>
      <c r="E75" s="13" t="s">
        <v>1635</v>
      </c>
      <c r="F75" s="14"/>
      <c r="G75" s="15" t="s">
        <v>913</v>
      </c>
      <c r="H75" s="16" t="s">
        <v>29</v>
      </c>
      <c r="I75" s="53">
        <v>1.0</v>
      </c>
      <c r="J75" s="54"/>
      <c r="K75" s="55">
        <v>1.0</v>
      </c>
      <c r="L75" s="18">
        <f>IFNA( VLOOKUP(LEFT(E75, IFERROR(FIND(" ", E75, 1),1) - 1), lists!$A$31:$B$37, 2, FALSE),"")</f>
        <v>1</v>
      </c>
      <c r="M75" s="18" t="str">
        <f>IFERROR(__xludf.DUMMYFUNCTION("IFNA(VLOOKUP(IFNA(REGEXEXTRACT(E75, ""(Пасхи|50-ці|посту)""),""""),lists!$A$39:$B$41,2,FALSE),"""")"),"")</f>
        <v/>
      </c>
      <c r="N75" s="19" t="str">
        <f>IFERROR(__xludf.DUMMYFUNCTION("IFNA(REGEXEXTRACT(E75, ""\d{1,2}""),"""")"),"")</f>
        <v/>
      </c>
      <c r="O75" s="14" t="b">
        <f t="shared" si="3"/>
        <v>0</v>
      </c>
    </row>
    <row r="76">
      <c r="A76" s="13" t="s">
        <v>1510</v>
      </c>
      <c r="B76" s="9" t="str">
        <f t="shared" si="1"/>
        <v>Мт.</v>
      </c>
      <c r="C76" s="11" t="str">
        <f t="shared" si="2"/>
        <v>10</v>
      </c>
      <c r="D76" s="12" t="s">
        <v>18</v>
      </c>
      <c r="E76" s="13" t="s">
        <v>1511</v>
      </c>
      <c r="F76" s="14"/>
      <c r="G76" s="15" t="s">
        <v>913</v>
      </c>
      <c r="H76" s="16" t="s">
        <v>29</v>
      </c>
      <c r="I76" s="73">
        <v>1.0</v>
      </c>
      <c r="J76" s="54"/>
      <c r="K76" s="55">
        <v>2.0</v>
      </c>
      <c r="L76" s="18">
        <f>IFNA( VLOOKUP(LEFT(E76, IFERROR(FIND(" ", E76, 1),1) - 1), lists!$A$31:$B$37, 2, FALSE),"")</f>
        <v>2</v>
      </c>
      <c r="M76" s="18" t="str">
        <f>IFERROR(__xludf.DUMMYFUNCTION("IFNA(VLOOKUP(IFNA(REGEXEXTRACT(E76, ""(Пасхи|50-ці|посту)""),""""),lists!$A$39:$B$41,2,FALSE),"""")"),"")</f>
        <v/>
      </c>
      <c r="N76" s="19" t="str">
        <f>IFERROR(__xludf.DUMMYFUNCTION("IFNA(REGEXEXTRACT(E76, ""\d{1,2}""),"""")"),"1")</f>
        <v>1</v>
      </c>
      <c r="O76" s="14" t="b">
        <f t="shared" si="3"/>
        <v>0</v>
      </c>
    </row>
    <row r="77">
      <c r="A77" s="13" t="s">
        <v>1518</v>
      </c>
      <c r="B77" s="9" t="str">
        <f t="shared" si="1"/>
        <v>Мт.</v>
      </c>
      <c r="C77" s="11" t="str">
        <f t="shared" si="2"/>
        <v>12</v>
      </c>
      <c r="D77" s="9"/>
      <c r="E77" s="13" t="s">
        <v>1519</v>
      </c>
      <c r="F77" s="14"/>
      <c r="G77" s="15" t="s">
        <v>913</v>
      </c>
      <c r="H77" s="16" t="s">
        <v>29</v>
      </c>
      <c r="I77" s="73">
        <v>1.0</v>
      </c>
      <c r="J77" s="54"/>
      <c r="K77" s="55">
        <v>3.0</v>
      </c>
      <c r="L77" s="18">
        <f>IFNA( VLOOKUP(LEFT(E77, IFERROR(FIND(" ", E77, 1),1) - 1), lists!$A$31:$B$37, 2, FALSE),"")</f>
        <v>3</v>
      </c>
      <c r="M77" s="18" t="str">
        <f>IFERROR(__xludf.DUMMYFUNCTION("IFNA(VLOOKUP(IFNA(REGEXEXTRACT(E77, ""(Пасхи|50-ці|посту)""),""""),lists!$A$39:$B$41,2,FALSE),"""")"),"")</f>
        <v/>
      </c>
      <c r="N77" s="19" t="str">
        <f>IFERROR(__xludf.DUMMYFUNCTION("IFNA(REGEXEXTRACT(E77, ""\d{1,2}""),"""")"),"1")</f>
        <v>1</v>
      </c>
      <c r="O77" s="14" t="b">
        <f t="shared" si="3"/>
        <v>0</v>
      </c>
    </row>
    <row r="78">
      <c r="A78" s="13" t="s">
        <v>1520</v>
      </c>
      <c r="B78" s="9" t="str">
        <f t="shared" si="1"/>
        <v>Мт.</v>
      </c>
      <c r="C78" s="11" t="str">
        <f t="shared" si="2"/>
        <v>13</v>
      </c>
      <c r="D78" s="9"/>
      <c r="E78" s="13" t="s">
        <v>1521</v>
      </c>
      <c r="F78" s="14"/>
      <c r="G78" s="15" t="s">
        <v>913</v>
      </c>
      <c r="H78" s="16" t="s">
        <v>29</v>
      </c>
      <c r="I78" s="73">
        <v>1.0</v>
      </c>
      <c r="J78" s="54"/>
      <c r="K78" s="55">
        <v>4.0</v>
      </c>
      <c r="L78" s="18">
        <f>IFNA( VLOOKUP(LEFT(E78, IFERROR(FIND(" ", E78, 1),1) - 1), lists!$A$31:$B$37, 2, FALSE),"")</f>
        <v>4</v>
      </c>
      <c r="M78" s="18" t="str">
        <f>IFERROR(__xludf.DUMMYFUNCTION("IFNA(VLOOKUP(IFNA(REGEXEXTRACT(E78, ""(Пасхи|50-ці|посту)""),""""),lists!$A$39:$B$41,2,FALSE),"""")"),"")</f>
        <v/>
      </c>
      <c r="N78" s="19" t="str">
        <f>IFERROR(__xludf.DUMMYFUNCTION("IFNA(REGEXEXTRACT(E78, ""\d{1,2}""),"""")"),"1")</f>
        <v>1</v>
      </c>
      <c r="O78" s="14" t="b">
        <f t="shared" si="3"/>
        <v>0</v>
      </c>
    </row>
    <row r="79">
      <c r="A79" s="13" t="s">
        <v>1522</v>
      </c>
      <c r="B79" s="9" t="str">
        <f t="shared" si="1"/>
        <v>Мт.</v>
      </c>
      <c r="C79" s="11" t="str">
        <f t="shared" si="2"/>
        <v>14</v>
      </c>
      <c r="D79" s="9"/>
      <c r="E79" s="13" t="s">
        <v>1523</v>
      </c>
      <c r="F79" s="14"/>
      <c r="G79" s="15" t="s">
        <v>913</v>
      </c>
      <c r="H79" s="16" t="s">
        <v>29</v>
      </c>
      <c r="I79" s="73">
        <v>1.0</v>
      </c>
      <c r="J79" s="54"/>
      <c r="K79" s="55">
        <v>5.0</v>
      </c>
      <c r="L79" s="18">
        <f>IFNA( VLOOKUP(LEFT(E79, IFERROR(FIND(" ", E79, 1),1) - 1), lists!$A$31:$B$37, 2, FALSE),"")</f>
        <v>5</v>
      </c>
      <c r="M79" s="18" t="str">
        <f>IFERROR(__xludf.DUMMYFUNCTION("IFNA(VLOOKUP(IFNA(REGEXEXTRACT(E79, ""(Пасхи|50-ці|посту)""),""""),lists!$A$39:$B$41,2,FALSE),"""")"),"")</f>
        <v/>
      </c>
      <c r="N79" s="19" t="str">
        <f>IFERROR(__xludf.DUMMYFUNCTION("IFNA(REGEXEXTRACT(E79, ""\d{1,2}""),"""")"),"1")</f>
        <v>1</v>
      </c>
      <c r="O79" s="14" t="b">
        <f t="shared" si="3"/>
        <v>0</v>
      </c>
    </row>
    <row r="80">
      <c r="A80" s="13" t="s">
        <v>1524</v>
      </c>
      <c r="B80" s="9" t="str">
        <f t="shared" si="1"/>
        <v>Мт.</v>
      </c>
      <c r="C80" s="11" t="str">
        <f t="shared" si="2"/>
        <v>15</v>
      </c>
      <c r="D80" s="9"/>
      <c r="E80" s="13" t="s">
        <v>1525</v>
      </c>
      <c r="F80" s="14"/>
      <c r="G80" s="15" t="s">
        <v>913</v>
      </c>
      <c r="H80" s="16" t="s">
        <v>29</v>
      </c>
      <c r="I80" s="73">
        <v>1.0</v>
      </c>
      <c r="J80" s="54"/>
      <c r="K80" s="55">
        <v>6.0</v>
      </c>
      <c r="L80" s="18">
        <f>IFNA( VLOOKUP(LEFT(E80, IFERROR(FIND(" ", E80, 1),1) - 1), lists!$A$31:$B$37, 2, FALSE),"")</f>
        <v>6</v>
      </c>
      <c r="M80" s="18" t="str">
        <f>IFERROR(__xludf.DUMMYFUNCTION("IFNA(VLOOKUP(IFNA(REGEXEXTRACT(E80, ""(Пасхи|50-ці|посту)""),""""),lists!$A$39:$B$41,2,FALSE),"""")"),"")</f>
        <v/>
      </c>
      <c r="N80" s="19" t="str">
        <f>IFERROR(__xludf.DUMMYFUNCTION("IFNA(REGEXEXTRACT(E80, ""\d{1,2}""),"""")"),"1")</f>
        <v>1</v>
      </c>
      <c r="O80" s="14" t="b">
        <f t="shared" si="3"/>
        <v>0</v>
      </c>
    </row>
    <row r="81">
      <c r="A81" s="13" t="s">
        <v>1565</v>
      </c>
      <c r="B81" s="9" t="str">
        <f t="shared" si="1"/>
        <v>Мт.</v>
      </c>
      <c r="C81" s="11" t="str">
        <f t="shared" si="2"/>
        <v>38</v>
      </c>
      <c r="D81" s="12" t="s">
        <v>18</v>
      </c>
      <c r="E81" s="13" t="s">
        <v>1566</v>
      </c>
      <c r="F81" s="14"/>
      <c r="G81" s="15" t="s">
        <v>913</v>
      </c>
      <c r="H81" s="16" t="s">
        <v>29</v>
      </c>
      <c r="I81" s="73">
        <v>1.0</v>
      </c>
      <c r="J81" s="54"/>
      <c r="K81" s="55">
        <v>7.0</v>
      </c>
      <c r="L81" s="18">
        <f>IFNA( VLOOKUP(LEFT(E81, IFERROR(FIND(" ", E81, 1),1) - 1), lists!$A$31:$B$37, 2, FALSE),"")</f>
        <v>7</v>
      </c>
      <c r="M81" s="18" t="str">
        <f>IFERROR(__xludf.DUMMYFUNCTION("IFNA(VLOOKUP(IFNA(REGEXEXTRACT(E81, ""(Пасхи|50-ці|посту)""),""""),lists!$A$39:$B$41,2,FALSE),"""")"),"")</f>
        <v/>
      </c>
      <c r="N81" s="19" t="str">
        <f>IFERROR(__xludf.DUMMYFUNCTION("IFNA(REGEXEXTRACT(E81, ""\d{1,2}""),"""")"),"1")</f>
        <v>1</v>
      </c>
      <c r="O81" s="14" t="b">
        <f t="shared" si="3"/>
        <v>0</v>
      </c>
    </row>
    <row r="82">
      <c r="A82" s="13" t="s">
        <v>1531</v>
      </c>
      <c r="B82" s="9" t="str">
        <f t="shared" si="1"/>
        <v>Мт.</v>
      </c>
      <c r="C82" s="11" t="str">
        <f t="shared" si="2"/>
        <v>19</v>
      </c>
      <c r="D82" s="9"/>
      <c r="E82" s="13" t="s">
        <v>871</v>
      </c>
      <c r="F82" s="14"/>
      <c r="G82" s="15" t="s">
        <v>913</v>
      </c>
      <c r="H82" s="16" t="s">
        <v>29</v>
      </c>
      <c r="I82" s="73">
        <v>2.0</v>
      </c>
      <c r="J82" s="54"/>
      <c r="K82" s="55">
        <v>1.0</v>
      </c>
      <c r="L82" s="18">
        <f>IFNA( VLOOKUP(LEFT(E82, IFERROR(FIND(" ", E82, 1),1) - 1), lists!$A$31:$B$37, 2, FALSE),"")</f>
        <v>1</v>
      </c>
      <c r="M82" s="18" t="str">
        <f>IFERROR(__xludf.DUMMYFUNCTION("IFNA(VLOOKUP(IFNA(REGEXEXTRACT(E82, ""(Пасхи|50-ці|посту)""),""""),lists!$A$39:$B$41,2,FALSE),"""")"),"")</f>
        <v/>
      </c>
      <c r="N82" s="19" t="str">
        <f>IFERROR(__xludf.DUMMYFUNCTION("IFNA(REGEXEXTRACT(E82, ""\d{1,2}""),"""")"),"2")</f>
        <v>2</v>
      </c>
      <c r="O82" s="14" t="b">
        <f t="shared" si="3"/>
        <v>0</v>
      </c>
    </row>
    <row r="83">
      <c r="A83" s="13" t="s">
        <v>1538</v>
      </c>
      <c r="B83" s="9" t="str">
        <f t="shared" si="1"/>
        <v>Мт.</v>
      </c>
      <c r="C83" s="11" t="str">
        <f t="shared" si="2"/>
        <v>22</v>
      </c>
      <c r="D83" s="9"/>
      <c r="E83" s="13" t="s">
        <v>877</v>
      </c>
      <c r="F83" s="14"/>
      <c r="G83" s="15" t="s">
        <v>913</v>
      </c>
      <c r="H83" s="16" t="s">
        <v>29</v>
      </c>
      <c r="I83" s="73">
        <v>2.0</v>
      </c>
      <c r="J83" s="54"/>
      <c r="K83" s="55">
        <v>2.0</v>
      </c>
      <c r="L83" s="18">
        <f>IFNA( VLOOKUP(LEFT(E83, IFERROR(FIND(" ", E83, 1),1) - 1), lists!$A$31:$B$37, 2, FALSE),"")</f>
        <v>2</v>
      </c>
      <c r="M83" s="18" t="str">
        <f>IFERROR(__xludf.DUMMYFUNCTION("IFNA(VLOOKUP(IFNA(REGEXEXTRACT(E83, ""(Пасхи|50-ці|посту)""),""""),lists!$A$39:$B$41,2,FALSE),"""")"),"")</f>
        <v/>
      </c>
      <c r="N83" s="19" t="str">
        <f>IFERROR(__xludf.DUMMYFUNCTION("IFNA(REGEXEXTRACT(E83, ""\d{1,2}""),"""")"),"2")</f>
        <v>2</v>
      </c>
      <c r="O83" s="14" t="b">
        <f t="shared" si="3"/>
        <v>0</v>
      </c>
    </row>
    <row r="84">
      <c r="A84" s="13" t="s">
        <v>1539</v>
      </c>
      <c r="B84" s="9" t="str">
        <f t="shared" si="1"/>
        <v>Мт.</v>
      </c>
      <c r="C84" s="11" t="str">
        <f t="shared" si="2"/>
        <v>23</v>
      </c>
      <c r="D84" s="9"/>
      <c r="E84" s="13" t="s">
        <v>1540</v>
      </c>
      <c r="F84" s="14"/>
      <c r="G84" s="15" t="s">
        <v>913</v>
      </c>
      <c r="H84" s="16" t="s">
        <v>29</v>
      </c>
      <c r="I84" s="73">
        <v>2.0</v>
      </c>
      <c r="J84" s="54"/>
      <c r="K84" s="55">
        <v>3.0</v>
      </c>
      <c r="L84" s="18">
        <f>IFNA( VLOOKUP(LEFT(E84, IFERROR(FIND(" ", E84, 1),1) - 1), lists!$A$31:$B$37, 2, FALSE),"")</f>
        <v>3</v>
      </c>
      <c r="M84" s="18" t="str">
        <f>IFERROR(__xludf.DUMMYFUNCTION("IFNA(VLOOKUP(IFNA(REGEXEXTRACT(E84, ""(Пасхи|50-ці|посту)""),""""),lists!$A$39:$B$41,2,FALSE),"""")"),"")</f>
        <v/>
      </c>
      <c r="N84" s="19" t="str">
        <f>IFERROR(__xludf.DUMMYFUNCTION("IFNA(REGEXEXTRACT(E84, ""\d{1,2}""),"""")"),"2")</f>
        <v>2</v>
      </c>
      <c r="O84" s="14" t="b">
        <f t="shared" si="3"/>
        <v>0</v>
      </c>
    </row>
    <row r="85">
      <c r="A85" s="13" t="s">
        <v>1546</v>
      </c>
      <c r="B85" s="9" t="str">
        <f t="shared" si="1"/>
        <v>Мт.</v>
      </c>
      <c r="C85" s="11" t="str">
        <f t="shared" si="2"/>
        <v>27</v>
      </c>
      <c r="D85" s="9"/>
      <c r="E85" s="13" t="s">
        <v>1547</v>
      </c>
      <c r="F85" s="14"/>
      <c r="G85" s="15" t="s">
        <v>913</v>
      </c>
      <c r="H85" s="16" t="s">
        <v>29</v>
      </c>
      <c r="I85" s="73">
        <v>2.0</v>
      </c>
      <c r="J85" s="54"/>
      <c r="K85" s="55">
        <v>4.0</v>
      </c>
      <c r="L85" s="18">
        <f>IFNA( VLOOKUP(LEFT(E85, IFERROR(FIND(" ", E85, 1),1) - 1), lists!$A$31:$B$37, 2, FALSE),"")</f>
        <v>4</v>
      </c>
      <c r="M85" s="18" t="str">
        <f>IFERROR(__xludf.DUMMYFUNCTION("IFNA(VLOOKUP(IFNA(REGEXEXTRACT(E85, ""(Пасхи|50-ці|посту)""),""""),lists!$A$39:$B$41,2,FALSE),"""")"),"")</f>
        <v/>
      </c>
      <c r="N85" s="19" t="str">
        <f>IFERROR(__xludf.DUMMYFUNCTION("IFNA(REGEXEXTRACT(E85, ""\d{1,2}""),"""")"),"2")</f>
        <v>2</v>
      </c>
      <c r="O85" s="14" t="b">
        <f t="shared" si="3"/>
        <v>0</v>
      </c>
    </row>
    <row r="86">
      <c r="A86" s="13" t="s">
        <v>1554</v>
      </c>
      <c r="B86" s="9" t="str">
        <f t="shared" si="1"/>
        <v>Мт.</v>
      </c>
      <c r="C86" s="11" t="str">
        <f t="shared" si="2"/>
        <v>31</v>
      </c>
      <c r="D86" s="9"/>
      <c r="E86" s="13" t="s">
        <v>890</v>
      </c>
      <c r="F86" s="14"/>
      <c r="G86" s="15" t="s">
        <v>913</v>
      </c>
      <c r="H86" s="16" t="s">
        <v>29</v>
      </c>
      <c r="I86" s="73">
        <v>2.0</v>
      </c>
      <c r="J86" s="54"/>
      <c r="K86" s="55">
        <v>5.0</v>
      </c>
      <c r="L86" s="18">
        <f>IFNA( VLOOKUP(LEFT(E86, IFERROR(FIND(" ", E86, 1),1) - 1), lists!$A$31:$B$37, 2, FALSE),"")</f>
        <v>5</v>
      </c>
      <c r="M86" s="18" t="str">
        <f>IFERROR(__xludf.DUMMYFUNCTION("IFNA(VLOOKUP(IFNA(REGEXEXTRACT(E86, ""(Пасхи|50-ці|посту)""),""""),lists!$A$39:$B$41,2,FALSE),"""")"),"")</f>
        <v/>
      </c>
      <c r="N86" s="19" t="str">
        <f>IFERROR(__xludf.DUMMYFUNCTION("IFNA(REGEXEXTRACT(E86, ""\d{1,2}""),"""")"),"2")</f>
        <v>2</v>
      </c>
      <c r="O86" s="14" t="b">
        <f t="shared" si="3"/>
        <v>0</v>
      </c>
    </row>
    <row r="87">
      <c r="A87" s="13" t="s">
        <v>1532</v>
      </c>
      <c r="B87" s="9" t="str">
        <f t="shared" si="1"/>
        <v>Мт.</v>
      </c>
      <c r="C87" s="11" t="str">
        <f t="shared" si="2"/>
        <v>20</v>
      </c>
      <c r="D87" s="26" t="s">
        <v>18</v>
      </c>
      <c r="E87" s="13" t="s">
        <v>1533</v>
      </c>
      <c r="F87" s="14"/>
      <c r="G87" s="15" t="s">
        <v>913</v>
      </c>
      <c r="H87" s="16" t="s">
        <v>29</v>
      </c>
      <c r="I87" s="73">
        <v>2.0</v>
      </c>
      <c r="J87" s="54"/>
      <c r="K87" s="55">
        <v>6.0</v>
      </c>
      <c r="L87" s="18">
        <f>IFNA( VLOOKUP(LEFT(E87, IFERROR(FIND(" ", E87, 1),1) - 1), lists!$A$31:$B$37, 2, FALSE),"")</f>
        <v>6</v>
      </c>
      <c r="M87" s="18" t="str">
        <f>IFERROR(__xludf.DUMMYFUNCTION("IFNA(VLOOKUP(IFNA(REGEXEXTRACT(E87, ""(Пасхи|50-ці|посту)""),""""),lists!$A$39:$B$41,2,FALSE),"""")"),"")</f>
        <v/>
      </c>
      <c r="N87" s="19" t="str">
        <f>IFERROR(__xludf.DUMMYFUNCTION("IFNA(REGEXEXTRACT(E87, ""\d{1,2}""),"""")"),"2")</f>
        <v>2</v>
      </c>
      <c r="O87" s="14" t="b">
        <f t="shared" si="3"/>
        <v>0</v>
      </c>
    </row>
    <row r="88">
      <c r="A88" s="61" t="s">
        <v>1508</v>
      </c>
      <c r="B88" s="56" t="str">
        <f t="shared" si="1"/>
        <v>Мт.</v>
      </c>
      <c r="C88" s="57" t="str">
        <f t="shared" si="2"/>
        <v>9</v>
      </c>
      <c r="D88" s="56"/>
      <c r="E88" s="61" t="s">
        <v>1509</v>
      </c>
      <c r="F88" s="88" t="s">
        <v>1746</v>
      </c>
      <c r="G88" s="15" t="s">
        <v>913</v>
      </c>
      <c r="H88" s="16" t="s">
        <v>29</v>
      </c>
      <c r="I88" s="73">
        <v>2.0</v>
      </c>
      <c r="J88" s="54"/>
      <c r="K88" s="55">
        <v>7.0</v>
      </c>
      <c r="L88" s="18">
        <f>IFNA( VLOOKUP(LEFT(E88, IFERROR(FIND(" ", E88, 1),1) - 1), lists!$A$31:$B$37, 2, FALSE),"")</f>
        <v>7</v>
      </c>
      <c r="M88" s="18" t="str">
        <f>IFERROR(__xludf.DUMMYFUNCTION("IFNA(VLOOKUP(IFNA(REGEXEXTRACT(E88, ""(Пасхи|50-ці|посту)""),""""),lists!$A$39:$B$41,2,FALSE),"""")"),"")</f>
        <v/>
      </c>
      <c r="N88" s="19" t="str">
        <f>IFERROR(__xludf.DUMMYFUNCTION("IFNA(REGEXEXTRACT(E88, ""\d{1,2}""),"""")"),"2")</f>
        <v>2</v>
      </c>
      <c r="O88" s="14" t="b">
        <f t="shared" si="3"/>
        <v>0</v>
      </c>
    </row>
    <row r="89">
      <c r="A89" s="13" t="s">
        <v>1512</v>
      </c>
      <c r="B89" s="9" t="str">
        <f t="shared" si="1"/>
        <v>Мт.</v>
      </c>
      <c r="C89" s="11" t="str">
        <f t="shared" si="2"/>
        <v>10</v>
      </c>
      <c r="D89" s="12" t="s">
        <v>22</v>
      </c>
      <c r="E89" s="21" t="s">
        <v>1747</v>
      </c>
      <c r="F89" s="9"/>
      <c r="G89" s="15" t="s">
        <v>913</v>
      </c>
      <c r="H89" s="16" t="s">
        <v>29</v>
      </c>
      <c r="I89" s="73">
        <v>2.0</v>
      </c>
      <c r="J89" s="54"/>
      <c r="K89" s="55">
        <v>7.0</v>
      </c>
      <c r="L89" s="18">
        <f>IFNA( VLOOKUP(LEFT(E89, IFERROR(FIND(" ", E89, 1),1) - 1), lists!$A$31:$B$37, 2, FALSE),"")</f>
        <v>7</v>
      </c>
      <c r="M89" s="18" t="str">
        <f>IFERROR(__xludf.DUMMYFUNCTION("IFNA(VLOOKUP(IFNA(REGEXEXTRACT(E89, ""(Пасхи|50-ці|посту)""),""""),lists!$A$39:$B$41,2,FALSE),"""")"),"")</f>
        <v/>
      </c>
      <c r="N89" s="19" t="str">
        <f>IFERROR(__xludf.DUMMYFUNCTION("IFNA(REGEXEXTRACT(E89, ""\d{1,2}""),"""")"),"2")</f>
        <v>2</v>
      </c>
      <c r="O89" s="14" t="b">
        <f t="shared" si="3"/>
        <v>0</v>
      </c>
    </row>
    <row r="90">
      <c r="A90" s="13" t="s">
        <v>1558</v>
      </c>
      <c r="B90" s="9" t="str">
        <f t="shared" si="1"/>
        <v>Мт.</v>
      </c>
      <c r="C90" s="11" t="str">
        <f t="shared" si="2"/>
        <v>34</v>
      </c>
      <c r="D90" s="12" t="s">
        <v>18</v>
      </c>
      <c r="E90" s="13" t="s">
        <v>882</v>
      </c>
      <c r="F90" s="14"/>
      <c r="G90" s="15" t="s">
        <v>913</v>
      </c>
      <c r="H90" s="16" t="s">
        <v>29</v>
      </c>
      <c r="I90" s="73">
        <v>3.0</v>
      </c>
      <c r="J90" s="54"/>
      <c r="K90" s="55">
        <v>1.0</v>
      </c>
      <c r="L90" s="18">
        <f>IFNA( VLOOKUP(LEFT(E90, IFERROR(FIND(" ", E90, 1),1) - 1), lists!$A$31:$B$37, 2, FALSE),"")</f>
        <v>1</v>
      </c>
      <c r="M90" s="18" t="str">
        <f>IFERROR(__xludf.DUMMYFUNCTION("IFNA(VLOOKUP(IFNA(REGEXEXTRACT(E90, ""(Пасхи|50-ці|посту)""),""""),lists!$A$39:$B$41,2,FALSE),"""")"),"")</f>
        <v/>
      </c>
      <c r="N90" s="19" t="str">
        <f>IFERROR(__xludf.DUMMYFUNCTION("IFNA(REGEXEXTRACT(E90, ""\d{1,2}""),"""")"),"3")</f>
        <v>3</v>
      </c>
      <c r="O90" s="14" t="b">
        <f t="shared" si="3"/>
        <v>0</v>
      </c>
    </row>
    <row r="91">
      <c r="A91" s="13" t="s">
        <v>1561</v>
      </c>
      <c r="B91" s="9" t="str">
        <f t="shared" si="1"/>
        <v>Мт.</v>
      </c>
      <c r="C91" s="11" t="str">
        <f t="shared" si="2"/>
        <v>35</v>
      </c>
      <c r="D91" s="9"/>
      <c r="E91" s="13" t="s">
        <v>896</v>
      </c>
      <c r="F91" s="14"/>
      <c r="G91" s="15" t="s">
        <v>913</v>
      </c>
      <c r="H91" s="16" t="s">
        <v>29</v>
      </c>
      <c r="I91" s="73">
        <v>3.0</v>
      </c>
      <c r="J91" s="54"/>
      <c r="K91" s="55">
        <v>2.0</v>
      </c>
      <c r="L91" s="18">
        <f>IFNA( VLOOKUP(LEFT(E91, IFERROR(FIND(" ", E91, 1),1) - 1), lists!$A$31:$B$37, 2, FALSE),"")</f>
        <v>2</v>
      </c>
      <c r="M91" s="18" t="str">
        <f>IFERROR(__xludf.DUMMYFUNCTION("IFNA(VLOOKUP(IFNA(REGEXEXTRACT(E91, ""(Пасхи|50-ці|посту)""),""""),lists!$A$39:$B$41,2,FALSE),"""")"),"")</f>
        <v/>
      </c>
      <c r="N91" s="19" t="str">
        <f>IFERROR(__xludf.DUMMYFUNCTION("IFNA(REGEXEXTRACT(E91, ""\d{1,2}""),"""")"),"3")</f>
        <v>3</v>
      </c>
      <c r="O91" s="14" t="b">
        <f t="shared" si="3"/>
        <v>0</v>
      </c>
    </row>
    <row r="92">
      <c r="A92" s="13" t="s">
        <v>1562</v>
      </c>
      <c r="B92" s="9" t="str">
        <f t="shared" si="1"/>
        <v>Мт.</v>
      </c>
      <c r="C92" s="11" t="str">
        <f t="shared" si="2"/>
        <v>36</v>
      </c>
      <c r="D92" s="9"/>
      <c r="E92" s="13" t="s">
        <v>1563</v>
      </c>
      <c r="F92" s="14"/>
      <c r="G92" s="15" t="s">
        <v>913</v>
      </c>
      <c r="H92" s="16" t="s">
        <v>29</v>
      </c>
      <c r="I92" s="73">
        <v>3.0</v>
      </c>
      <c r="J92" s="54"/>
      <c r="K92" s="55">
        <v>3.0</v>
      </c>
      <c r="L92" s="18">
        <f>IFNA( VLOOKUP(LEFT(E92, IFERROR(FIND(" ", E92, 1),1) - 1), lists!$A$31:$B$37, 2, FALSE),"")</f>
        <v>3</v>
      </c>
      <c r="M92" s="18" t="str">
        <f>IFERROR(__xludf.DUMMYFUNCTION("IFNA(VLOOKUP(IFNA(REGEXEXTRACT(E92, ""(Пасхи|50-ці|посту)""),""""),lists!$A$39:$B$41,2,FALSE),"""")"),"")</f>
        <v/>
      </c>
      <c r="N92" s="19" t="str">
        <f>IFERROR(__xludf.DUMMYFUNCTION("IFNA(REGEXEXTRACT(E92, ""\d{1,2}""),"""")"),"3")</f>
        <v>3</v>
      </c>
      <c r="O92" s="14" t="b">
        <f t="shared" si="3"/>
        <v>0</v>
      </c>
    </row>
    <row r="93">
      <c r="A93" s="13" t="s">
        <v>1564</v>
      </c>
      <c r="B93" s="9" t="str">
        <f t="shared" si="1"/>
        <v>Мт.</v>
      </c>
      <c r="C93" s="11" t="str">
        <f t="shared" si="2"/>
        <v>37</v>
      </c>
      <c r="D93" s="9"/>
      <c r="E93" s="13" t="s">
        <v>900</v>
      </c>
      <c r="F93" s="14"/>
      <c r="G93" s="15" t="s">
        <v>913</v>
      </c>
      <c r="H93" s="16" t="s">
        <v>29</v>
      </c>
      <c r="I93" s="73">
        <v>3.0</v>
      </c>
      <c r="J93" s="54"/>
      <c r="K93" s="55">
        <v>4.0</v>
      </c>
      <c r="L93" s="18">
        <f>IFNA( VLOOKUP(LEFT(E93, IFERROR(FIND(" ", E93, 1),1) - 1), lists!$A$31:$B$37, 2, FALSE),"")</f>
        <v>4</v>
      </c>
      <c r="M93" s="18" t="str">
        <f>IFERROR(__xludf.DUMMYFUNCTION("IFNA(VLOOKUP(IFNA(REGEXEXTRACT(E93, ""(Пасхи|50-ці|посту)""),""""),lists!$A$39:$B$41,2,FALSE),"""")"),"")</f>
        <v/>
      </c>
      <c r="N93" s="19" t="str">
        <f>IFERROR(__xludf.DUMMYFUNCTION("IFNA(REGEXEXTRACT(E93, ""\d{1,2}""),"""")"),"3")</f>
        <v>3</v>
      </c>
      <c r="O93" s="14" t="b">
        <f t="shared" si="3"/>
        <v>0</v>
      </c>
    </row>
    <row r="94">
      <c r="A94" s="13" t="s">
        <v>1567</v>
      </c>
      <c r="B94" s="9" t="str">
        <f t="shared" si="1"/>
        <v>Мт.</v>
      </c>
      <c r="C94" s="11" t="str">
        <f t="shared" si="2"/>
        <v>38</v>
      </c>
      <c r="D94" s="12" t="s">
        <v>22</v>
      </c>
      <c r="E94" s="13" t="s">
        <v>1043</v>
      </c>
      <c r="F94" s="14"/>
      <c r="G94" s="15" t="s">
        <v>913</v>
      </c>
      <c r="H94" s="16" t="s">
        <v>29</v>
      </c>
      <c r="I94" s="73">
        <v>3.0</v>
      </c>
      <c r="J94" s="54"/>
      <c r="K94" s="55">
        <v>5.0</v>
      </c>
      <c r="L94" s="18">
        <f>IFNA( VLOOKUP(LEFT(E94, IFERROR(FIND(" ", E94, 1),1) - 1), lists!$A$31:$B$37, 2, FALSE),"")</f>
        <v>5</v>
      </c>
      <c r="M94" s="18" t="str">
        <f>IFERROR(__xludf.DUMMYFUNCTION("IFNA(VLOOKUP(IFNA(REGEXEXTRACT(E94, ""(Пасхи|50-ці|посту)""),""""),lists!$A$39:$B$41,2,FALSE),"""")"),"")</f>
        <v/>
      </c>
      <c r="N94" s="19" t="str">
        <f>IFERROR(__xludf.DUMMYFUNCTION("IFNA(REGEXEXTRACT(E94, ""\d{1,2}""),"""")"),"3")</f>
        <v>3</v>
      </c>
      <c r="O94" s="14" t="b">
        <f t="shared" si="3"/>
        <v>0</v>
      </c>
    </row>
    <row r="95">
      <c r="A95" s="13" t="s">
        <v>1541</v>
      </c>
      <c r="B95" s="9" t="str">
        <f t="shared" si="1"/>
        <v>Мт.</v>
      </c>
      <c r="C95" s="11" t="str">
        <f t="shared" si="2"/>
        <v>24</v>
      </c>
      <c r="D95" s="9"/>
      <c r="E95" s="21" t="s">
        <v>1748</v>
      </c>
      <c r="F95" s="14"/>
      <c r="G95" s="15" t="s">
        <v>913</v>
      </c>
      <c r="H95" s="16" t="s">
        <v>29</v>
      </c>
      <c r="I95" s="73">
        <v>3.0</v>
      </c>
      <c r="J95" s="54"/>
      <c r="K95" s="55">
        <v>6.0</v>
      </c>
      <c r="L95" s="18">
        <f>IFNA( VLOOKUP(LEFT(E95, IFERROR(FIND(" ", E95, 1),1) - 1), lists!$A$31:$B$37, 2, FALSE),"")</f>
        <v>6</v>
      </c>
      <c r="M95" s="18" t="str">
        <f>IFERROR(__xludf.DUMMYFUNCTION("IFNA(VLOOKUP(IFNA(REGEXEXTRACT(E95, ""(Пасхи|50-ці|посту)""),""""),lists!$A$39:$B$41,2,FALSE),"""")"),"")</f>
        <v/>
      </c>
      <c r="N95" s="19" t="str">
        <f>IFERROR(__xludf.DUMMYFUNCTION("IFNA(REGEXEXTRACT(E95, ""\d{1,2}""),"""")"),"3")</f>
        <v>3</v>
      </c>
      <c r="O95" s="14" t="b">
        <f t="shared" si="3"/>
        <v>0</v>
      </c>
    </row>
    <row r="96">
      <c r="A96" s="21" t="s">
        <v>1092</v>
      </c>
      <c r="B96" s="9" t="str">
        <f t="shared" si="1"/>
        <v>Йо.</v>
      </c>
      <c r="C96" s="11" t="str">
        <f t="shared" si="2"/>
        <v>61</v>
      </c>
      <c r="D96" s="12" t="s">
        <v>387</v>
      </c>
      <c r="E96" s="21" t="s">
        <v>1749</v>
      </c>
      <c r="F96" s="14"/>
      <c r="G96" s="15" t="s">
        <v>913</v>
      </c>
      <c r="H96" s="16" t="s">
        <v>29</v>
      </c>
      <c r="I96" s="73">
        <v>3.0</v>
      </c>
      <c r="J96" s="54"/>
      <c r="K96" s="55">
        <v>6.0</v>
      </c>
      <c r="L96" s="18">
        <f>IFNA( VLOOKUP(LEFT(E96, IFERROR(FIND(" ", E96, 1),1) - 1), lists!$A$31:$B$37, 2, FALSE),"")</f>
        <v>6</v>
      </c>
      <c r="M96" s="18" t="str">
        <f>IFERROR(__xludf.DUMMYFUNCTION("IFNA(VLOOKUP(IFNA(REGEXEXTRACT(E96, ""(Пасхи|50-ці|посту)""),""""),lists!$A$39:$B$41,2,FALSE),"""")"),"")</f>
        <v/>
      </c>
      <c r="N96" s="19" t="str">
        <f>IFERROR(__xludf.DUMMYFUNCTION("IFNA(REGEXEXTRACT(E96, ""\d{1,2}""),"""")"),"3")</f>
        <v>3</v>
      </c>
      <c r="O96" s="14" t="b">
        <f t="shared" si="3"/>
        <v>0</v>
      </c>
    </row>
    <row r="97">
      <c r="A97" s="13" t="s">
        <v>1529</v>
      </c>
      <c r="B97" s="9" t="str">
        <f t="shared" si="1"/>
        <v>Мт.</v>
      </c>
      <c r="C97" s="11" t="str">
        <f t="shared" si="2"/>
        <v>18</v>
      </c>
      <c r="D97" s="9"/>
      <c r="E97" s="13" t="s">
        <v>1530</v>
      </c>
      <c r="F97" s="14"/>
      <c r="G97" s="15" t="s">
        <v>913</v>
      </c>
      <c r="H97" s="16" t="s">
        <v>29</v>
      </c>
      <c r="I97" s="73">
        <v>3.0</v>
      </c>
      <c r="J97" s="54"/>
      <c r="K97" s="55">
        <v>7.0</v>
      </c>
      <c r="L97" s="18">
        <f>IFNA( VLOOKUP(LEFT(E97, IFERROR(FIND(" ", E97, 1),1) - 1), lists!$A$31:$B$37, 2, FALSE),"")</f>
        <v>7</v>
      </c>
      <c r="M97" s="18" t="str">
        <f>IFERROR(__xludf.DUMMYFUNCTION("IFNA(VLOOKUP(IFNA(REGEXEXTRACT(E97, ""(Пасхи|50-ці|посту)""),""""),lists!$A$39:$B$41,2,FALSE),"""")"),"")</f>
        <v/>
      </c>
      <c r="N97" s="19" t="str">
        <f>IFERROR(__xludf.DUMMYFUNCTION("IFNA(REGEXEXTRACT(E97, ""\d{1,2}""),"""")"),"3")</f>
        <v>3</v>
      </c>
      <c r="O97" s="14" t="b">
        <f t="shared" si="3"/>
        <v>0</v>
      </c>
    </row>
    <row r="98">
      <c r="A98" s="13" t="s">
        <v>1570</v>
      </c>
      <c r="B98" s="9" t="str">
        <f t="shared" si="1"/>
        <v>Мт.</v>
      </c>
      <c r="C98" s="11" t="str">
        <f t="shared" si="2"/>
        <v>40</v>
      </c>
      <c r="D98" s="9"/>
      <c r="E98" s="13" t="s">
        <v>1571</v>
      </c>
      <c r="F98" s="14"/>
      <c r="G98" s="15" t="s">
        <v>913</v>
      </c>
      <c r="H98" s="16" t="s">
        <v>29</v>
      </c>
      <c r="I98" s="73">
        <v>4.0</v>
      </c>
      <c r="J98" s="54"/>
      <c r="K98" s="55">
        <v>1.0</v>
      </c>
      <c r="L98" s="18">
        <f>IFNA( VLOOKUP(LEFT(E98, IFERROR(FIND(" ", E98, 1),1) - 1), lists!$A$31:$B$37, 2, FALSE),"")</f>
        <v>1</v>
      </c>
      <c r="M98" s="18" t="str">
        <f>IFERROR(__xludf.DUMMYFUNCTION("IFNA(VLOOKUP(IFNA(REGEXEXTRACT(E98, ""(Пасхи|50-ці|посту)""),""""),lists!$A$39:$B$41,2,FALSE),"""")"),"")</f>
        <v/>
      </c>
      <c r="N98" s="19" t="str">
        <f>IFERROR(__xludf.DUMMYFUNCTION("IFNA(REGEXEXTRACT(E98, ""\d{1,2}""),"""")"),"4")</f>
        <v>4</v>
      </c>
      <c r="O98" s="14" t="b">
        <f t="shared" si="3"/>
        <v>0</v>
      </c>
    </row>
    <row r="99">
      <c r="A99" s="13" t="s">
        <v>1572</v>
      </c>
      <c r="B99" s="9" t="str">
        <f t="shared" si="1"/>
        <v>Мт.</v>
      </c>
      <c r="C99" s="11" t="str">
        <f t="shared" si="2"/>
        <v>41</v>
      </c>
      <c r="D99" s="9"/>
      <c r="E99" s="13" t="s">
        <v>908</v>
      </c>
      <c r="F99" s="14"/>
      <c r="G99" s="15" t="s">
        <v>913</v>
      </c>
      <c r="H99" s="16" t="s">
        <v>29</v>
      </c>
      <c r="I99" s="73">
        <v>4.0</v>
      </c>
      <c r="J99" s="54"/>
      <c r="K99" s="55">
        <v>2.0</v>
      </c>
      <c r="L99" s="18">
        <f>IFNA( VLOOKUP(LEFT(E99, IFERROR(FIND(" ", E99, 1),1) - 1), lists!$A$31:$B$37, 2, FALSE),"")</f>
        <v>2</v>
      </c>
      <c r="M99" s="18" t="str">
        <f>IFERROR(__xludf.DUMMYFUNCTION("IFNA(VLOOKUP(IFNA(REGEXEXTRACT(E99, ""(Пасхи|50-ці|посту)""),""""),lists!$A$39:$B$41,2,FALSE),"""")"),"")</f>
        <v/>
      </c>
      <c r="N99" s="19" t="str">
        <f>IFERROR(__xludf.DUMMYFUNCTION("IFNA(REGEXEXTRACT(E99, ""\d{1,2}""),"""")"),"4")</f>
        <v>4</v>
      </c>
      <c r="O99" s="14" t="b">
        <f t="shared" si="3"/>
        <v>0</v>
      </c>
    </row>
    <row r="100">
      <c r="A100" s="13" t="s">
        <v>1573</v>
      </c>
      <c r="B100" s="9" t="str">
        <f t="shared" si="1"/>
        <v>Мт.</v>
      </c>
      <c r="C100" s="11" t="str">
        <f t="shared" si="2"/>
        <v>42</v>
      </c>
      <c r="D100" s="9"/>
      <c r="E100" s="13" t="s">
        <v>910</v>
      </c>
      <c r="F100" s="14"/>
      <c r="G100" s="15" t="s">
        <v>913</v>
      </c>
      <c r="H100" s="16" t="s">
        <v>29</v>
      </c>
      <c r="I100" s="73">
        <v>4.0</v>
      </c>
      <c r="J100" s="54"/>
      <c r="K100" s="55">
        <v>3.0</v>
      </c>
      <c r="L100" s="18">
        <f>IFNA( VLOOKUP(LEFT(E100, IFERROR(FIND(" ", E100, 1),1) - 1), lists!$A$31:$B$37, 2, FALSE),"")</f>
        <v>3</v>
      </c>
      <c r="M100" s="18" t="str">
        <f>IFERROR(__xludf.DUMMYFUNCTION("IFNA(VLOOKUP(IFNA(REGEXEXTRACT(E100, ""(Пасхи|50-ці|посту)""),""""),lists!$A$39:$B$41,2,FALSE),"""")"),"")</f>
        <v/>
      </c>
      <c r="N100" s="19" t="str">
        <f>IFERROR(__xludf.DUMMYFUNCTION("IFNA(REGEXEXTRACT(E100, ""\d{1,2}""),"""")"),"4")</f>
        <v>4</v>
      </c>
      <c r="O100" s="14" t="b">
        <f t="shared" si="3"/>
        <v>0</v>
      </c>
    </row>
    <row r="101">
      <c r="A101" s="13" t="s">
        <v>1574</v>
      </c>
      <c r="B101" s="9" t="str">
        <f t="shared" si="1"/>
        <v>Мт.</v>
      </c>
      <c r="C101" s="11" t="str">
        <f t="shared" si="2"/>
        <v>43</v>
      </c>
      <c r="D101" s="9"/>
      <c r="E101" s="13" t="s">
        <v>917</v>
      </c>
      <c r="F101" s="14"/>
      <c r="G101" s="15" t="s">
        <v>913</v>
      </c>
      <c r="H101" s="16" t="s">
        <v>29</v>
      </c>
      <c r="I101" s="73">
        <v>4.0</v>
      </c>
      <c r="J101" s="54"/>
      <c r="K101" s="55">
        <v>4.0</v>
      </c>
      <c r="L101" s="18">
        <f>IFNA( VLOOKUP(LEFT(E101, IFERROR(FIND(" ", E101, 1),1) - 1), lists!$A$31:$B$37, 2, FALSE),"")</f>
        <v>4</v>
      </c>
      <c r="M101" s="18" t="str">
        <f>IFERROR(__xludf.DUMMYFUNCTION("IFNA(VLOOKUP(IFNA(REGEXEXTRACT(E101, ""(Пасхи|50-ці|посту)""),""""),lists!$A$39:$B$41,2,FALSE),"""")"),"")</f>
        <v/>
      </c>
      <c r="N101" s="19" t="str">
        <f>IFERROR(__xludf.DUMMYFUNCTION("IFNA(REGEXEXTRACT(E101, ""\d{1,2}""),"""")"),"4")</f>
        <v>4</v>
      </c>
      <c r="O101" s="14" t="b">
        <f t="shared" si="3"/>
        <v>0</v>
      </c>
    </row>
    <row r="102">
      <c r="A102" s="13" t="s">
        <v>1576</v>
      </c>
      <c r="B102" s="9" t="str">
        <f t="shared" si="1"/>
        <v>Мт.</v>
      </c>
      <c r="C102" s="11" t="str">
        <f t="shared" si="2"/>
        <v>44</v>
      </c>
      <c r="D102" s="9"/>
      <c r="E102" s="13" t="s">
        <v>1577</v>
      </c>
      <c r="F102" s="14"/>
      <c r="G102" s="15" t="s">
        <v>913</v>
      </c>
      <c r="H102" s="16" t="s">
        <v>29</v>
      </c>
      <c r="I102" s="73">
        <v>4.0</v>
      </c>
      <c r="J102" s="54"/>
      <c r="K102" s="55">
        <v>5.0</v>
      </c>
      <c r="L102" s="18">
        <f>IFNA( VLOOKUP(LEFT(E102, IFERROR(FIND(" ", E102, 1),1) - 1), lists!$A$31:$B$37, 2, FALSE),"")</f>
        <v>5</v>
      </c>
      <c r="M102" s="18" t="str">
        <f>IFERROR(__xludf.DUMMYFUNCTION("IFNA(VLOOKUP(IFNA(REGEXEXTRACT(E102, ""(Пасхи|50-ці|посту)""),""""),lists!$A$39:$B$41,2,FALSE),"""")"),"")</f>
        <v/>
      </c>
      <c r="N102" s="19" t="str">
        <f>IFERROR(__xludf.DUMMYFUNCTION("IFNA(REGEXEXTRACT(E102, ""\d{1,2}""),"""")"),"4")</f>
        <v>4</v>
      </c>
      <c r="O102" s="14" t="b">
        <f t="shared" si="3"/>
        <v>0</v>
      </c>
    </row>
    <row r="103">
      <c r="A103" s="13" t="s">
        <v>1545</v>
      </c>
      <c r="B103" s="9" t="str">
        <f t="shared" si="1"/>
        <v>Мт.</v>
      </c>
      <c r="C103" s="11" t="str">
        <f t="shared" si="2"/>
        <v>26</v>
      </c>
      <c r="D103" s="9"/>
      <c r="E103" s="13" t="s">
        <v>921</v>
      </c>
      <c r="F103" s="14"/>
      <c r="G103" s="15" t="s">
        <v>913</v>
      </c>
      <c r="H103" s="16" t="s">
        <v>29</v>
      </c>
      <c r="I103" s="73">
        <v>4.0</v>
      </c>
      <c r="J103" s="54"/>
      <c r="K103" s="55">
        <v>6.0</v>
      </c>
      <c r="L103" s="18">
        <f>IFNA( VLOOKUP(LEFT(E103, IFERROR(FIND(" ", E103, 1),1) - 1), lists!$A$31:$B$37, 2, FALSE),"")</f>
        <v>6</v>
      </c>
      <c r="M103" s="18" t="str">
        <f>IFERROR(__xludf.DUMMYFUNCTION("IFNA(VLOOKUP(IFNA(REGEXEXTRACT(E103, ""(Пасхи|50-ці|посту)""),""""),lists!$A$39:$B$41,2,FALSE),"""")"),"")</f>
        <v/>
      </c>
      <c r="N103" s="19" t="str">
        <f>IFERROR(__xludf.DUMMYFUNCTION("IFNA(REGEXEXTRACT(E103, ""\d{1,2}""),"""")"),"4")</f>
        <v>4</v>
      </c>
      <c r="O103" s="14" t="b">
        <f t="shared" si="3"/>
        <v>0</v>
      </c>
    </row>
    <row r="104">
      <c r="A104" s="13" t="s">
        <v>1543</v>
      </c>
      <c r="B104" s="9" t="str">
        <f t="shared" si="1"/>
        <v>Мт.</v>
      </c>
      <c r="C104" s="11" t="str">
        <f t="shared" si="2"/>
        <v>25</v>
      </c>
      <c r="D104" s="9"/>
      <c r="E104" s="13" t="s">
        <v>1544</v>
      </c>
      <c r="F104" s="14"/>
      <c r="G104" s="15" t="s">
        <v>913</v>
      </c>
      <c r="H104" s="16" t="s">
        <v>29</v>
      </c>
      <c r="I104" s="73">
        <v>4.0</v>
      </c>
      <c r="J104" s="54"/>
      <c r="K104" s="55">
        <v>7.0</v>
      </c>
      <c r="L104" s="18">
        <f>IFNA( VLOOKUP(LEFT(E104, IFERROR(FIND(" ", E104, 1),1) - 1), lists!$A$31:$B$37, 2, FALSE),"")</f>
        <v>7</v>
      </c>
      <c r="M104" s="18" t="str">
        <f>IFERROR(__xludf.DUMMYFUNCTION("IFNA(VLOOKUP(IFNA(REGEXEXTRACT(E104, ""(Пасхи|50-ці|посту)""),""""),lists!$A$39:$B$41,2,FALSE),"""")"),"")</f>
        <v/>
      </c>
      <c r="N104" s="19" t="str">
        <f>IFERROR(__xludf.DUMMYFUNCTION("IFNA(REGEXEXTRACT(E104, ""\d{1,2}""),"""")"),"4")</f>
        <v>4</v>
      </c>
      <c r="O104" s="14" t="b">
        <f t="shared" si="3"/>
        <v>0</v>
      </c>
    </row>
    <row r="105">
      <c r="A105" s="13" t="s">
        <v>1578</v>
      </c>
      <c r="B105" s="9" t="str">
        <f t="shared" si="1"/>
        <v>Мт.</v>
      </c>
      <c r="C105" s="11" t="str">
        <f t="shared" si="2"/>
        <v>45</v>
      </c>
      <c r="D105" s="9"/>
      <c r="E105" s="13" t="s">
        <v>923</v>
      </c>
      <c r="F105" s="14"/>
      <c r="G105" s="15" t="s">
        <v>913</v>
      </c>
      <c r="H105" s="16" t="s">
        <v>29</v>
      </c>
      <c r="I105" s="73">
        <v>5.0</v>
      </c>
      <c r="J105" s="54"/>
      <c r="K105" s="55">
        <v>1.0</v>
      </c>
      <c r="L105" s="18">
        <f>IFNA( VLOOKUP(LEFT(E105, IFERROR(FIND(" ", E105, 1),1) - 1), lists!$A$31:$B$37, 2, FALSE),"")</f>
        <v>1</v>
      </c>
      <c r="M105" s="18" t="str">
        <f>IFERROR(__xludf.DUMMYFUNCTION("IFNA(VLOOKUP(IFNA(REGEXEXTRACT(E105, ""(Пасхи|50-ці|посту)""),""""),lists!$A$39:$B$41,2,FALSE),"""")"),"")</f>
        <v/>
      </c>
      <c r="N105" s="19" t="str">
        <f>IFERROR(__xludf.DUMMYFUNCTION("IFNA(REGEXEXTRACT(E105, ""\d{1,2}""),"""")"),"5")</f>
        <v>5</v>
      </c>
      <c r="O105" s="14" t="b">
        <f t="shared" si="3"/>
        <v>0</v>
      </c>
    </row>
    <row r="106">
      <c r="A106" s="13" t="s">
        <v>1579</v>
      </c>
      <c r="B106" s="9" t="str">
        <f t="shared" si="1"/>
        <v>Мт.</v>
      </c>
      <c r="C106" s="11" t="str">
        <f t="shared" si="2"/>
        <v>46</v>
      </c>
      <c r="D106" s="89" t="s">
        <v>18</v>
      </c>
      <c r="E106" s="13" t="s">
        <v>925</v>
      </c>
      <c r="F106" s="14"/>
      <c r="G106" s="15" t="s">
        <v>913</v>
      </c>
      <c r="H106" s="16" t="s">
        <v>29</v>
      </c>
      <c r="I106" s="73">
        <v>5.0</v>
      </c>
      <c r="J106" s="54"/>
      <c r="K106" s="55">
        <v>2.0</v>
      </c>
      <c r="L106" s="18">
        <f>IFNA( VLOOKUP(LEFT(E106, IFERROR(FIND(" ", E106, 1),1) - 1), lists!$A$31:$B$37, 2, FALSE),"")</f>
        <v>2</v>
      </c>
      <c r="M106" s="18" t="str">
        <f>IFERROR(__xludf.DUMMYFUNCTION("IFNA(VLOOKUP(IFNA(REGEXEXTRACT(E106, ""(Пасхи|50-ці|посту)""),""""),lists!$A$39:$B$41,2,FALSE),"""")"),"")</f>
        <v/>
      </c>
      <c r="N106" s="19" t="str">
        <f>IFERROR(__xludf.DUMMYFUNCTION("IFNA(REGEXEXTRACT(E106, ""\d{1,2}""),"""")"),"5")</f>
        <v>5</v>
      </c>
      <c r="O106" s="14" t="b">
        <f t="shared" si="3"/>
        <v>0</v>
      </c>
    </row>
    <row r="107">
      <c r="A107" s="13" t="s">
        <v>1583</v>
      </c>
      <c r="B107" s="9" t="str">
        <f t="shared" si="1"/>
        <v>Мт.</v>
      </c>
      <c r="C107" s="11" t="str">
        <f t="shared" si="2"/>
        <v>48</v>
      </c>
      <c r="D107" s="9"/>
      <c r="E107" s="13" t="s">
        <v>892</v>
      </c>
      <c r="F107" s="14"/>
      <c r="G107" s="15" t="s">
        <v>913</v>
      </c>
      <c r="H107" s="16" t="s">
        <v>29</v>
      </c>
      <c r="I107" s="73">
        <v>5.0</v>
      </c>
      <c r="J107" s="54"/>
      <c r="K107" s="55">
        <v>3.0</v>
      </c>
      <c r="L107" s="18">
        <f>IFNA( VLOOKUP(LEFT(E107, IFERROR(FIND(" ", E107, 1),1) - 1), lists!$A$31:$B$37, 2, FALSE),"")</f>
        <v>3</v>
      </c>
      <c r="M107" s="18" t="str">
        <f>IFERROR(__xludf.DUMMYFUNCTION("IFNA(VLOOKUP(IFNA(REGEXEXTRACT(E107, ""(Пасхи|50-ці|посту)""),""""),lists!$A$39:$B$41,2,FALSE),"""")"),"")</f>
        <v/>
      </c>
      <c r="N107" s="19" t="str">
        <f>IFERROR(__xludf.DUMMYFUNCTION("IFNA(REGEXEXTRACT(E107, ""\d{1,2}""),"""")"),"5")</f>
        <v>5</v>
      </c>
      <c r="O107" s="14" t="b">
        <f t="shared" si="3"/>
        <v>0</v>
      </c>
    </row>
    <row r="108">
      <c r="A108" s="13" t="s">
        <v>1584</v>
      </c>
      <c r="B108" s="9" t="str">
        <f t="shared" si="1"/>
        <v>Мт.</v>
      </c>
      <c r="C108" s="11" t="str">
        <f t="shared" si="2"/>
        <v>49</v>
      </c>
      <c r="D108" s="9"/>
      <c r="E108" s="13" t="s">
        <v>929</v>
      </c>
      <c r="F108" s="14"/>
      <c r="G108" s="15" t="s">
        <v>913</v>
      </c>
      <c r="H108" s="16" t="s">
        <v>29</v>
      </c>
      <c r="I108" s="73">
        <v>5.0</v>
      </c>
      <c r="J108" s="54"/>
      <c r="K108" s="55">
        <v>4.0</v>
      </c>
      <c r="L108" s="18">
        <f>IFNA( VLOOKUP(LEFT(E108, IFERROR(FIND(" ", E108, 1),1) - 1), lists!$A$31:$B$37, 2, FALSE),"")</f>
        <v>4</v>
      </c>
      <c r="M108" s="18" t="str">
        <f>IFERROR(__xludf.DUMMYFUNCTION("IFNA(VLOOKUP(IFNA(REGEXEXTRACT(E108, ""(Пасхи|50-ці|посту)""),""""),lists!$A$39:$B$41,2,FALSE),"""")"),"")</f>
        <v/>
      </c>
      <c r="N108" s="19" t="str">
        <f>IFERROR(__xludf.DUMMYFUNCTION("IFNA(REGEXEXTRACT(E108, ""\d{1,2}""),"""")"),"5")</f>
        <v>5</v>
      </c>
      <c r="O108" s="14" t="b">
        <f t="shared" si="3"/>
        <v>0</v>
      </c>
    </row>
    <row r="109">
      <c r="A109" s="13" t="s">
        <v>1585</v>
      </c>
      <c r="B109" s="9" t="str">
        <f t="shared" si="1"/>
        <v>Мт.</v>
      </c>
      <c r="C109" s="11" t="str">
        <f t="shared" si="2"/>
        <v>50</v>
      </c>
      <c r="D109" s="9"/>
      <c r="E109" s="13" t="s">
        <v>935</v>
      </c>
      <c r="F109" s="14"/>
      <c r="G109" s="15" t="s">
        <v>913</v>
      </c>
      <c r="H109" s="16" t="s">
        <v>29</v>
      </c>
      <c r="I109" s="73">
        <v>5.0</v>
      </c>
      <c r="J109" s="54"/>
      <c r="K109" s="55">
        <v>5.0</v>
      </c>
      <c r="L109" s="18">
        <f>IFNA( VLOOKUP(LEFT(E109, IFERROR(FIND(" ", E109, 1),1) - 1), lists!$A$31:$B$37, 2, FALSE),"")</f>
        <v>5</v>
      </c>
      <c r="M109" s="18" t="str">
        <f>IFERROR(__xludf.DUMMYFUNCTION("IFNA(VLOOKUP(IFNA(REGEXEXTRACT(E109, ""(Пасхи|50-ці|посту)""),""""),lists!$A$39:$B$41,2,FALSE),"""")"),"")</f>
        <v/>
      </c>
      <c r="N109" s="19" t="str">
        <f>IFERROR(__xludf.DUMMYFUNCTION("IFNA(REGEXEXTRACT(E109, ""\d{1,2}""),"""")"),"5")</f>
        <v>5</v>
      </c>
      <c r="O109" s="14" t="b">
        <f t="shared" si="3"/>
        <v>0</v>
      </c>
    </row>
    <row r="110">
      <c r="A110" s="13" t="s">
        <v>1552</v>
      </c>
      <c r="B110" s="9" t="str">
        <f t="shared" si="1"/>
        <v>Мт.</v>
      </c>
      <c r="C110" s="11" t="str">
        <f t="shared" si="2"/>
        <v>30</v>
      </c>
      <c r="D110" s="9"/>
      <c r="E110" s="13" t="s">
        <v>1553</v>
      </c>
      <c r="F110" s="14"/>
      <c r="G110" s="15" t="s">
        <v>913</v>
      </c>
      <c r="H110" s="16" t="s">
        <v>29</v>
      </c>
      <c r="I110" s="73">
        <v>5.0</v>
      </c>
      <c r="J110" s="54"/>
      <c r="K110" s="55">
        <v>6.0</v>
      </c>
      <c r="L110" s="18">
        <f>IFNA( VLOOKUP(LEFT(E110, IFERROR(FIND(" ", E110, 1),1) - 1), lists!$A$31:$B$37, 2, FALSE),"")</f>
        <v>6</v>
      </c>
      <c r="M110" s="18" t="str">
        <f>IFERROR(__xludf.DUMMYFUNCTION("IFNA(VLOOKUP(IFNA(REGEXEXTRACT(E110, ""(Пасхи|50-ці|посту)""),""""),lists!$A$39:$B$41,2,FALSE),"""")"),"")</f>
        <v/>
      </c>
      <c r="N110" s="19" t="str">
        <f>IFERROR(__xludf.DUMMYFUNCTION("IFNA(REGEXEXTRACT(E110, ""\d{1,2}""),"""")"),"5")</f>
        <v>5</v>
      </c>
      <c r="O110" s="14" t="b">
        <f t="shared" si="3"/>
        <v>0</v>
      </c>
    </row>
    <row r="111">
      <c r="A111" s="13" t="s">
        <v>1548</v>
      </c>
      <c r="B111" s="9" t="str">
        <f t="shared" si="1"/>
        <v>Мт.</v>
      </c>
      <c r="C111" s="11" t="str">
        <f t="shared" si="2"/>
        <v>28</v>
      </c>
      <c r="D111" s="9"/>
      <c r="E111" s="13" t="s">
        <v>1549</v>
      </c>
      <c r="F111" s="14"/>
      <c r="G111" s="15" t="s">
        <v>913</v>
      </c>
      <c r="H111" s="16" t="s">
        <v>29</v>
      </c>
      <c r="I111" s="73">
        <v>5.0</v>
      </c>
      <c r="J111" s="54"/>
      <c r="K111" s="55">
        <v>7.0</v>
      </c>
      <c r="L111" s="18">
        <f>IFNA( VLOOKUP(LEFT(E111, IFERROR(FIND(" ", E111, 1),1) - 1), lists!$A$31:$B$37, 2, FALSE),"")</f>
        <v>7</v>
      </c>
      <c r="M111" s="18" t="str">
        <f>IFERROR(__xludf.DUMMYFUNCTION("IFNA(VLOOKUP(IFNA(REGEXEXTRACT(E111, ""(Пасхи|50-ці|посту)""),""""),lists!$A$39:$B$41,2,FALSE),"""")"),"")</f>
        <v/>
      </c>
      <c r="N111" s="19" t="str">
        <f>IFERROR(__xludf.DUMMYFUNCTION("IFNA(REGEXEXTRACT(E111, ""\d{1,2}""),"""")"),"5")</f>
        <v>5</v>
      </c>
      <c r="O111" s="14" t="b">
        <f t="shared" si="3"/>
        <v>0</v>
      </c>
    </row>
    <row r="112">
      <c r="A112" s="13" t="s">
        <v>1586</v>
      </c>
      <c r="B112" s="9" t="str">
        <f t="shared" si="1"/>
        <v>Мт.</v>
      </c>
      <c r="C112" s="11" t="str">
        <f t="shared" si="2"/>
        <v>51</v>
      </c>
      <c r="D112" s="9"/>
      <c r="E112" s="13" t="s">
        <v>944</v>
      </c>
      <c r="F112" s="14"/>
      <c r="G112" s="15" t="s">
        <v>913</v>
      </c>
      <c r="H112" s="16" t="s">
        <v>29</v>
      </c>
      <c r="I112" s="73">
        <v>6.0</v>
      </c>
      <c r="J112" s="54"/>
      <c r="K112" s="55">
        <v>1.0</v>
      </c>
      <c r="L112" s="18">
        <f>IFNA( VLOOKUP(LEFT(E112, IFERROR(FIND(" ", E112, 1),1) - 1), lists!$A$31:$B$37, 2, FALSE),"")</f>
        <v>1</v>
      </c>
      <c r="M112" s="18" t="str">
        <f>IFERROR(__xludf.DUMMYFUNCTION("IFNA(VLOOKUP(IFNA(REGEXEXTRACT(E112, ""(Пасхи|50-ці|посту)""),""""),lists!$A$39:$B$41,2,FALSE),"""")"),"")</f>
        <v/>
      </c>
      <c r="N112" s="19" t="str">
        <f>IFERROR(__xludf.DUMMYFUNCTION("IFNA(REGEXEXTRACT(E112, ""\d{1,2}""),"""")"),"6")</f>
        <v>6</v>
      </c>
      <c r="O112" s="14" t="b">
        <f t="shared" si="3"/>
        <v>0</v>
      </c>
    </row>
    <row r="113">
      <c r="A113" s="13" t="s">
        <v>1589</v>
      </c>
      <c r="B113" s="9" t="str">
        <f t="shared" si="1"/>
        <v>Мт.</v>
      </c>
      <c r="C113" s="11" t="str">
        <f t="shared" si="2"/>
        <v>52</v>
      </c>
      <c r="D113" s="26" t="s">
        <v>18</v>
      </c>
      <c r="E113" s="13" t="s">
        <v>950</v>
      </c>
      <c r="F113" s="14"/>
      <c r="G113" s="15" t="s">
        <v>913</v>
      </c>
      <c r="H113" s="16" t="s">
        <v>29</v>
      </c>
      <c r="I113" s="73">
        <v>6.0</v>
      </c>
      <c r="J113" s="54"/>
      <c r="K113" s="55">
        <v>2.0</v>
      </c>
      <c r="L113" s="18">
        <f>IFNA( VLOOKUP(LEFT(E113, IFERROR(FIND(" ", E113, 1),1) - 1), lists!$A$31:$B$37, 2, FALSE),"")</f>
        <v>2</v>
      </c>
      <c r="M113" s="18" t="str">
        <f>IFERROR(__xludf.DUMMYFUNCTION("IFNA(VLOOKUP(IFNA(REGEXEXTRACT(E113, ""(Пасхи|50-ці|посту)""),""""),lists!$A$39:$B$41,2,FALSE),"""")"),"")</f>
        <v/>
      </c>
      <c r="N113" s="19" t="str">
        <f>IFERROR(__xludf.DUMMYFUNCTION("IFNA(REGEXEXTRACT(E113, ""\d{1,2}""),"""")"),"6")</f>
        <v>6</v>
      </c>
      <c r="O113" s="14" t="b">
        <f t="shared" si="3"/>
        <v>0</v>
      </c>
    </row>
    <row r="114">
      <c r="A114" s="13" t="s">
        <v>1590</v>
      </c>
      <c r="B114" s="9" t="str">
        <f t="shared" si="1"/>
        <v>Мт.</v>
      </c>
      <c r="C114" s="11" t="str">
        <f t="shared" si="2"/>
        <v>53</v>
      </c>
      <c r="D114" s="9"/>
      <c r="E114" s="13" t="s">
        <v>954</v>
      </c>
      <c r="F114" s="14"/>
      <c r="G114" s="15" t="s">
        <v>913</v>
      </c>
      <c r="H114" s="16" t="s">
        <v>29</v>
      </c>
      <c r="I114" s="73">
        <v>6.0</v>
      </c>
      <c r="J114" s="54"/>
      <c r="K114" s="55">
        <v>3.0</v>
      </c>
      <c r="L114" s="18">
        <f>IFNA( VLOOKUP(LEFT(E114, IFERROR(FIND(" ", E114, 1),1) - 1), lists!$A$31:$B$37, 2, FALSE),"")</f>
        <v>3</v>
      </c>
      <c r="M114" s="18" t="str">
        <f>IFERROR(__xludf.DUMMYFUNCTION("IFNA(VLOOKUP(IFNA(REGEXEXTRACT(E114, ""(Пасхи|50-ці|посту)""),""""),lists!$A$39:$B$41,2,FALSE),"""")"),"")</f>
        <v/>
      </c>
      <c r="N114" s="19" t="str">
        <f>IFERROR(__xludf.DUMMYFUNCTION("IFNA(REGEXEXTRACT(E114, ""\d{1,2}""),"""")"),"6")</f>
        <v>6</v>
      </c>
      <c r="O114" s="14" t="b">
        <f t="shared" si="3"/>
        <v>0</v>
      </c>
    </row>
    <row r="115">
      <c r="A115" s="13" t="s">
        <v>1591</v>
      </c>
      <c r="B115" s="9" t="str">
        <f t="shared" si="1"/>
        <v>Мт.</v>
      </c>
      <c r="C115" s="11" t="str">
        <f t="shared" si="2"/>
        <v>54</v>
      </c>
      <c r="D115" s="9"/>
      <c r="E115" s="13" t="s">
        <v>1592</v>
      </c>
      <c r="F115" s="14"/>
      <c r="G115" s="15" t="s">
        <v>913</v>
      </c>
      <c r="H115" s="16" t="s">
        <v>29</v>
      </c>
      <c r="I115" s="73">
        <v>6.0</v>
      </c>
      <c r="J115" s="55"/>
      <c r="K115" s="55">
        <v>4.0</v>
      </c>
      <c r="L115" s="18">
        <f>IFNA( VLOOKUP(LEFT(E115, IFERROR(FIND(" ", E115, 1),1) - 1), lists!$A$31:$B$37, 2, FALSE),"")</f>
        <v>4</v>
      </c>
      <c r="M115" s="18" t="str">
        <f>IFERROR(__xludf.DUMMYFUNCTION("IFNA(VLOOKUP(IFNA(REGEXEXTRACT(E115, ""(Пасхи|50-ці|посту)""),""""),lists!$A$39:$B$41,2,FALSE),"""")"),"")</f>
        <v/>
      </c>
      <c r="N115" s="19" t="str">
        <f>IFERROR(__xludf.DUMMYFUNCTION("IFNA(REGEXEXTRACT(E115, ""\d{1,2}""),"""")"),"6")</f>
        <v>6</v>
      </c>
      <c r="O115" s="14" t="b">
        <f t="shared" si="3"/>
        <v>0</v>
      </c>
    </row>
    <row r="116">
      <c r="A116" s="13" t="s">
        <v>1593</v>
      </c>
      <c r="B116" s="9" t="str">
        <f t="shared" si="1"/>
        <v>Мт.</v>
      </c>
      <c r="C116" s="11" t="str">
        <f t="shared" si="2"/>
        <v>55</v>
      </c>
      <c r="D116" s="9"/>
      <c r="E116" s="13" t="s">
        <v>1594</v>
      </c>
      <c r="F116" s="14"/>
      <c r="G116" s="15" t="s">
        <v>913</v>
      </c>
      <c r="H116" s="16" t="s">
        <v>29</v>
      </c>
      <c r="I116" s="73">
        <v>6.0</v>
      </c>
      <c r="J116" s="54"/>
      <c r="K116" s="55">
        <v>5.0</v>
      </c>
      <c r="L116" s="18">
        <f>IFNA( VLOOKUP(LEFT(E116, IFERROR(FIND(" ", E116, 1),1) - 1), lists!$A$31:$B$37, 2, FALSE),"")</f>
        <v>5</v>
      </c>
      <c r="M116" s="18" t="str">
        <f>IFERROR(__xludf.DUMMYFUNCTION("IFNA(VLOOKUP(IFNA(REGEXEXTRACT(E116, ""(Пасхи|50-ці|посту)""),""""),lists!$A$39:$B$41,2,FALSE),"""")"),"")</f>
        <v/>
      </c>
      <c r="N116" s="19" t="str">
        <f>IFERROR(__xludf.DUMMYFUNCTION("IFNA(REGEXEXTRACT(E116, ""\d{1,2}""),"""")"),"6")</f>
        <v>6</v>
      </c>
      <c r="O116" s="14" t="b">
        <f t="shared" si="3"/>
        <v>0</v>
      </c>
    </row>
    <row r="117">
      <c r="A117" s="13" t="s">
        <v>1555</v>
      </c>
      <c r="B117" s="9" t="str">
        <f t="shared" si="1"/>
        <v>Мт.</v>
      </c>
      <c r="C117" s="11" t="str">
        <f t="shared" si="2"/>
        <v>32</v>
      </c>
      <c r="D117" s="9"/>
      <c r="E117" s="13" t="s">
        <v>964</v>
      </c>
      <c r="F117" s="14"/>
      <c r="G117" s="15" t="s">
        <v>913</v>
      </c>
      <c r="H117" s="16" t="s">
        <v>29</v>
      </c>
      <c r="I117" s="73">
        <v>6.0</v>
      </c>
      <c r="J117" s="54"/>
      <c r="K117" s="55">
        <v>6.0</v>
      </c>
      <c r="L117" s="18">
        <f>IFNA( VLOOKUP(LEFT(E117, IFERROR(FIND(" ", E117, 1),1) - 1), lists!$A$31:$B$37, 2, FALSE),"")</f>
        <v>6</v>
      </c>
      <c r="M117" s="18" t="str">
        <f>IFERROR(__xludf.DUMMYFUNCTION("IFNA(VLOOKUP(IFNA(REGEXEXTRACT(E117, ""(Пасхи|50-ці|посту)""),""""),lists!$A$39:$B$41,2,FALSE),"""")"),"")</f>
        <v/>
      </c>
      <c r="N117" s="19" t="str">
        <f>IFERROR(__xludf.DUMMYFUNCTION("IFNA(REGEXEXTRACT(E117, ""\d{1,2}""),"""")"),"6")</f>
        <v>6</v>
      </c>
      <c r="O117" s="14" t="b">
        <f t="shared" si="3"/>
        <v>0</v>
      </c>
    </row>
    <row r="118">
      <c r="A118" s="13" t="s">
        <v>1550</v>
      </c>
      <c r="B118" s="9" t="str">
        <f t="shared" si="1"/>
        <v>Мт.</v>
      </c>
      <c r="C118" s="11" t="str">
        <f t="shared" si="2"/>
        <v>29</v>
      </c>
      <c r="D118" s="9"/>
      <c r="E118" s="13" t="s">
        <v>1551</v>
      </c>
      <c r="F118" s="14"/>
      <c r="G118" s="15" t="s">
        <v>913</v>
      </c>
      <c r="H118" s="16" t="s">
        <v>29</v>
      </c>
      <c r="I118" s="73">
        <v>6.0</v>
      </c>
      <c r="J118" s="54"/>
      <c r="K118" s="55">
        <v>7.0</v>
      </c>
      <c r="L118" s="18">
        <f>IFNA( VLOOKUP(LEFT(E118, IFERROR(FIND(" ", E118, 1),1) - 1), lists!$A$31:$B$37, 2, FALSE),"")</f>
        <v>7</v>
      </c>
      <c r="M118" s="18" t="str">
        <f>IFERROR(__xludf.DUMMYFUNCTION("IFNA(VLOOKUP(IFNA(REGEXEXTRACT(E118, ""(Пасхи|50-ці|посту)""),""""),lists!$A$39:$B$41,2,FALSE),"""")"),"")</f>
        <v/>
      </c>
      <c r="N118" s="19" t="str">
        <f>IFERROR(__xludf.DUMMYFUNCTION("IFNA(REGEXEXTRACT(E118, ""\d{1,2}""),"""")"),"6")</f>
        <v>6</v>
      </c>
      <c r="O118" s="14" t="b">
        <f t="shared" si="3"/>
        <v>0</v>
      </c>
    </row>
    <row r="119">
      <c r="A119" s="13" t="s">
        <v>1595</v>
      </c>
      <c r="B119" s="9" t="str">
        <f t="shared" si="1"/>
        <v>Мт.</v>
      </c>
      <c r="C119" s="11" t="str">
        <f t="shared" si="2"/>
        <v>56</v>
      </c>
      <c r="D119" s="9"/>
      <c r="E119" s="13" t="s">
        <v>968</v>
      </c>
      <c r="F119" s="9"/>
      <c r="G119" s="15" t="s">
        <v>913</v>
      </c>
      <c r="H119" s="16" t="s">
        <v>29</v>
      </c>
      <c r="I119" s="73">
        <v>7.0</v>
      </c>
      <c r="J119" s="55"/>
      <c r="K119" s="55">
        <v>1.0</v>
      </c>
      <c r="L119" s="18">
        <f>IFNA( VLOOKUP(LEFT(E119, IFERROR(FIND(" ", E119, 1),1) - 1), lists!$A$31:$B$37, 2, FALSE),"")</f>
        <v>1</v>
      </c>
      <c r="M119" s="18" t="str">
        <f>IFERROR(__xludf.DUMMYFUNCTION("IFNA(VLOOKUP(IFNA(REGEXEXTRACT(E119, ""(Пасхи|50-ці|посту)""),""""),lists!$A$39:$B$41,2,FALSE),"""")"),"")</f>
        <v/>
      </c>
      <c r="N119" s="19" t="str">
        <f>IFERROR(__xludf.DUMMYFUNCTION("IFNA(REGEXEXTRACT(E119, ""\d{1,2}""),"""")"),"7")</f>
        <v>7</v>
      </c>
      <c r="O119" s="14" t="b">
        <f t="shared" si="3"/>
        <v>0</v>
      </c>
    </row>
    <row r="120">
      <c r="A120" s="13" t="s">
        <v>1668</v>
      </c>
      <c r="B120" s="9" t="str">
        <f t="shared" si="1"/>
        <v>Мт.</v>
      </c>
      <c r="C120" s="11" t="str">
        <f t="shared" si="2"/>
        <v>90</v>
      </c>
      <c r="D120" s="26" t="s">
        <v>22</v>
      </c>
      <c r="E120" s="13" t="s">
        <v>1669</v>
      </c>
      <c r="F120" s="14"/>
      <c r="G120" s="15" t="s">
        <v>1744</v>
      </c>
      <c r="H120" s="16" t="s">
        <v>29</v>
      </c>
      <c r="I120" s="53">
        <v>7.0</v>
      </c>
      <c r="J120" s="54"/>
      <c r="K120" s="55">
        <v>2.0</v>
      </c>
      <c r="L120" s="18" t="str">
        <f>IFNA( VLOOKUP(LEFT(E120, IFERROR(FIND(" ", E120, 1),1) - 1), lists!$A$31:$B$37, 2, FALSE),"")</f>
        <v/>
      </c>
      <c r="M120" s="18" t="str">
        <f>IFERROR(__xludf.DUMMYFUNCTION("IFNA(VLOOKUP(IFNA(REGEXEXTRACT(E120, ""(Пасхи|50-ці|посту)""),""""),lists!$A$39:$B$41,2,FALSE),"""")"),"")</f>
        <v/>
      </c>
      <c r="N120" s="19" t="str">
        <f>IFERROR(__xludf.DUMMYFUNCTION("IFNA(REGEXEXTRACT(E120, ""\d{1,2}""),"""")"),"")</f>
        <v/>
      </c>
      <c r="O120" s="14" t="b">
        <f t="shared" si="3"/>
        <v>0</v>
      </c>
    </row>
    <row r="121">
      <c r="A121" s="13" t="s">
        <v>1598</v>
      </c>
      <c r="B121" s="9" t="str">
        <f t="shared" si="1"/>
        <v>Мт.</v>
      </c>
      <c r="C121" s="11" t="str">
        <f t="shared" si="2"/>
        <v>57</v>
      </c>
      <c r="D121" s="9"/>
      <c r="E121" s="13" t="s">
        <v>1599</v>
      </c>
      <c r="F121" s="9"/>
      <c r="G121" s="15" t="s">
        <v>913</v>
      </c>
      <c r="H121" s="16" t="s">
        <v>29</v>
      </c>
      <c r="I121" s="73">
        <v>7.0</v>
      </c>
      <c r="J121" s="55"/>
      <c r="K121" s="55">
        <v>2.0</v>
      </c>
      <c r="L121" s="18">
        <f>IFNA( VLOOKUP(LEFT(E121, IFERROR(FIND(" ", E121, 1),1) - 1), lists!$A$31:$B$37, 2, FALSE),"")</f>
        <v>2</v>
      </c>
      <c r="M121" s="18" t="str">
        <f>IFERROR(__xludf.DUMMYFUNCTION("IFNA(VLOOKUP(IFNA(REGEXEXTRACT(E121, ""(Пасхи|50-ці|посту)""),""""),lists!$A$39:$B$41,2,FALSE),"""")"),"")</f>
        <v/>
      </c>
      <c r="N121" s="19" t="str">
        <f>IFERROR(__xludf.DUMMYFUNCTION("IFNA(REGEXEXTRACT(E121, ""\d{1,2}""),"""")"),"7")</f>
        <v>7</v>
      </c>
      <c r="O121" s="14" t="b">
        <f t="shared" si="3"/>
        <v>0</v>
      </c>
    </row>
    <row r="122">
      <c r="A122" s="13" t="s">
        <v>1605</v>
      </c>
      <c r="B122" s="9" t="str">
        <f t="shared" si="1"/>
        <v>Мт.</v>
      </c>
      <c r="C122" s="11" t="str">
        <f t="shared" si="2"/>
        <v>60</v>
      </c>
      <c r="D122" s="9"/>
      <c r="E122" s="13" t="s">
        <v>980</v>
      </c>
      <c r="F122" s="14"/>
      <c r="G122" s="15" t="s">
        <v>913</v>
      </c>
      <c r="H122" s="16" t="s">
        <v>29</v>
      </c>
      <c r="I122" s="73">
        <v>7.0</v>
      </c>
      <c r="J122" s="54"/>
      <c r="K122" s="55">
        <v>3.0</v>
      </c>
      <c r="L122" s="18">
        <f>IFNA( VLOOKUP(LEFT(E122, IFERROR(FIND(" ", E122, 1),1) - 1), lists!$A$31:$B$37, 2, FALSE),"")</f>
        <v>3</v>
      </c>
      <c r="M122" s="18" t="str">
        <f>IFERROR(__xludf.DUMMYFUNCTION("IFNA(VLOOKUP(IFNA(REGEXEXTRACT(E122, ""(Пасхи|50-ці|посту)""),""""),lists!$A$39:$B$41,2,FALSE),"""")"),"")</f>
        <v/>
      </c>
      <c r="N122" s="19" t="str">
        <f>IFERROR(__xludf.DUMMYFUNCTION("IFNA(REGEXEXTRACT(E122, ""\d{1,2}""),"""")"),"7")</f>
        <v>7</v>
      </c>
      <c r="O122" s="14" t="b">
        <f t="shared" si="3"/>
        <v>0</v>
      </c>
    </row>
    <row r="123">
      <c r="A123" s="13" t="s">
        <v>1606</v>
      </c>
      <c r="B123" s="9" t="str">
        <f t="shared" si="1"/>
        <v>Мт.</v>
      </c>
      <c r="C123" s="11" t="str">
        <f t="shared" si="2"/>
        <v>61</v>
      </c>
      <c r="D123" s="9"/>
      <c r="E123" s="13" t="s">
        <v>982</v>
      </c>
      <c r="F123" s="14"/>
      <c r="G123" s="15" t="s">
        <v>913</v>
      </c>
      <c r="H123" s="16" t="s">
        <v>29</v>
      </c>
      <c r="I123" s="73">
        <v>7.0</v>
      </c>
      <c r="J123" s="54"/>
      <c r="K123" s="55">
        <v>4.0</v>
      </c>
      <c r="L123" s="18">
        <f>IFNA( VLOOKUP(LEFT(E123, IFERROR(FIND(" ", E123, 1),1) - 1), lists!$A$31:$B$37, 2, FALSE),"")</f>
        <v>4</v>
      </c>
      <c r="M123" s="18" t="str">
        <f>IFERROR(__xludf.DUMMYFUNCTION("IFNA(VLOOKUP(IFNA(REGEXEXTRACT(E123, ""(Пасхи|50-ці|посту)""),""""),lists!$A$39:$B$41,2,FALSE),"""")"),"")</f>
        <v/>
      </c>
      <c r="N123" s="19" t="str">
        <f>IFERROR(__xludf.DUMMYFUNCTION("IFNA(REGEXEXTRACT(E123, ""\d{1,2}""),"""")"),"7")</f>
        <v>7</v>
      </c>
      <c r="O123" s="14" t="b">
        <f t="shared" si="3"/>
        <v>0</v>
      </c>
    </row>
    <row r="124">
      <c r="A124" s="13" t="s">
        <v>1609</v>
      </c>
      <c r="B124" s="9" t="str">
        <f t="shared" si="1"/>
        <v>Мт.</v>
      </c>
      <c r="C124" s="11" t="str">
        <f t="shared" si="2"/>
        <v>63</v>
      </c>
      <c r="D124" s="9"/>
      <c r="E124" s="13" t="s">
        <v>986</v>
      </c>
      <c r="F124" s="14"/>
      <c r="G124" s="15" t="s">
        <v>913</v>
      </c>
      <c r="H124" s="16" t="s">
        <v>29</v>
      </c>
      <c r="I124" s="73">
        <v>7.0</v>
      </c>
      <c r="J124" s="54"/>
      <c r="K124" s="55">
        <v>5.0</v>
      </c>
      <c r="L124" s="18">
        <f>IFNA( VLOOKUP(LEFT(E124, IFERROR(FIND(" ", E124, 1),1) - 1), lists!$A$31:$B$37, 2, FALSE),"")</f>
        <v>5</v>
      </c>
      <c r="M124" s="18" t="str">
        <f>IFERROR(__xludf.DUMMYFUNCTION("IFNA(VLOOKUP(IFNA(REGEXEXTRACT(E124, ""(Пасхи|50-ці|посту)""),""""),lists!$A$39:$B$41,2,FALSE),"""")"),"")</f>
        <v/>
      </c>
      <c r="N124" s="19" t="str">
        <f>IFERROR(__xludf.DUMMYFUNCTION("IFNA(REGEXEXTRACT(E124, ""\d{1,2}""),"""")"),"7")</f>
        <v>7</v>
      </c>
      <c r="O124" s="14" t="b">
        <f t="shared" si="3"/>
        <v>0</v>
      </c>
    </row>
    <row r="125">
      <c r="A125" s="13" t="s">
        <v>1568</v>
      </c>
      <c r="B125" s="9" t="str">
        <f t="shared" si="1"/>
        <v>Мт.</v>
      </c>
      <c r="C125" s="11" t="str">
        <f t="shared" si="2"/>
        <v>39</v>
      </c>
      <c r="D125" s="9"/>
      <c r="E125" s="13" t="s">
        <v>1569</v>
      </c>
      <c r="F125" s="14"/>
      <c r="G125" s="15" t="s">
        <v>913</v>
      </c>
      <c r="H125" s="16" t="s">
        <v>29</v>
      </c>
      <c r="I125" s="73">
        <v>7.0</v>
      </c>
      <c r="J125" s="54"/>
      <c r="K125" s="55">
        <v>6.0</v>
      </c>
      <c r="L125" s="18">
        <f>IFNA( VLOOKUP(LEFT(E125, IFERROR(FIND(" ", E125, 1),1) - 1), lists!$A$31:$B$37, 2, FALSE),"")</f>
        <v>6</v>
      </c>
      <c r="M125" s="18" t="str">
        <f>IFERROR(__xludf.DUMMYFUNCTION("IFNA(VLOOKUP(IFNA(REGEXEXTRACT(E125, ""(Пасхи|50-ці|посту)""),""""),lists!$A$39:$B$41,2,FALSE),"""")"),"")</f>
        <v/>
      </c>
      <c r="N125" s="19" t="str">
        <f>IFERROR(__xludf.DUMMYFUNCTION("IFNA(REGEXEXTRACT(E125, ""\d{1,2}""),"""")"),"7")</f>
        <v>7</v>
      </c>
      <c r="O125" s="14" t="b">
        <f t="shared" si="3"/>
        <v>0</v>
      </c>
    </row>
    <row r="126">
      <c r="A126" s="13" t="s">
        <v>1094</v>
      </c>
      <c r="B126" s="9" t="str">
        <f t="shared" si="1"/>
        <v>Йо.</v>
      </c>
      <c r="C126" s="11" t="str">
        <f t="shared" si="2"/>
        <v>63</v>
      </c>
      <c r="D126" s="9"/>
      <c r="E126" s="21" t="s">
        <v>1004</v>
      </c>
      <c r="F126" s="14"/>
      <c r="G126" s="15" t="s">
        <v>1744</v>
      </c>
      <c r="H126" s="16" t="s">
        <v>29</v>
      </c>
      <c r="I126" s="73">
        <v>7.0</v>
      </c>
      <c r="J126" s="55"/>
      <c r="K126" s="55">
        <v>7.0</v>
      </c>
      <c r="L126" s="18" t="str">
        <f>IFNA( VLOOKUP(LEFT(E126, IFERROR(FIND(" ", E126, 1),1) - 1), lists!$A$31:$B$37, 2, FALSE),"")</f>
        <v/>
      </c>
      <c r="M126" s="18" t="str">
        <f>IFERROR(__xludf.DUMMYFUNCTION("IFNA(VLOOKUP(IFNA(REGEXEXTRACT(E126, ""(Пасхи|50-ці|посту)""),""""),lists!$A$39:$B$41,2,FALSE),"""")"),"pentecost")</f>
        <v>pentecost</v>
      </c>
      <c r="N126" s="19" t="str">
        <f>IFERROR(__xludf.DUMMYFUNCTION("IFNA(REGEXEXTRACT(E126, ""\d{1,2}""),"""")"),"7")</f>
        <v>7</v>
      </c>
      <c r="O126" s="14" t="b">
        <f t="shared" si="3"/>
        <v>0</v>
      </c>
    </row>
    <row r="127">
      <c r="A127" s="13" t="s">
        <v>1556</v>
      </c>
      <c r="B127" s="9" t="str">
        <f t="shared" si="1"/>
        <v>Мт.</v>
      </c>
      <c r="C127" s="11" t="str">
        <f t="shared" si="2"/>
        <v>33</v>
      </c>
      <c r="D127" s="9"/>
      <c r="E127" s="13" t="s">
        <v>1557</v>
      </c>
      <c r="F127" s="14"/>
      <c r="G127" s="15" t="s">
        <v>913</v>
      </c>
      <c r="H127" s="16" t="s">
        <v>29</v>
      </c>
      <c r="I127" s="73">
        <v>7.0</v>
      </c>
      <c r="J127" s="54"/>
      <c r="K127" s="55">
        <v>7.0</v>
      </c>
      <c r="L127" s="18">
        <f>IFNA( VLOOKUP(LEFT(E127, IFERROR(FIND(" ", E127, 1),1) - 1), lists!$A$31:$B$37, 2, FALSE),"")</f>
        <v>7</v>
      </c>
      <c r="M127" s="18" t="str">
        <f>IFERROR(__xludf.DUMMYFUNCTION("IFNA(VLOOKUP(IFNA(REGEXEXTRACT(E127, ""(Пасхи|50-ці|посту)""),""""),lists!$A$39:$B$41,2,FALSE),"""")"),"")</f>
        <v/>
      </c>
      <c r="N127" s="19" t="str">
        <f>IFERROR(__xludf.DUMMYFUNCTION("IFNA(REGEXEXTRACT(E127, ""\d{1,2}""),"""")"),"7")</f>
        <v>7</v>
      </c>
      <c r="O127" s="14" t="b">
        <f t="shared" si="3"/>
        <v>0</v>
      </c>
    </row>
    <row r="128">
      <c r="A128" s="13" t="s">
        <v>1612</v>
      </c>
      <c r="B128" s="9" t="str">
        <f t="shared" si="1"/>
        <v>Мт.</v>
      </c>
      <c r="C128" s="11" t="str">
        <f t="shared" si="2"/>
        <v>65</v>
      </c>
      <c r="D128" s="9"/>
      <c r="E128" s="13" t="s">
        <v>1613</v>
      </c>
      <c r="F128" s="14"/>
      <c r="G128" s="15" t="s">
        <v>913</v>
      </c>
      <c r="H128" s="16" t="s">
        <v>29</v>
      </c>
      <c r="I128" s="73">
        <v>8.0</v>
      </c>
      <c r="J128" s="54"/>
      <c r="K128" s="55">
        <v>1.0</v>
      </c>
      <c r="L128" s="18">
        <f>IFNA( VLOOKUP(LEFT(E128, IFERROR(FIND(" ", E128, 1),1) - 1), lists!$A$31:$B$37, 2, FALSE),"")</f>
        <v>1</v>
      </c>
      <c r="M128" s="18" t="str">
        <f>IFERROR(__xludf.DUMMYFUNCTION("IFNA(VLOOKUP(IFNA(REGEXEXTRACT(E128, ""(Пасхи|50-ці|посту)""),""""),lists!$A$39:$B$41,2,FALSE),"""")"),"")</f>
        <v/>
      </c>
      <c r="N128" s="19" t="str">
        <f>IFERROR(__xludf.DUMMYFUNCTION("IFNA(REGEXEXTRACT(E128, ""\d{1,2}""),"""")"),"8")</f>
        <v>8</v>
      </c>
      <c r="O128" s="14" t="b">
        <f t="shared" si="3"/>
        <v>0</v>
      </c>
    </row>
    <row r="129">
      <c r="A129" s="13" t="s">
        <v>1614</v>
      </c>
      <c r="B129" s="9" t="str">
        <f t="shared" si="1"/>
        <v>Мт.</v>
      </c>
      <c r="C129" s="11" t="str">
        <f t="shared" si="2"/>
        <v>66</v>
      </c>
      <c r="D129" s="9"/>
      <c r="E129" s="21" t="s">
        <v>1615</v>
      </c>
      <c r="F129" s="14"/>
      <c r="G129" s="15" t="s">
        <v>913</v>
      </c>
      <c r="H129" s="16" t="s">
        <v>29</v>
      </c>
      <c r="I129" s="73">
        <v>8.0</v>
      </c>
      <c r="J129" s="54"/>
      <c r="K129" s="55">
        <v>2.0</v>
      </c>
      <c r="L129" s="18">
        <f>IFNA( VLOOKUP(LEFT(E129, IFERROR(FIND(" ", E129, 1),1) - 1), lists!$A$31:$B$37, 2, FALSE),"")</f>
        <v>2</v>
      </c>
      <c r="M129" s="18" t="str">
        <f>IFERROR(__xludf.DUMMYFUNCTION("IFNA(VLOOKUP(IFNA(REGEXEXTRACT(E129, ""(Пасхи|50-ці|посту)""),""""),lists!$A$39:$B$41,2,FALSE),"""")"),"")</f>
        <v/>
      </c>
      <c r="N129" s="19" t="str">
        <f>IFERROR(__xludf.DUMMYFUNCTION("IFNA(REGEXEXTRACT(E129, ""\d{1,2}""),"""")"),"8")</f>
        <v>8</v>
      </c>
      <c r="O129" s="14" t="b">
        <f t="shared" si="3"/>
        <v>0</v>
      </c>
    </row>
    <row r="130">
      <c r="A130" s="13" t="s">
        <v>1620</v>
      </c>
      <c r="B130" s="9" t="str">
        <f t="shared" si="1"/>
        <v>Мт.</v>
      </c>
      <c r="C130" s="11" t="str">
        <f t="shared" si="2"/>
        <v>68</v>
      </c>
      <c r="D130" s="9"/>
      <c r="E130" s="13" t="s">
        <v>1621</v>
      </c>
      <c r="F130" s="14"/>
      <c r="G130" s="15" t="s">
        <v>913</v>
      </c>
      <c r="H130" s="16" t="s">
        <v>29</v>
      </c>
      <c r="I130" s="73">
        <v>8.0</v>
      </c>
      <c r="J130" s="54"/>
      <c r="K130" s="55">
        <v>3.0</v>
      </c>
      <c r="L130" s="18">
        <f>IFNA( VLOOKUP(LEFT(E130, IFERROR(FIND(" ", E130, 1),1) - 1), lists!$A$31:$B$37, 2, FALSE),"")</f>
        <v>3</v>
      </c>
      <c r="M130" s="18" t="str">
        <f>IFERROR(__xludf.DUMMYFUNCTION("IFNA(VLOOKUP(IFNA(REGEXEXTRACT(E130, ""(Пасхи|50-ці|посту)""),""""),lists!$A$39:$B$41,2,FALSE),"""")"),"")</f>
        <v/>
      </c>
      <c r="N130" s="19" t="str">
        <f>IFERROR(__xludf.DUMMYFUNCTION("IFNA(REGEXEXTRACT(E130, ""\d{1,2}""),"""")"),"8")</f>
        <v>8</v>
      </c>
      <c r="O130" s="14" t="b">
        <f t="shared" si="3"/>
        <v>0</v>
      </c>
    </row>
    <row r="131">
      <c r="A131" s="13" t="s">
        <v>1622</v>
      </c>
      <c r="B131" s="9" t="str">
        <f t="shared" si="1"/>
        <v>Мт.</v>
      </c>
      <c r="C131" s="11" t="str">
        <f t="shared" si="2"/>
        <v>69</v>
      </c>
      <c r="D131" s="9"/>
      <c r="E131" s="13" t="s">
        <v>1623</v>
      </c>
      <c r="F131" s="14"/>
      <c r="G131" s="15" t="s">
        <v>913</v>
      </c>
      <c r="H131" s="16" t="s">
        <v>29</v>
      </c>
      <c r="I131" s="73">
        <v>8.0</v>
      </c>
      <c r="J131" s="54"/>
      <c r="K131" s="55">
        <v>4.0</v>
      </c>
      <c r="L131" s="18">
        <f>IFNA( VLOOKUP(LEFT(E131, IFERROR(FIND(" ", E131, 1),1) - 1), lists!$A$31:$B$37, 2, FALSE),"")</f>
        <v>4</v>
      </c>
      <c r="M131" s="18" t="str">
        <f>IFERROR(__xludf.DUMMYFUNCTION("IFNA(VLOOKUP(IFNA(REGEXEXTRACT(E131, ""(Пасхи|50-ці|посту)""),""""),lists!$A$39:$B$41,2,FALSE),"""")"),"")</f>
        <v/>
      </c>
      <c r="N131" s="19" t="str">
        <f>IFERROR(__xludf.DUMMYFUNCTION("IFNA(REGEXEXTRACT(E131, ""\d{1,2}""),"""")"),"8")</f>
        <v>8</v>
      </c>
      <c r="O131" s="14" t="b">
        <f t="shared" si="3"/>
        <v>0</v>
      </c>
    </row>
    <row r="132">
      <c r="A132" s="13" t="s">
        <v>1626</v>
      </c>
      <c r="B132" s="9" t="str">
        <f t="shared" si="1"/>
        <v>Мт.</v>
      </c>
      <c r="C132" s="11" t="str">
        <f t="shared" si="2"/>
        <v>71</v>
      </c>
      <c r="D132" s="9"/>
      <c r="E132" s="13" t="s">
        <v>1627</v>
      </c>
      <c r="F132" s="14"/>
      <c r="G132" s="15" t="s">
        <v>913</v>
      </c>
      <c r="H132" s="16" t="s">
        <v>29</v>
      </c>
      <c r="I132" s="73">
        <v>8.0</v>
      </c>
      <c r="J132" s="54"/>
      <c r="K132" s="55">
        <v>5.0</v>
      </c>
      <c r="L132" s="18">
        <f>IFNA( VLOOKUP(LEFT(E132, IFERROR(FIND(" ", E132, 1),1) - 1), lists!$A$31:$B$37, 2, FALSE),"")</f>
        <v>5</v>
      </c>
      <c r="M132" s="18" t="str">
        <f>IFERROR(__xludf.DUMMYFUNCTION("IFNA(VLOOKUP(IFNA(REGEXEXTRACT(E132, ""(Пасхи|50-ці|посту)""),""""),lists!$A$39:$B$41,2,FALSE),"""")"),"")</f>
        <v/>
      </c>
      <c r="N132" s="19" t="str">
        <f>IFERROR(__xludf.DUMMYFUNCTION("IFNA(REGEXEXTRACT(E132, ""\d{1,2}""),"""")"),"8")</f>
        <v>8</v>
      </c>
      <c r="O132" s="14" t="b">
        <f t="shared" si="3"/>
        <v>0</v>
      </c>
    </row>
    <row r="133">
      <c r="A133" s="13" t="s">
        <v>1581</v>
      </c>
      <c r="B133" s="9" t="str">
        <f t="shared" si="1"/>
        <v>Мт.</v>
      </c>
      <c r="C133" s="11" t="str">
        <f t="shared" si="2"/>
        <v>47</v>
      </c>
      <c r="D133" s="9"/>
      <c r="E133" s="13" t="s">
        <v>1582</v>
      </c>
      <c r="F133" s="14"/>
      <c r="G133" s="15" t="s">
        <v>913</v>
      </c>
      <c r="H133" s="16" t="s">
        <v>29</v>
      </c>
      <c r="I133" s="73">
        <v>8.0</v>
      </c>
      <c r="J133" s="54"/>
      <c r="K133" s="55">
        <v>6.0</v>
      </c>
      <c r="L133" s="18">
        <f>IFNA( VLOOKUP(LEFT(E133, IFERROR(FIND(" ", E133, 1),1) - 1), lists!$A$31:$B$37, 2, FALSE),"")</f>
        <v>6</v>
      </c>
      <c r="M133" s="18" t="str">
        <f>IFERROR(__xludf.DUMMYFUNCTION("IFNA(VLOOKUP(IFNA(REGEXEXTRACT(E133, ""(Пасхи|50-ці|посту)""),""""),lists!$A$39:$B$41,2,FALSE),"""")"),"")</f>
        <v/>
      </c>
      <c r="N133" s="19" t="str">
        <f>IFERROR(__xludf.DUMMYFUNCTION("IFNA(REGEXEXTRACT(E133, ""\d{1,2}""),"""")"),"8")</f>
        <v>8</v>
      </c>
      <c r="O133" s="14" t="b">
        <f t="shared" si="3"/>
        <v>0</v>
      </c>
    </row>
    <row r="134">
      <c r="A134" s="13" t="s">
        <v>1601</v>
      </c>
      <c r="B134" s="9" t="str">
        <f t="shared" si="1"/>
        <v>Мт.</v>
      </c>
      <c r="C134" s="11" t="str">
        <f t="shared" si="2"/>
        <v>58</v>
      </c>
      <c r="D134" s="9"/>
      <c r="E134" s="13" t="s">
        <v>1602</v>
      </c>
      <c r="F134" s="14"/>
      <c r="G134" s="15" t="s">
        <v>913</v>
      </c>
      <c r="H134" s="16" t="s">
        <v>29</v>
      </c>
      <c r="I134" s="73">
        <v>8.0</v>
      </c>
      <c r="J134" s="54"/>
      <c r="K134" s="55">
        <v>7.0</v>
      </c>
      <c r="L134" s="18">
        <f>IFNA( VLOOKUP(LEFT(E134, IFERROR(FIND(" ", E134, 1),1) - 1), lists!$A$31:$B$37, 2, FALSE),"")</f>
        <v>7</v>
      </c>
      <c r="M134" s="18" t="str">
        <f>IFERROR(__xludf.DUMMYFUNCTION("IFNA(VLOOKUP(IFNA(REGEXEXTRACT(E134, ""(Пасхи|50-ці|посту)""),""""),lists!$A$39:$B$41,2,FALSE),"""")"),"")</f>
        <v/>
      </c>
      <c r="N134" s="19" t="str">
        <f>IFERROR(__xludf.DUMMYFUNCTION("IFNA(REGEXEXTRACT(E134, ""\d{1,2}""),"""")"),"8")</f>
        <v>8</v>
      </c>
      <c r="O134" s="14" t="b">
        <f t="shared" si="3"/>
        <v>0</v>
      </c>
    </row>
    <row r="135">
      <c r="A135" s="13" t="s">
        <v>1632</v>
      </c>
      <c r="B135" s="9" t="str">
        <f t="shared" si="1"/>
        <v>Мт.</v>
      </c>
      <c r="C135" s="11" t="str">
        <f t="shared" si="2"/>
        <v>74</v>
      </c>
      <c r="D135" s="9"/>
      <c r="E135" s="13" t="s">
        <v>1633</v>
      </c>
      <c r="F135" s="14"/>
      <c r="G135" s="15" t="s">
        <v>913</v>
      </c>
      <c r="H135" s="16" t="s">
        <v>29</v>
      </c>
      <c r="I135" s="73">
        <v>9.0</v>
      </c>
      <c r="J135" s="54"/>
      <c r="K135" s="55">
        <v>1.0</v>
      </c>
      <c r="L135" s="18">
        <f>IFNA( VLOOKUP(LEFT(E135, IFERROR(FIND(" ", E135, 1),1) - 1), lists!$A$31:$B$37, 2, FALSE),"")</f>
        <v>1</v>
      </c>
      <c r="M135" s="18" t="str">
        <f>IFERROR(__xludf.DUMMYFUNCTION("IFNA(VLOOKUP(IFNA(REGEXEXTRACT(E135, ""(Пасхи|50-ці|посту)""),""""),lists!$A$39:$B$41,2,FALSE),"""")"),"")</f>
        <v/>
      </c>
      <c r="N135" s="19" t="str">
        <f>IFERROR(__xludf.DUMMYFUNCTION("IFNA(REGEXEXTRACT(E135, ""\d{1,2}""),"""")"),"9")</f>
        <v>9</v>
      </c>
      <c r="O135" s="14" t="b">
        <f t="shared" si="3"/>
        <v>0</v>
      </c>
    </row>
    <row r="136">
      <c r="A136" s="13" t="s">
        <v>1636</v>
      </c>
      <c r="B136" s="9" t="str">
        <f t="shared" si="1"/>
        <v>Мт.</v>
      </c>
      <c r="C136" s="11" t="str">
        <f t="shared" si="2"/>
        <v>76</v>
      </c>
      <c r="D136" s="9"/>
      <c r="E136" s="13" t="s">
        <v>1637</v>
      </c>
      <c r="F136" s="14"/>
      <c r="G136" s="15" t="s">
        <v>913</v>
      </c>
      <c r="H136" s="16" t="s">
        <v>29</v>
      </c>
      <c r="I136" s="73">
        <v>9.0</v>
      </c>
      <c r="J136" s="54"/>
      <c r="K136" s="55">
        <v>2.0</v>
      </c>
      <c r="L136" s="18">
        <f>IFNA( VLOOKUP(LEFT(E136, IFERROR(FIND(" ", E136, 1),1) - 1), lists!$A$31:$B$37, 2, FALSE),"")</f>
        <v>2</v>
      </c>
      <c r="M136" s="18" t="str">
        <f>IFERROR(__xludf.DUMMYFUNCTION("IFNA(VLOOKUP(IFNA(REGEXEXTRACT(E136, ""(Пасхи|50-ці|посту)""),""""),lists!$A$39:$B$41,2,FALSE),"""")"),"")</f>
        <v/>
      </c>
      <c r="N136" s="19" t="str">
        <f>IFERROR(__xludf.DUMMYFUNCTION("IFNA(REGEXEXTRACT(E136, ""\d{1,2}""),"""")"),"9")</f>
        <v>9</v>
      </c>
      <c r="O136" s="14" t="b">
        <f t="shared" si="3"/>
        <v>0</v>
      </c>
    </row>
    <row r="137">
      <c r="A137" s="13" t="s">
        <v>1644</v>
      </c>
      <c r="B137" s="9" t="str">
        <f t="shared" si="1"/>
        <v>Мт.</v>
      </c>
      <c r="C137" s="11" t="str">
        <f t="shared" si="2"/>
        <v>80</v>
      </c>
      <c r="D137" s="9"/>
      <c r="E137" s="21" t="s">
        <v>1645</v>
      </c>
      <c r="F137" s="14"/>
      <c r="G137" s="15" t="s">
        <v>913</v>
      </c>
      <c r="H137" s="16" t="s">
        <v>29</v>
      </c>
      <c r="I137" s="73">
        <v>9.0</v>
      </c>
      <c r="J137" s="54"/>
      <c r="K137" s="55">
        <v>3.0</v>
      </c>
      <c r="L137" s="18">
        <f>IFNA( VLOOKUP(LEFT(E137, IFERROR(FIND(" ", E137, 1),1) - 1), lists!$A$31:$B$37, 2, FALSE),"")</f>
        <v>3</v>
      </c>
      <c r="M137" s="18" t="str">
        <f>IFERROR(__xludf.DUMMYFUNCTION("IFNA(VLOOKUP(IFNA(REGEXEXTRACT(E137, ""(Пасхи|50-ці|посту)""),""""),lists!$A$39:$B$41,2,FALSE),"""")"),"")</f>
        <v/>
      </c>
      <c r="N137" s="19" t="str">
        <f>IFERROR(__xludf.DUMMYFUNCTION("IFNA(REGEXEXTRACT(E137, ""\d{1,2}""),"""")"),"9")</f>
        <v>9</v>
      </c>
      <c r="O137" s="14" t="b">
        <f t="shared" si="3"/>
        <v>0</v>
      </c>
    </row>
    <row r="138">
      <c r="A138" s="13" t="s">
        <v>1646</v>
      </c>
      <c r="B138" s="9" t="str">
        <f t="shared" si="1"/>
        <v>Мт.</v>
      </c>
      <c r="C138" s="11" t="str">
        <f t="shared" si="2"/>
        <v>81</v>
      </c>
      <c r="D138" s="9"/>
      <c r="E138" s="13" t="s">
        <v>1647</v>
      </c>
      <c r="F138" s="14"/>
      <c r="G138" s="15" t="s">
        <v>913</v>
      </c>
      <c r="H138" s="16" t="s">
        <v>29</v>
      </c>
      <c r="I138" s="73">
        <v>9.0</v>
      </c>
      <c r="J138" s="54"/>
      <c r="K138" s="55">
        <v>4.0</v>
      </c>
      <c r="L138" s="18">
        <f>IFNA( VLOOKUP(LEFT(E138, IFERROR(FIND(" ", E138, 1),1) - 1), lists!$A$31:$B$37, 2, FALSE),"")</f>
        <v>4</v>
      </c>
      <c r="M138" s="18" t="str">
        <f>IFERROR(__xludf.DUMMYFUNCTION("IFNA(VLOOKUP(IFNA(REGEXEXTRACT(E138, ""(Пасхи|50-ці|посту)""),""""),lists!$A$39:$B$41,2,FALSE),"""")"),"")</f>
        <v/>
      </c>
      <c r="N138" s="19" t="str">
        <f>IFERROR(__xludf.DUMMYFUNCTION("IFNA(REGEXEXTRACT(E138, ""\d{1,2}""),"""")"),"9")</f>
        <v>9</v>
      </c>
      <c r="O138" s="14" t="b">
        <f t="shared" si="3"/>
        <v>0</v>
      </c>
    </row>
    <row r="139">
      <c r="A139" s="13" t="s">
        <v>1652</v>
      </c>
      <c r="B139" s="9" t="str">
        <f t="shared" si="1"/>
        <v>Мт.</v>
      </c>
      <c r="C139" s="11" t="str">
        <f t="shared" si="2"/>
        <v>83</v>
      </c>
      <c r="D139" s="26" t="s">
        <v>18</v>
      </c>
      <c r="E139" s="13" t="s">
        <v>1653</v>
      </c>
      <c r="F139" s="14"/>
      <c r="G139" s="15" t="s">
        <v>913</v>
      </c>
      <c r="H139" s="16" t="s">
        <v>29</v>
      </c>
      <c r="I139" s="73">
        <v>9.0</v>
      </c>
      <c r="J139" s="54"/>
      <c r="K139" s="55">
        <v>5.0</v>
      </c>
      <c r="L139" s="18">
        <f>IFNA( VLOOKUP(LEFT(E139, IFERROR(FIND(" ", E139, 1),1) - 1), lists!$A$31:$B$37, 2, FALSE),"")</f>
        <v>5</v>
      </c>
      <c r="M139" s="18" t="str">
        <f>IFERROR(__xludf.DUMMYFUNCTION("IFNA(VLOOKUP(IFNA(REGEXEXTRACT(E139, ""(Пасхи|50-ці|посту)""),""""),lists!$A$39:$B$41,2,FALSE),"""")"),"")</f>
        <v/>
      </c>
      <c r="N139" s="19" t="str">
        <f>IFERROR(__xludf.DUMMYFUNCTION("IFNA(REGEXEXTRACT(E139, ""\d{1,2}""),"""")"),"9")</f>
        <v>9</v>
      </c>
      <c r="O139" s="14" t="b">
        <f t="shared" si="3"/>
        <v>0</v>
      </c>
    </row>
    <row r="140">
      <c r="A140" s="13" t="s">
        <v>1610</v>
      </c>
      <c r="B140" s="9" t="str">
        <f t="shared" si="1"/>
        <v>Мт.</v>
      </c>
      <c r="C140" s="11" t="str">
        <f t="shared" si="2"/>
        <v>64</v>
      </c>
      <c r="D140" s="9"/>
      <c r="E140" s="13" t="s">
        <v>1611</v>
      </c>
      <c r="F140" s="14"/>
      <c r="G140" s="15" t="s">
        <v>913</v>
      </c>
      <c r="H140" s="16" t="s">
        <v>29</v>
      </c>
      <c r="I140" s="73">
        <v>9.0</v>
      </c>
      <c r="J140" s="54"/>
      <c r="K140" s="55">
        <v>6.0</v>
      </c>
      <c r="L140" s="18">
        <f>IFNA( VLOOKUP(LEFT(E140, IFERROR(FIND(" ", E140, 1),1) - 1), lists!$A$31:$B$37, 2, FALSE),"")</f>
        <v>6</v>
      </c>
      <c r="M140" s="18" t="str">
        <f>IFERROR(__xludf.DUMMYFUNCTION("IFNA(VLOOKUP(IFNA(REGEXEXTRACT(E140, ""(Пасхи|50-ці|посту)""),""""),lists!$A$39:$B$41,2,FALSE),"""")"),"")</f>
        <v/>
      </c>
      <c r="N140" s="19" t="str">
        <f>IFERROR(__xludf.DUMMYFUNCTION("IFNA(REGEXEXTRACT(E140, ""\d{1,2}""),"""")"),"9")</f>
        <v>9</v>
      </c>
      <c r="O140" s="14" t="b">
        <f t="shared" si="3"/>
        <v>0</v>
      </c>
    </row>
    <row r="141">
      <c r="A141" s="13" t="s">
        <v>1603</v>
      </c>
      <c r="B141" s="9" t="str">
        <f t="shared" si="1"/>
        <v>Мт.</v>
      </c>
      <c r="C141" s="11" t="str">
        <f t="shared" si="2"/>
        <v>59</v>
      </c>
      <c r="D141" s="9"/>
      <c r="E141" s="13" t="s">
        <v>1604</v>
      </c>
      <c r="F141" s="14"/>
      <c r="G141" s="15" t="s">
        <v>913</v>
      </c>
      <c r="H141" s="16" t="s">
        <v>29</v>
      </c>
      <c r="I141" s="73">
        <v>9.0</v>
      </c>
      <c r="J141" s="54"/>
      <c r="K141" s="55">
        <v>7.0</v>
      </c>
      <c r="L141" s="18">
        <f>IFNA( VLOOKUP(LEFT(E141, IFERROR(FIND(" ", E141, 1),1) - 1), lists!$A$31:$B$37, 2, FALSE),"")</f>
        <v>7</v>
      </c>
      <c r="M141" s="18" t="str">
        <f>IFERROR(__xludf.DUMMYFUNCTION("IFNA(VLOOKUP(IFNA(REGEXEXTRACT(E141, ""(Пасхи|50-ці|посту)""),""""),lists!$A$39:$B$41,2,FALSE),"""")"),"")</f>
        <v/>
      </c>
      <c r="N141" s="19" t="str">
        <f>IFERROR(__xludf.DUMMYFUNCTION("IFNA(REGEXEXTRACT(E141, ""\d{1,2}""),"""")"),"9")</f>
        <v>9</v>
      </c>
      <c r="O141" s="14" t="b">
        <f t="shared" si="3"/>
        <v>0</v>
      </c>
    </row>
    <row r="142">
      <c r="A142" s="13" t="s">
        <v>1654</v>
      </c>
      <c r="B142" s="9" t="str">
        <f t="shared" si="1"/>
        <v>Мт.</v>
      </c>
      <c r="C142" s="11" t="str">
        <f t="shared" si="2"/>
        <v>84</v>
      </c>
      <c r="D142" s="26" t="s">
        <v>18</v>
      </c>
      <c r="E142" s="13" t="s">
        <v>1655</v>
      </c>
      <c r="F142" s="14"/>
      <c r="G142" s="15" t="s">
        <v>913</v>
      </c>
      <c r="H142" s="16" t="s">
        <v>29</v>
      </c>
      <c r="I142" s="73">
        <v>10.0</v>
      </c>
      <c r="J142" s="54"/>
      <c r="K142" s="55">
        <v>1.0</v>
      </c>
      <c r="L142" s="18">
        <f>IFNA( VLOOKUP(LEFT(E142, IFERROR(FIND(" ", E142, 1),1) - 1), lists!$A$31:$B$37, 2, FALSE),"")</f>
        <v>1</v>
      </c>
      <c r="M142" s="18" t="str">
        <f>IFERROR(__xludf.DUMMYFUNCTION("IFNA(VLOOKUP(IFNA(REGEXEXTRACT(E142, ""(Пасхи|50-ці|посту)""),""""),lists!$A$39:$B$41,2,FALSE),"""")"),"")</f>
        <v/>
      </c>
      <c r="N142" s="19" t="str">
        <f>IFERROR(__xludf.DUMMYFUNCTION("IFNA(REGEXEXTRACT(E142, ""\d{1,2}""),"""")"),"10")</f>
        <v>10</v>
      </c>
      <c r="O142" s="14" t="b">
        <f t="shared" si="3"/>
        <v>0</v>
      </c>
    </row>
    <row r="143">
      <c r="A143" s="13" t="s">
        <v>1658</v>
      </c>
      <c r="B143" s="9" t="str">
        <f t="shared" si="1"/>
        <v>Мт.</v>
      </c>
      <c r="C143" s="11" t="str">
        <f t="shared" si="2"/>
        <v>85</v>
      </c>
      <c r="D143" s="9"/>
      <c r="E143" s="13" t="s">
        <v>1659</v>
      </c>
      <c r="F143" s="14"/>
      <c r="G143" s="15" t="s">
        <v>913</v>
      </c>
      <c r="H143" s="16" t="s">
        <v>29</v>
      </c>
      <c r="I143" s="73">
        <v>10.0</v>
      </c>
      <c r="J143" s="54"/>
      <c r="K143" s="55">
        <v>2.0</v>
      </c>
      <c r="L143" s="18">
        <f>IFNA( VLOOKUP(LEFT(E143, IFERROR(FIND(" ", E143, 1),1) - 1), lists!$A$31:$B$37, 2, FALSE),"")</f>
        <v>2</v>
      </c>
      <c r="M143" s="18" t="str">
        <f>IFERROR(__xludf.DUMMYFUNCTION("IFNA(VLOOKUP(IFNA(REGEXEXTRACT(E143, ""(Пасхи|50-ці|посту)""),""""),lists!$A$39:$B$41,2,FALSE),"""")"),"")</f>
        <v/>
      </c>
      <c r="N143" s="19" t="str">
        <f>IFERROR(__xludf.DUMMYFUNCTION("IFNA(REGEXEXTRACT(E143, ""\d{1,2}""),"""")"),"10")</f>
        <v>10</v>
      </c>
      <c r="O143" s="14" t="b">
        <f t="shared" si="3"/>
        <v>0</v>
      </c>
    </row>
    <row r="144">
      <c r="A144" s="13" t="s">
        <v>1660</v>
      </c>
      <c r="B144" s="9" t="str">
        <f t="shared" si="1"/>
        <v>Мт.</v>
      </c>
      <c r="C144" s="11" t="str">
        <f t="shared" si="2"/>
        <v>86</v>
      </c>
      <c r="D144" s="9"/>
      <c r="E144" s="13" t="s">
        <v>1661</v>
      </c>
      <c r="F144" s="14"/>
      <c r="G144" s="15" t="s">
        <v>913</v>
      </c>
      <c r="H144" s="16" t="s">
        <v>29</v>
      </c>
      <c r="I144" s="73">
        <v>10.0</v>
      </c>
      <c r="J144" s="54"/>
      <c r="K144" s="55">
        <v>3.0</v>
      </c>
      <c r="L144" s="18">
        <f>IFNA( VLOOKUP(LEFT(E144, IFERROR(FIND(" ", E144, 1),1) - 1), lists!$A$31:$B$37, 2, FALSE),"")</f>
        <v>3</v>
      </c>
      <c r="M144" s="18" t="str">
        <f>IFERROR(__xludf.DUMMYFUNCTION("IFNA(VLOOKUP(IFNA(REGEXEXTRACT(E144, ""(Пасхи|50-ці|посту)""),""""),lists!$A$39:$B$41,2,FALSE),"""")"),"")</f>
        <v/>
      </c>
      <c r="N144" s="19" t="str">
        <f>IFERROR(__xludf.DUMMYFUNCTION("IFNA(REGEXEXTRACT(E144, ""\d{1,2}""),"""")"),"10")</f>
        <v>10</v>
      </c>
      <c r="O144" s="14" t="b">
        <f t="shared" si="3"/>
        <v>0</v>
      </c>
    </row>
    <row r="145">
      <c r="A145" s="13" t="s">
        <v>1664</v>
      </c>
      <c r="B145" s="9" t="str">
        <f t="shared" si="1"/>
        <v>Мт.</v>
      </c>
      <c r="C145" s="11" t="str">
        <f t="shared" si="2"/>
        <v>88</v>
      </c>
      <c r="D145" s="9"/>
      <c r="E145" s="13" t="s">
        <v>1665</v>
      </c>
      <c r="F145" s="14"/>
      <c r="G145" s="15" t="s">
        <v>913</v>
      </c>
      <c r="H145" s="16" t="s">
        <v>29</v>
      </c>
      <c r="I145" s="73">
        <v>10.0</v>
      </c>
      <c r="J145" s="54"/>
      <c r="K145" s="55">
        <v>4.0</v>
      </c>
      <c r="L145" s="18">
        <f>IFNA( VLOOKUP(LEFT(E145, IFERROR(FIND(" ", E145, 1),1) - 1), lists!$A$31:$B$37, 2, FALSE),"")</f>
        <v>4</v>
      </c>
      <c r="M145" s="18" t="str">
        <f>IFERROR(__xludf.DUMMYFUNCTION("IFNA(VLOOKUP(IFNA(REGEXEXTRACT(E145, ""(Пасхи|50-ці|посту)""),""""),lists!$A$39:$B$41,2,FALSE),"""")"),"")</f>
        <v/>
      </c>
      <c r="N145" s="19" t="str">
        <f>IFERROR(__xludf.DUMMYFUNCTION("IFNA(REGEXEXTRACT(E145, ""\d{1,2}""),"""")"),"10")</f>
        <v>10</v>
      </c>
      <c r="O145" s="14" t="b">
        <f t="shared" si="3"/>
        <v>0</v>
      </c>
    </row>
    <row r="146">
      <c r="A146" s="13" t="s">
        <v>1672</v>
      </c>
      <c r="B146" s="9" t="str">
        <f t="shared" si="1"/>
        <v>Мт.</v>
      </c>
      <c r="C146" s="11" t="str">
        <f t="shared" si="2"/>
        <v>91</v>
      </c>
      <c r="D146" s="9"/>
      <c r="E146" s="13" t="s">
        <v>1673</v>
      </c>
      <c r="F146" s="14"/>
      <c r="G146" s="15" t="s">
        <v>913</v>
      </c>
      <c r="H146" s="16" t="s">
        <v>29</v>
      </c>
      <c r="I146" s="73">
        <v>10.0</v>
      </c>
      <c r="J146" s="54"/>
      <c r="K146" s="55">
        <v>5.0</v>
      </c>
      <c r="L146" s="18">
        <f>IFNA( VLOOKUP(LEFT(E146, IFERROR(FIND(" ", E146, 1),1) - 1), lists!$A$31:$B$37, 2, FALSE),"")</f>
        <v>5</v>
      </c>
      <c r="M146" s="18" t="str">
        <f>IFERROR(__xludf.DUMMYFUNCTION("IFNA(VLOOKUP(IFNA(REGEXEXTRACT(E146, ""(Пасхи|50-ці|посту)""),""""),lists!$A$39:$B$41,2,FALSE),"""")"),"")</f>
        <v/>
      </c>
      <c r="N146" s="19" t="str">
        <f>IFERROR(__xludf.DUMMYFUNCTION("IFNA(REGEXEXTRACT(E146, ""\d{1,2}""),"""")"),"10")</f>
        <v>10</v>
      </c>
      <c r="O146" s="14" t="b">
        <f t="shared" si="3"/>
        <v>0</v>
      </c>
    </row>
    <row r="147">
      <c r="A147" s="13" t="s">
        <v>1630</v>
      </c>
      <c r="B147" s="9" t="str">
        <f t="shared" si="1"/>
        <v>Мт.</v>
      </c>
      <c r="C147" s="11" t="str">
        <f t="shared" si="2"/>
        <v>73</v>
      </c>
      <c r="D147" s="9"/>
      <c r="E147" s="13" t="s">
        <v>1631</v>
      </c>
      <c r="F147" s="14"/>
      <c r="G147" s="15" t="s">
        <v>913</v>
      </c>
      <c r="H147" s="16" t="s">
        <v>29</v>
      </c>
      <c r="I147" s="73">
        <v>10.0</v>
      </c>
      <c r="J147" s="54"/>
      <c r="K147" s="55">
        <v>6.0</v>
      </c>
      <c r="L147" s="18">
        <f>IFNA( VLOOKUP(LEFT(E147, IFERROR(FIND(" ", E147, 1),1) - 1), lists!$A$31:$B$37, 2, FALSE),"")</f>
        <v>6</v>
      </c>
      <c r="M147" s="18" t="str">
        <f>IFERROR(__xludf.DUMMYFUNCTION("IFNA(VLOOKUP(IFNA(REGEXEXTRACT(E147, ""(Пасхи|50-ці|посту)""),""""),lists!$A$39:$B$41,2,FALSE),"""")"),"")</f>
        <v/>
      </c>
      <c r="N147" s="19" t="str">
        <f>IFERROR(__xludf.DUMMYFUNCTION("IFNA(REGEXEXTRACT(E147, ""\d{1,2}""),"""")"),"10")</f>
        <v>10</v>
      </c>
      <c r="O147" s="14" t="b">
        <f t="shared" si="3"/>
        <v>0</v>
      </c>
    </row>
    <row r="148">
      <c r="A148" s="13" t="s">
        <v>1628</v>
      </c>
      <c r="B148" s="9" t="str">
        <f t="shared" si="1"/>
        <v>Мт.</v>
      </c>
      <c r="C148" s="11" t="str">
        <f t="shared" si="2"/>
        <v>72</v>
      </c>
      <c r="D148" s="9"/>
      <c r="E148" s="13" t="s">
        <v>1629</v>
      </c>
      <c r="F148" s="14"/>
      <c r="G148" s="15" t="s">
        <v>913</v>
      </c>
      <c r="H148" s="16" t="s">
        <v>29</v>
      </c>
      <c r="I148" s="73">
        <v>10.0</v>
      </c>
      <c r="J148" s="54"/>
      <c r="K148" s="55">
        <v>7.0</v>
      </c>
      <c r="L148" s="18">
        <f>IFNA( VLOOKUP(LEFT(E148, IFERROR(FIND(" ", E148, 1),1) - 1), lists!$A$31:$B$37, 2, FALSE),"")</f>
        <v>7</v>
      </c>
      <c r="M148" s="18" t="str">
        <f>IFERROR(__xludf.DUMMYFUNCTION("IFNA(VLOOKUP(IFNA(REGEXEXTRACT(E148, ""(Пасхи|50-ці|посту)""),""""),lists!$A$39:$B$41,2,FALSE),"""")"),"")</f>
        <v/>
      </c>
      <c r="N148" s="19" t="str">
        <f>IFERROR(__xludf.DUMMYFUNCTION("IFNA(REGEXEXTRACT(E148, ""\d{1,2}""),"""")"),"10")</f>
        <v>10</v>
      </c>
      <c r="O148" s="14" t="b">
        <f t="shared" si="3"/>
        <v>0</v>
      </c>
    </row>
    <row r="149">
      <c r="A149" s="13" t="s">
        <v>1678</v>
      </c>
      <c r="B149" s="9" t="str">
        <f t="shared" si="1"/>
        <v>Мт.</v>
      </c>
      <c r="C149" s="11" t="str">
        <f t="shared" si="2"/>
        <v>94</v>
      </c>
      <c r="D149" s="9"/>
      <c r="E149" s="13" t="s">
        <v>1679</v>
      </c>
      <c r="F149" s="14"/>
      <c r="G149" s="15" t="s">
        <v>913</v>
      </c>
      <c r="H149" s="16" t="s">
        <v>29</v>
      </c>
      <c r="I149" s="73">
        <v>11.0</v>
      </c>
      <c r="J149" s="54"/>
      <c r="K149" s="55">
        <v>1.0</v>
      </c>
      <c r="L149" s="18">
        <f>IFNA( VLOOKUP(LEFT(E149, IFERROR(FIND(" ", E149, 1),1) - 1), lists!$A$31:$B$37, 2, FALSE),"")</f>
        <v>1</v>
      </c>
      <c r="M149" s="18" t="str">
        <f>IFERROR(__xludf.DUMMYFUNCTION("IFNA(VLOOKUP(IFNA(REGEXEXTRACT(E149, ""(Пасхи|50-ці|посту)""),""""),lists!$A$39:$B$41,2,FALSE),"""")"),"")</f>
        <v/>
      </c>
      <c r="N149" s="19" t="str">
        <f>IFERROR(__xludf.DUMMYFUNCTION("IFNA(REGEXEXTRACT(E149, ""\d{1,2}""),"""")"),"11")</f>
        <v>11</v>
      </c>
      <c r="O149" s="14" t="b">
        <f t="shared" si="3"/>
        <v>0</v>
      </c>
    </row>
    <row r="150">
      <c r="A150" s="13" t="s">
        <v>1680</v>
      </c>
      <c r="B150" s="9" t="str">
        <f t="shared" si="1"/>
        <v>Мт.</v>
      </c>
      <c r="C150" s="11" t="str">
        <f t="shared" si="2"/>
        <v>95</v>
      </c>
      <c r="D150" s="9"/>
      <c r="E150" s="13" t="s">
        <v>1681</v>
      </c>
      <c r="F150" s="14"/>
      <c r="G150" s="15" t="s">
        <v>913</v>
      </c>
      <c r="H150" s="16" t="s">
        <v>29</v>
      </c>
      <c r="I150" s="73">
        <v>11.0</v>
      </c>
      <c r="J150" s="54"/>
      <c r="K150" s="55">
        <v>2.0</v>
      </c>
      <c r="L150" s="18">
        <f>IFNA( VLOOKUP(LEFT(E150, IFERROR(FIND(" ", E150, 1),1) - 1), lists!$A$31:$B$37, 2, FALSE),"")</f>
        <v>2</v>
      </c>
      <c r="M150" s="18" t="str">
        <f>IFERROR(__xludf.DUMMYFUNCTION("IFNA(VLOOKUP(IFNA(REGEXEXTRACT(E150, ""(Пасхи|50-ці|посту)""),""""),lists!$A$39:$B$41,2,FALSE),"""")"),"")</f>
        <v/>
      </c>
      <c r="N150" s="19" t="str">
        <f>IFERROR(__xludf.DUMMYFUNCTION("IFNA(REGEXEXTRACT(E150, ""\d{1,2}""),"""")"),"11")</f>
        <v>11</v>
      </c>
      <c r="O150" s="14" t="b">
        <f t="shared" si="3"/>
        <v>0</v>
      </c>
    </row>
    <row r="151">
      <c r="A151" s="13" t="s">
        <v>1682</v>
      </c>
      <c r="B151" s="9" t="str">
        <f t="shared" si="1"/>
        <v>Мт.</v>
      </c>
      <c r="C151" s="11" t="str">
        <f t="shared" si="2"/>
        <v>96</v>
      </c>
      <c r="D151" s="9"/>
      <c r="E151" s="13" t="s">
        <v>1683</v>
      </c>
      <c r="F151" s="14"/>
      <c r="G151" s="15" t="s">
        <v>913</v>
      </c>
      <c r="H151" s="16" t="s">
        <v>29</v>
      </c>
      <c r="I151" s="73">
        <v>11.0</v>
      </c>
      <c r="J151" s="54"/>
      <c r="K151" s="55">
        <v>3.0</v>
      </c>
      <c r="L151" s="18">
        <f>IFNA( VLOOKUP(LEFT(E151, IFERROR(FIND(" ", E151, 1),1) - 1), lists!$A$31:$B$37, 2, FALSE),"")</f>
        <v>3</v>
      </c>
      <c r="M151" s="18" t="str">
        <f>IFERROR(__xludf.DUMMYFUNCTION("IFNA(VLOOKUP(IFNA(REGEXEXTRACT(E151, ""(Пасхи|50-ці|посту)""),""""),lists!$A$39:$B$41,2,FALSE),"""")"),"")</f>
        <v/>
      </c>
      <c r="N151" s="19" t="str">
        <f>IFERROR(__xludf.DUMMYFUNCTION("IFNA(REGEXEXTRACT(E151, ""\d{1,2}""),"""")"),"11")</f>
        <v>11</v>
      </c>
      <c r="O151" s="14" t="b">
        <f t="shared" si="3"/>
        <v>0</v>
      </c>
    </row>
    <row r="152">
      <c r="A152" s="13" t="s">
        <v>1688</v>
      </c>
      <c r="B152" s="9" t="str">
        <f t="shared" si="1"/>
        <v>Мт.</v>
      </c>
      <c r="C152" s="11" t="str">
        <f t="shared" si="2"/>
        <v>99</v>
      </c>
      <c r="D152" s="9"/>
      <c r="E152" s="13" t="s">
        <v>1689</v>
      </c>
      <c r="F152" s="14"/>
      <c r="G152" s="15" t="s">
        <v>913</v>
      </c>
      <c r="H152" s="16" t="s">
        <v>29</v>
      </c>
      <c r="I152" s="73">
        <v>11.0</v>
      </c>
      <c r="J152" s="54"/>
      <c r="K152" s="55">
        <v>4.0</v>
      </c>
      <c r="L152" s="18">
        <f>IFNA( VLOOKUP(LEFT(E152, IFERROR(FIND(" ", E152, 1),1) - 1), lists!$A$31:$B$37, 2, FALSE),"")</f>
        <v>4</v>
      </c>
      <c r="M152" s="18" t="str">
        <f>IFERROR(__xludf.DUMMYFUNCTION("IFNA(VLOOKUP(IFNA(REGEXEXTRACT(E152, ""(Пасхи|50-ці|посту)""),""""),lists!$A$39:$B$41,2,FALSE),"""")"),"")</f>
        <v/>
      </c>
      <c r="N152" s="19" t="str">
        <f>IFERROR(__xludf.DUMMYFUNCTION("IFNA(REGEXEXTRACT(E152, ""\d{1,2}""),"""")"),"11")</f>
        <v>11</v>
      </c>
      <c r="O152" s="14" t="b">
        <f t="shared" si="3"/>
        <v>0</v>
      </c>
    </row>
    <row r="153">
      <c r="A153" s="79" t="s">
        <v>1690</v>
      </c>
      <c r="B153" s="9" t="str">
        <f t="shared" si="1"/>
        <v>Мт.</v>
      </c>
      <c r="C153" s="11" t="str">
        <f t="shared" si="2"/>
        <v>100</v>
      </c>
      <c r="D153" s="9"/>
      <c r="E153" s="13" t="s">
        <v>1691</v>
      </c>
      <c r="F153" s="14"/>
      <c r="G153" s="15" t="s">
        <v>913</v>
      </c>
      <c r="H153" s="16" t="s">
        <v>29</v>
      </c>
      <c r="I153" s="73">
        <v>11.0</v>
      </c>
      <c r="J153" s="54"/>
      <c r="K153" s="55">
        <v>5.0</v>
      </c>
      <c r="L153" s="18">
        <f>IFNA( VLOOKUP(LEFT(E153, IFERROR(FIND(" ", E153, 1),1) - 1), lists!$A$31:$B$37, 2, FALSE),"")</f>
        <v>5</v>
      </c>
      <c r="M153" s="18" t="str">
        <f>IFERROR(__xludf.DUMMYFUNCTION("IFNA(VLOOKUP(IFNA(REGEXEXTRACT(E153, ""(Пасхи|50-ці|посту)""),""""),lists!$A$39:$B$41,2,FALSE),"""")"),"")</f>
        <v/>
      </c>
      <c r="N153" s="19" t="str">
        <f>IFERROR(__xludf.DUMMYFUNCTION("IFNA(REGEXEXTRACT(E153, ""\d{1,2}""),"""")"),"11")</f>
        <v>11</v>
      </c>
      <c r="O153" s="14" t="b">
        <f t="shared" si="3"/>
        <v>0</v>
      </c>
    </row>
    <row r="154">
      <c r="A154" s="13" t="s">
        <v>1640</v>
      </c>
      <c r="B154" s="9" t="str">
        <f t="shared" si="1"/>
        <v>Мт.</v>
      </c>
      <c r="C154" s="11" t="str">
        <f t="shared" si="2"/>
        <v>78</v>
      </c>
      <c r="D154" s="9"/>
      <c r="E154" s="13" t="s">
        <v>1641</v>
      </c>
      <c r="F154" s="14"/>
      <c r="G154" s="15" t="s">
        <v>913</v>
      </c>
      <c r="H154" s="16" t="s">
        <v>29</v>
      </c>
      <c r="I154" s="73">
        <v>11.0</v>
      </c>
      <c r="J154" s="54"/>
      <c r="K154" s="55">
        <v>6.0</v>
      </c>
      <c r="L154" s="18">
        <f>IFNA( VLOOKUP(LEFT(E154, IFERROR(FIND(" ", E154, 1),1) - 1), lists!$A$31:$B$37, 2, FALSE),"")</f>
        <v>6</v>
      </c>
      <c r="M154" s="18" t="str">
        <f>IFERROR(__xludf.DUMMYFUNCTION("IFNA(VLOOKUP(IFNA(REGEXEXTRACT(E154, ""(Пасхи|50-ці|посту)""),""""),lists!$A$39:$B$41,2,FALSE),"""")"),"")</f>
        <v/>
      </c>
      <c r="N154" s="19" t="str">
        <f>IFERROR(__xludf.DUMMYFUNCTION("IFNA(REGEXEXTRACT(E154, ""\d{1,2}""),"""")"),"11")</f>
        <v>11</v>
      </c>
      <c r="O154" s="14" t="b">
        <f t="shared" si="3"/>
        <v>0</v>
      </c>
    </row>
    <row r="155">
      <c r="A155" s="13" t="s">
        <v>1638</v>
      </c>
      <c r="B155" s="9" t="str">
        <f t="shared" si="1"/>
        <v>Мт.</v>
      </c>
      <c r="C155" s="11" t="str">
        <f t="shared" si="2"/>
        <v>77</v>
      </c>
      <c r="D155" s="9"/>
      <c r="E155" s="13" t="s">
        <v>1639</v>
      </c>
      <c r="F155" s="14"/>
      <c r="G155" s="15" t="s">
        <v>913</v>
      </c>
      <c r="H155" s="16" t="s">
        <v>29</v>
      </c>
      <c r="I155" s="73">
        <v>11.0</v>
      </c>
      <c r="J155" s="54"/>
      <c r="K155" s="55">
        <v>7.0</v>
      </c>
      <c r="L155" s="18">
        <f>IFNA( VLOOKUP(LEFT(E155, IFERROR(FIND(" ", E155, 1),1) - 1), lists!$A$31:$B$37, 2, FALSE),"")</f>
        <v>7</v>
      </c>
      <c r="M155" s="18" t="str">
        <f>IFERROR(__xludf.DUMMYFUNCTION("IFNA(VLOOKUP(IFNA(REGEXEXTRACT(E155, ""(Пасхи|50-ці|посту)""),""""),lists!$A$39:$B$41,2,FALSE),"""")"),"")</f>
        <v/>
      </c>
      <c r="N155" s="19" t="str">
        <f>IFERROR(__xludf.DUMMYFUNCTION("IFNA(REGEXEXTRACT(E155, ""\d{1,2}""),"""")"),"11")</f>
        <v>11</v>
      </c>
      <c r="O155" s="14" t="b">
        <f t="shared" si="3"/>
        <v>0</v>
      </c>
    </row>
    <row r="156">
      <c r="A156" s="13" t="s">
        <v>1347</v>
      </c>
      <c r="B156" s="9" t="str">
        <f t="shared" si="1"/>
        <v>Мр.</v>
      </c>
      <c r="C156" s="11" t="str">
        <f t="shared" si="2"/>
        <v>2</v>
      </c>
      <c r="D156" s="26" t="s">
        <v>18</v>
      </c>
      <c r="E156" s="13" t="s">
        <v>1348</v>
      </c>
      <c r="F156" s="14"/>
      <c r="G156" s="15" t="s">
        <v>913</v>
      </c>
      <c r="H156" s="16" t="s">
        <v>29</v>
      </c>
      <c r="I156" s="73">
        <v>12.0</v>
      </c>
      <c r="J156" s="54"/>
      <c r="K156" s="55">
        <v>1.0</v>
      </c>
      <c r="L156" s="18">
        <f>IFNA( VLOOKUP(LEFT(E156, IFERROR(FIND(" ", E156, 1),1) - 1), lists!$A$31:$B$37, 2, FALSE),"")</f>
        <v>1</v>
      </c>
      <c r="M156" s="18" t="str">
        <f>IFERROR(__xludf.DUMMYFUNCTION("IFNA(VLOOKUP(IFNA(REGEXEXTRACT(E156, ""(Пасхи|50-ці|посту)""),""""),lists!$A$39:$B$41,2,FALSE),"""")"),"")</f>
        <v/>
      </c>
      <c r="N156" s="19" t="str">
        <f>IFERROR(__xludf.DUMMYFUNCTION("IFNA(REGEXEXTRACT(E156, ""\d{1,2}""),"""")"),"12")</f>
        <v>12</v>
      </c>
      <c r="O156" s="14" t="b">
        <f t="shared" si="3"/>
        <v>0</v>
      </c>
    </row>
    <row r="157">
      <c r="A157" s="13" t="s">
        <v>1349</v>
      </c>
      <c r="B157" s="9" t="str">
        <f t="shared" si="1"/>
        <v>Мр.</v>
      </c>
      <c r="C157" s="11" t="str">
        <f t="shared" si="2"/>
        <v>3</v>
      </c>
      <c r="D157" s="9"/>
      <c r="E157" s="13" t="s">
        <v>1350</v>
      </c>
      <c r="F157" s="14"/>
      <c r="G157" s="15" t="s">
        <v>913</v>
      </c>
      <c r="H157" s="16" t="s">
        <v>29</v>
      </c>
      <c r="I157" s="73">
        <v>12.0</v>
      </c>
      <c r="J157" s="54"/>
      <c r="K157" s="55">
        <v>2.0</v>
      </c>
      <c r="L157" s="18">
        <f>IFNA( VLOOKUP(LEFT(E157, IFERROR(FIND(" ", E157, 1),1) - 1), lists!$A$31:$B$37, 2, FALSE),"")</f>
        <v>2</v>
      </c>
      <c r="M157" s="18" t="str">
        <f>IFERROR(__xludf.DUMMYFUNCTION("IFNA(VLOOKUP(IFNA(REGEXEXTRACT(E157, ""(Пасхи|50-ці|посту)""),""""),lists!$A$39:$B$41,2,FALSE),"""")"),"")</f>
        <v/>
      </c>
      <c r="N157" s="19" t="str">
        <f>IFERROR(__xludf.DUMMYFUNCTION("IFNA(REGEXEXTRACT(E157, ""\d{1,2}""),"""")"),"12")</f>
        <v>12</v>
      </c>
      <c r="O157" s="14" t="b">
        <f t="shared" si="3"/>
        <v>0</v>
      </c>
    </row>
    <row r="158">
      <c r="A158" s="13" t="s">
        <v>1351</v>
      </c>
      <c r="B158" s="9" t="str">
        <f t="shared" si="1"/>
        <v>Мр.</v>
      </c>
      <c r="C158" s="11" t="str">
        <f t="shared" si="2"/>
        <v>4</v>
      </c>
      <c r="D158" s="9"/>
      <c r="E158" s="13" t="s">
        <v>1352</v>
      </c>
      <c r="F158" s="14"/>
      <c r="G158" s="15" t="s">
        <v>913</v>
      </c>
      <c r="H158" s="16" t="s">
        <v>29</v>
      </c>
      <c r="I158" s="73">
        <v>12.0</v>
      </c>
      <c r="J158" s="54"/>
      <c r="K158" s="55">
        <v>3.0</v>
      </c>
      <c r="L158" s="18">
        <f>IFNA( VLOOKUP(LEFT(E158, IFERROR(FIND(" ", E158, 1),1) - 1), lists!$A$31:$B$37, 2, FALSE),"")</f>
        <v>3</v>
      </c>
      <c r="M158" s="18" t="str">
        <f>IFERROR(__xludf.DUMMYFUNCTION("IFNA(VLOOKUP(IFNA(REGEXEXTRACT(E158, ""(Пасхи|50-ці|посту)""),""""),lists!$A$39:$B$41,2,FALSE),"""")"),"")</f>
        <v/>
      </c>
      <c r="N158" s="19" t="str">
        <f>IFERROR(__xludf.DUMMYFUNCTION("IFNA(REGEXEXTRACT(E158, ""\d{1,2}""),"""")"),"12")</f>
        <v>12</v>
      </c>
      <c r="O158" s="14" t="b">
        <f t="shared" si="3"/>
        <v>0</v>
      </c>
    </row>
    <row r="159">
      <c r="A159" s="13" t="s">
        <v>1353</v>
      </c>
      <c r="B159" s="9" t="str">
        <f t="shared" si="1"/>
        <v>Мр.</v>
      </c>
      <c r="C159" s="11" t="str">
        <f t="shared" si="2"/>
        <v>5</v>
      </c>
      <c r="D159" s="9"/>
      <c r="E159" s="13" t="s">
        <v>1354</v>
      </c>
      <c r="F159" s="14"/>
      <c r="G159" s="15" t="s">
        <v>913</v>
      </c>
      <c r="H159" s="16" t="s">
        <v>29</v>
      </c>
      <c r="I159" s="73">
        <v>12.0</v>
      </c>
      <c r="J159" s="54"/>
      <c r="K159" s="55">
        <v>4.0</v>
      </c>
      <c r="L159" s="18">
        <f>IFNA( VLOOKUP(LEFT(E159, IFERROR(FIND(" ", E159, 1),1) - 1), lists!$A$31:$B$37, 2, FALSE),"")</f>
        <v>4</v>
      </c>
      <c r="M159" s="18" t="str">
        <f>IFERROR(__xludf.DUMMYFUNCTION("IFNA(VLOOKUP(IFNA(REGEXEXTRACT(E159, ""(Пасхи|50-ці|посту)""),""""),lists!$A$39:$B$41,2,FALSE),"""")"),"")</f>
        <v/>
      </c>
      <c r="N159" s="19" t="str">
        <f>IFERROR(__xludf.DUMMYFUNCTION("IFNA(REGEXEXTRACT(E159, ""\d{1,2}""),"""")"),"12")</f>
        <v>12</v>
      </c>
      <c r="O159" s="14" t="b">
        <f t="shared" si="3"/>
        <v>0</v>
      </c>
    </row>
    <row r="160">
      <c r="A160" s="13" t="s">
        <v>1361</v>
      </c>
      <c r="B160" s="9" t="str">
        <f t="shared" si="1"/>
        <v>Мр.</v>
      </c>
      <c r="C160" s="11" t="str">
        <f t="shared" si="2"/>
        <v>9</v>
      </c>
      <c r="D160" s="9"/>
      <c r="E160" s="13" t="s">
        <v>1362</v>
      </c>
      <c r="F160" s="13"/>
      <c r="G160" s="15" t="s">
        <v>913</v>
      </c>
      <c r="H160" s="16" t="s">
        <v>29</v>
      </c>
      <c r="I160" s="73">
        <v>12.0</v>
      </c>
      <c r="J160" s="54"/>
      <c r="K160" s="55">
        <v>5.0</v>
      </c>
      <c r="L160" s="18">
        <f>IFNA( VLOOKUP(LEFT(E160, IFERROR(FIND(" ", E160, 1),1) - 1), lists!$A$31:$B$37, 2, FALSE),"")</f>
        <v>5</v>
      </c>
      <c r="M160" s="18" t="str">
        <f>IFERROR(__xludf.DUMMYFUNCTION("IFNA(VLOOKUP(IFNA(REGEXEXTRACT(E160, ""(Пасхи|50-ці|посту)""),""""),lists!$A$39:$B$41,2,FALSE),"""")"),"")</f>
        <v/>
      </c>
      <c r="N160" s="19" t="str">
        <f>IFERROR(__xludf.DUMMYFUNCTION("IFNA(REGEXEXTRACT(E160, ""\d{1,2}""),"""")"),"12")</f>
        <v>12</v>
      </c>
      <c r="O160" s="14" t="b">
        <f t="shared" si="3"/>
        <v>0</v>
      </c>
    </row>
    <row r="161">
      <c r="A161" s="13" t="s">
        <v>1648</v>
      </c>
      <c r="B161" s="9" t="str">
        <f t="shared" si="1"/>
        <v>Мт.</v>
      </c>
      <c r="C161" s="11" t="str">
        <f t="shared" si="2"/>
        <v>82</v>
      </c>
      <c r="D161" s="9"/>
      <c r="E161" s="13" t="s">
        <v>1649</v>
      </c>
      <c r="F161" s="14"/>
      <c r="G161" s="15" t="s">
        <v>913</v>
      </c>
      <c r="H161" s="16" t="s">
        <v>29</v>
      </c>
      <c r="I161" s="73">
        <v>12.0</v>
      </c>
      <c r="J161" s="54"/>
      <c r="K161" s="55">
        <v>6.0</v>
      </c>
      <c r="L161" s="18">
        <f>IFNA( VLOOKUP(LEFT(E161, IFERROR(FIND(" ", E161, 1),1) - 1), lists!$A$31:$B$37, 2, FALSE),"")</f>
        <v>6</v>
      </c>
      <c r="M161" s="18" t="str">
        <f>IFERROR(__xludf.DUMMYFUNCTION("IFNA(VLOOKUP(IFNA(REGEXEXTRACT(E161, ""(Пасхи|50-ці|посту)""),""""),lists!$A$39:$B$41,2,FALSE),"""")"),"")</f>
        <v/>
      </c>
      <c r="N161" s="19" t="str">
        <f>IFERROR(__xludf.DUMMYFUNCTION("IFNA(REGEXEXTRACT(E161, ""\d{1,2}""),"""")"),"12")</f>
        <v>12</v>
      </c>
      <c r="O161" s="14" t="b">
        <f t="shared" si="3"/>
        <v>0</v>
      </c>
    </row>
    <row r="162">
      <c r="A162" s="13" t="s">
        <v>1642</v>
      </c>
      <c r="B162" s="9" t="str">
        <f t="shared" si="1"/>
        <v>Мт.</v>
      </c>
      <c r="C162" s="11" t="str">
        <f t="shared" si="2"/>
        <v>79</v>
      </c>
      <c r="D162" s="9"/>
      <c r="E162" s="13" t="s">
        <v>1643</v>
      </c>
      <c r="F162" s="14"/>
      <c r="G162" s="15" t="s">
        <v>913</v>
      </c>
      <c r="H162" s="16" t="s">
        <v>29</v>
      </c>
      <c r="I162" s="73">
        <v>12.0</v>
      </c>
      <c r="J162" s="54"/>
      <c r="K162" s="55">
        <v>7.0</v>
      </c>
      <c r="L162" s="18">
        <f>IFNA( VLOOKUP(LEFT(E162, IFERROR(FIND(" ", E162, 1),1) - 1), lists!$A$31:$B$37, 2, FALSE),"")</f>
        <v>7</v>
      </c>
      <c r="M162" s="18" t="str">
        <f>IFERROR(__xludf.DUMMYFUNCTION("IFNA(VLOOKUP(IFNA(REGEXEXTRACT(E162, ""(Пасхи|50-ці|посту)""),""""),lists!$A$39:$B$41,2,FALSE),"""")"),"")</f>
        <v/>
      </c>
      <c r="N162" s="19" t="str">
        <f>IFERROR(__xludf.DUMMYFUNCTION("IFNA(REGEXEXTRACT(E162, ""\d{1,2}""),"""")"),"12")</f>
        <v>12</v>
      </c>
      <c r="O162" s="14" t="b">
        <f t="shared" si="3"/>
        <v>0</v>
      </c>
    </row>
    <row r="163">
      <c r="A163" s="13" t="s">
        <v>1366</v>
      </c>
      <c r="B163" s="9" t="str">
        <f t="shared" si="1"/>
        <v>Мр.</v>
      </c>
      <c r="C163" s="11" t="str">
        <f t="shared" si="2"/>
        <v>11</v>
      </c>
      <c r="D163" s="9"/>
      <c r="E163" s="13" t="s">
        <v>1367</v>
      </c>
      <c r="F163" s="14"/>
      <c r="G163" s="15" t="s">
        <v>913</v>
      </c>
      <c r="H163" s="16" t="s">
        <v>29</v>
      </c>
      <c r="I163" s="73">
        <v>13.0</v>
      </c>
      <c r="J163" s="54"/>
      <c r="K163" s="55">
        <v>1.0</v>
      </c>
      <c r="L163" s="18">
        <f>IFNA( VLOOKUP(LEFT(E163, IFERROR(FIND(" ", E163, 1),1) - 1), lists!$A$31:$B$37, 2, FALSE),"")</f>
        <v>1</v>
      </c>
      <c r="M163" s="18" t="str">
        <f>IFERROR(__xludf.DUMMYFUNCTION("IFNA(VLOOKUP(IFNA(REGEXEXTRACT(E163, ""(Пасхи|50-ці|посту)""),""""),lists!$A$39:$B$41,2,FALSE),"""")"),"")</f>
        <v/>
      </c>
      <c r="N163" s="19" t="str">
        <f>IFERROR(__xludf.DUMMYFUNCTION("IFNA(REGEXEXTRACT(E163, ""\d{1,2}""),"""")"),"13")</f>
        <v>13</v>
      </c>
      <c r="O163" s="14" t="b">
        <f t="shared" si="3"/>
        <v>0</v>
      </c>
    </row>
    <row r="164">
      <c r="A164" s="13" t="s">
        <v>1368</v>
      </c>
      <c r="B164" s="9" t="str">
        <f t="shared" si="1"/>
        <v>Мр.</v>
      </c>
      <c r="C164" s="11" t="str">
        <f t="shared" si="2"/>
        <v>12</v>
      </c>
      <c r="D164" s="9"/>
      <c r="E164" s="13" t="s">
        <v>1750</v>
      </c>
      <c r="F164" s="14"/>
      <c r="G164" s="15" t="s">
        <v>913</v>
      </c>
      <c r="H164" s="16" t="s">
        <v>29</v>
      </c>
      <c r="I164" s="73">
        <v>13.0</v>
      </c>
      <c r="J164" s="54"/>
      <c r="K164" s="55">
        <v>2.0</v>
      </c>
      <c r="L164" s="18">
        <f>IFNA( VLOOKUP(LEFT(E164, IFERROR(FIND(" ", E164, 1),1) - 1), lists!$A$31:$B$37, 2, FALSE),"")</f>
        <v>2</v>
      </c>
      <c r="M164" s="18" t="str">
        <f>IFERROR(__xludf.DUMMYFUNCTION("IFNA(VLOOKUP(IFNA(REGEXEXTRACT(E164, ""(Пасхи|50-ці|посту)""),""""),lists!$A$39:$B$41,2,FALSE),"""")"),"")</f>
        <v/>
      </c>
      <c r="N164" s="19" t="str">
        <f>IFERROR(__xludf.DUMMYFUNCTION("IFNA(REGEXEXTRACT(E164, ""\d{1,2}""),"""")"),"13")</f>
        <v>13</v>
      </c>
      <c r="O164" s="14" t="b">
        <f t="shared" si="3"/>
        <v>0</v>
      </c>
    </row>
    <row r="165">
      <c r="A165" s="13" t="s">
        <v>1370</v>
      </c>
      <c r="B165" s="9" t="str">
        <f t="shared" si="1"/>
        <v>Мр.</v>
      </c>
      <c r="C165" s="11" t="str">
        <f t="shared" si="2"/>
        <v>13</v>
      </c>
      <c r="D165" s="9"/>
      <c r="E165" s="13" t="s">
        <v>1371</v>
      </c>
      <c r="F165" s="14"/>
      <c r="G165" s="15" t="s">
        <v>913</v>
      </c>
      <c r="H165" s="16" t="s">
        <v>29</v>
      </c>
      <c r="I165" s="73">
        <v>13.0</v>
      </c>
      <c r="J165" s="54"/>
      <c r="K165" s="55">
        <v>3.0</v>
      </c>
      <c r="L165" s="18">
        <f>IFNA( VLOOKUP(LEFT(E165, IFERROR(FIND(" ", E165, 1),1) - 1), lists!$A$31:$B$37, 2, FALSE),"")</f>
        <v>3</v>
      </c>
      <c r="M165" s="18" t="str">
        <f>IFERROR(__xludf.DUMMYFUNCTION("IFNA(VLOOKUP(IFNA(REGEXEXTRACT(E165, ""(Пасхи|50-ці|посту)""),""""),lists!$A$39:$B$41,2,FALSE),"""")"),"")</f>
        <v/>
      </c>
      <c r="N165" s="19" t="str">
        <f>IFERROR(__xludf.DUMMYFUNCTION("IFNA(REGEXEXTRACT(E165, ""\d{1,2}""),"""")"),"13")</f>
        <v>13</v>
      </c>
      <c r="O165" s="14" t="b">
        <f t="shared" si="3"/>
        <v>0</v>
      </c>
    </row>
    <row r="166">
      <c r="A166" s="13" t="s">
        <v>1372</v>
      </c>
      <c r="B166" s="9" t="str">
        <f t="shared" si="1"/>
        <v>Мр.</v>
      </c>
      <c r="C166" s="11" t="str">
        <f t="shared" si="2"/>
        <v>14</v>
      </c>
      <c r="D166" s="9"/>
      <c r="E166" s="13" t="s">
        <v>1373</v>
      </c>
      <c r="F166" s="14"/>
      <c r="G166" s="15" t="s">
        <v>913</v>
      </c>
      <c r="H166" s="16" t="s">
        <v>29</v>
      </c>
      <c r="I166" s="73">
        <v>13.0</v>
      </c>
      <c r="J166" s="54"/>
      <c r="K166" s="55">
        <v>4.0</v>
      </c>
      <c r="L166" s="18">
        <f>IFNA( VLOOKUP(LEFT(E166, IFERROR(FIND(" ", E166, 1),1) - 1), lists!$A$31:$B$37, 2, FALSE),"")</f>
        <v>4</v>
      </c>
      <c r="M166" s="18" t="str">
        <f>IFERROR(__xludf.DUMMYFUNCTION("IFNA(VLOOKUP(IFNA(REGEXEXTRACT(E166, ""(Пасхи|50-ці|посту)""),""""),lists!$A$39:$B$41,2,FALSE),"""")"),"")</f>
        <v/>
      </c>
      <c r="N166" s="19" t="str">
        <f>IFERROR(__xludf.DUMMYFUNCTION("IFNA(REGEXEXTRACT(E166, ""\d{1,2}""),"""")"),"13")</f>
        <v>13</v>
      </c>
      <c r="O166" s="14" t="b">
        <f t="shared" si="3"/>
        <v>0</v>
      </c>
    </row>
    <row r="167">
      <c r="A167" s="13" t="s">
        <v>1374</v>
      </c>
      <c r="B167" s="9" t="str">
        <f t="shared" si="1"/>
        <v>Мр.</v>
      </c>
      <c r="C167" s="11" t="str">
        <f t="shared" si="2"/>
        <v>15</v>
      </c>
      <c r="D167" s="9"/>
      <c r="E167" s="13" t="s">
        <v>1375</v>
      </c>
      <c r="F167" s="14"/>
      <c r="G167" s="15" t="s">
        <v>913</v>
      </c>
      <c r="H167" s="16" t="s">
        <v>29</v>
      </c>
      <c r="I167" s="73">
        <v>13.0</v>
      </c>
      <c r="J167" s="54"/>
      <c r="K167" s="55">
        <v>5.0</v>
      </c>
      <c r="L167" s="18">
        <f>IFNA( VLOOKUP(LEFT(E167, IFERROR(FIND(" ", E167, 1),1) - 1), lists!$A$31:$B$37, 2, FALSE),"")</f>
        <v>5</v>
      </c>
      <c r="M167" s="18" t="str">
        <f>IFERROR(__xludf.DUMMYFUNCTION("IFNA(VLOOKUP(IFNA(REGEXEXTRACT(E167, ""(Пасхи|50-ці|посту)""),""""),lists!$A$39:$B$41,2,FALSE),"""")"),"")</f>
        <v/>
      </c>
      <c r="N167" s="19" t="str">
        <f>IFERROR(__xludf.DUMMYFUNCTION("IFNA(REGEXEXTRACT(E167, ""\d{1,2}""),"""")"),"13")</f>
        <v>13</v>
      </c>
      <c r="O167" s="14" t="b">
        <f t="shared" si="3"/>
        <v>0</v>
      </c>
    </row>
    <row r="168">
      <c r="A168" s="13" t="s">
        <v>1670</v>
      </c>
      <c r="B168" s="9" t="str">
        <f t="shared" si="1"/>
        <v>Мт.</v>
      </c>
      <c r="C168" s="11" t="str">
        <f t="shared" si="2"/>
        <v>90</v>
      </c>
      <c r="D168" s="26" t="s">
        <v>18</v>
      </c>
      <c r="E168" s="13" t="s">
        <v>1671</v>
      </c>
      <c r="F168" s="14"/>
      <c r="G168" s="15" t="s">
        <v>913</v>
      </c>
      <c r="H168" s="16" t="s">
        <v>29</v>
      </c>
      <c r="I168" s="73">
        <v>13.0</v>
      </c>
      <c r="J168" s="54"/>
      <c r="K168" s="55">
        <v>6.0</v>
      </c>
      <c r="L168" s="18">
        <f>IFNA( VLOOKUP(LEFT(E168, IFERROR(FIND(" ", E168, 1),1) - 1), lists!$A$31:$B$37, 2, FALSE),"")</f>
        <v>6</v>
      </c>
      <c r="M168" s="18" t="str">
        <f>IFERROR(__xludf.DUMMYFUNCTION("IFNA(VLOOKUP(IFNA(REGEXEXTRACT(E168, ""(Пасхи|50-ці|посту)""),""""),lists!$A$39:$B$41,2,FALSE),"""")"),"")</f>
        <v/>
      </c>
      <c r="N168" s="19" t="str">
        <f>IFERROR(__xludf.DUMMYFUNCTION("IFNA(REGEXEXTRACT(E168, ""\d{1,2}""),"""")"),"13")</f>
        <v>13</v>
      </c>
      <c r="O168" s="14" t="b">
        <f t="shared" si="3"/>
        <v>0</v>
      </c>
    </row>
    <row r="169">
      <c r="A169" s="13" t="s">
        <v>1662</v>
      </c>
      <c r="B169" s="9" t="str">
        <f t="shared" si="1"/>
        <v>Мт.</v>
      </c>
      <c r="C169" s="11" t="str">
        <f t="shared" si="2"/>
        <v>87</v>
      </c>
      <c r="D169" s="9"/>
      <c r="E169" s="13" t="s">
        <v>1663</v>
      </c>
      <c r="F169" s="14"/>
      <c r="G169" s="15" t="s">
        <v>913</v>
      </c>
      <c r="H169" s="16" t="s">
        <v>29</v>
      </c>
      <c r="I169" s="73">
        <v>13.0</v>
      </c>
      <c r="J169" s="54"/>
      <c r="K169" s="55">
        <v>7.0</v>
      </c>
      <c r="L169" s="18">
        <f>IFNA( VLOOKUP(LEFT(E169, IFERROR(FIND(" ", E169, 1),1) - 1), lists!$A$31:$B$37, 2, FALSE),"")</f>
        <v>7</v>
      </c>
      <c r="M169" s="18" t="str">
        <f>IFERROR(__xludf.DUMMYFUNCTION("IFNA(VLOOKUP(IFNA(REGEXEXTRACT(E169, ""(Пасхи|50-ці|посту)""),""""),lists!$A$39:$B$41,2,FALSE),"""")"),"")</f>
        <v/>
      </c>
      <c r="N169" s="19" t="str">
        <f>IFERROR(__xludf.DUMMYFUNCTION("IFNA(REGEXEXTRACT(E169, ""\d{1,2}""),"""")"),"13")</f>
        <v>13</v>
      </c>
      <c r="O169" s="14" t="b">
        <f t="shared" si="3"/>
        <v>0</v>
      </c>
    </row>
    <row r="170">
      <c r="A170" s="13" t="s">
        <v>1376</v>
      </c>
      <c r="B170" s="9" t="str">
        <f t="shared" si="1"/>
        <v>Мр.</v>
      </c>
      <c r="C170" s="11" t="str">
        <f t="shared" si="2"/>
        <v>16</v>
      </c>
      <c r="D170" s="9"/>
      <c r="E170" s="13" t="s">
        <v>1377</v>
      </c>
      <c r="F170" s="14"/>
      <c r="G170" s="15" t="s">
        <v>913</v>
      </c>
      <c r="H170" s="16" t="s">
        <v>29</v>
      </c>
      <c r="I170" s="73">
        <v>14.0</v>
      </c>
      <c r="J170" s="54"/>
      <c r="K170" s="55">
        <v>1.0</v>
      </c>
      <c r="L170" s="18">
        <f>IFNA( VLOOKUP(LEFT(E170, IFERROR(FIND(" ", E170, 1),1) - 1), lists!$A$31:$B$37, 2, FALSE),"")</f>
        <v>1</v>
      </c>
      <c r="M170" s="18" t="str">
        <f>IFERROR(__xludf.DUMMYFUNCTION("IFNA(VLOOKUP(IFNA(REGEXEXTRACT(E170, ""(Пасхи|50-ці|посту)""),""""),lists!$A$39:$B$41,2,FALSE),"""")"),"")</f>
        <v/>
      </c>
      <c r="N170" s="19" t="str">
        <f>IFERROR(__xludf.DUMMYFUNCTION("IFNA(REGEXEXTRACT(E170, ""\d{1,2}""),"""")"),"14")</f>
        <v>14</v>
      </c>
      <c r="O170" s="14" t="b">
        <f t="shared" si="3"/>
        <v>0</v>
      </c>
    </row>
    <row r="171">
      <c r="A171" s="13" t="s">
        <v>1378</v>
      </c>
      <c r="B171" s="9" t="str">
        <f t="shared" si="1"/>
        <v>Мр.</v>
      </c>
      <c r="C171" s="11" t="str">
        <f t="shared" si="2"/>
        <v>17</v>
      </c>
      <c r="D171" s="9"/>
      <c r="E171" s="13" t="s">
        <v>1379</v>
      </c>
      <c r="F171" s="14"/>
      <c r="G171" s="15" t="s">
        <v>913</v>
      </c>
      <c r="H171" s="16" t="s">
        <v>29</v>
      </c>
      <c r="I171" s="73">
        <v>14.0</v>
      </c>
      <c r="J171" s="54"/>
      <c r="K171" s="55">
        <v>2.0</v>
      </c>
      <c r="L171" s="18">
        <f>IFNA( VLOOKUP(LEFT(E171, IFERROR(FIND(" ", E171, 1),1) - 1), lists!$A$31:$B$37, 2, FALSE),"")</f>
        <v>2</v>
      </c>
      <c r="M171" s="18" t="str">
        <f>IFERROR(__xludf.DUMMYFUNCTION("IFNA(VLOOKUP(IFNA(REGEXEXTRACT(E171, ""(Пасхи|50-ці|посту)""),""""),lists!$A$39:$B$41,2,FALSE),"""")"),"")</f>
        <v/>
      </c>
      <c r="N171" s="19" t="str">
        <f>IFERROR(__xludf.DUMMYFUNCTION("IFNA(REGEXEXTRACT(E171, ""\d{1,2}""),"""")"),"14")</f>
        <v>14</v>
      </c>
      <c r="O171" s="14" t="b">
        <f t="shared" si="3"/>
        <v>0</v>
      </c>
    </row>
    <row r="172">
      <c r="A172" s="13" t="s">
        <v>1380</v>
      </c>
      <c r="B172" s="9" t="str">
        <f t="shared" si="1"/>
        <v>Мр.</v>
      </c>
      <c r="C172" s="11" t="str">
        <f t="shared" si="2"/>
        <v>18</v>
      </c>
      <c r="D172" s="9"/>
      <c r="E172" s="13" t="s">
        <v>1381</v>
      </c>
      <c r="F172" s="14"/>
      <c r="G172" s="15" t="s">
        <v>913</v>
      </c>
      <c r="H172" s="16" t="s">
        <v>29</v>
      </c>
      <c r="I172" s="73">
        <v>14.0</v>
      </c>
      <c r="J172" s="54"/>
      <c r="K172" s="55">
        <v>3.0</v>
      </c>
      <c r="L172" s="18">
        <f>IFNA( VLOOKUP(LEFT(E172, IFERROR(FIND(" ", E172, 1),1) - 1), lists!$A$31:$B$37, 2, FALSE),"")</f>
        <v>3</v>
      </c>
      <c r="M172" s="18" t="str">
        <f>IFERROR(__xludf.DUMMYFUNCTION("IFNA(VLOOKUP(IFNA(REGEXEXTRACT(E172, ""(Пасхи|50-ці|посту)""),""""),lists!$A$39:$B$41,2,FALSE),"""")"),"")</f>
        <v/>
      </c>
      <c r="N172" s="19" t="str">
        <f>IFERROR(__xludf.DUMMYFUNCTION("IFNA(REGEXEXTRACT(E172, ""\d{1,2}""),"""")"),"14")</f>
        <v>14</v>
      </c>
      <c r="O172" s="14" t="b">
        <f t="shared" si="3"/>
        <v>0</v>
      </c>
    </row>
    <row r="173">
      <c r="A173" s="13" t="s">
        <v>1382</v>
      </c>
      <c r="B173" s="9" t="str">
        <f t="shared" si="1"/>
        <v>Мр.</v>
      </c>
      <c r="C173" s="11" t="str">
        <f t="shared" si="2"/>
        <v>19</v>
      </c>
      <c r="D173" s="9"/>
      <c r="E173" s="13" t="s">
        <v>1383</v>
      </c>
      <c r="F173" s="14"/>
      <c r="G173" s="15" t="s">
        <v>913</v>
      </c>
      <c r="H173" s="16" t="s">
        <v>29</v>
      </c>
      <c r="I173" s="73">
        <v>14.0</v>
      </c>
      <c r="J173" s="54"/>
      <c r="K173" s="55">
        <v>4.0</v>
      </c>
      <c r="L173" s="18">
        <f>IFNA( VLOOKUP(LEFT(E173, IFERROR(FIND(" ", E173, 1),1) - 1), lists!$A$31:$B$37, 2, FALSE),"")</f>
        <v>4</v>
      </c>
      <c r="M173" s="18" t="str">
        <f>IFERROR(__xludf.DUMMYFUNCTION("IFNA(VLOOKUP(IFNA(REGEXEXTRACT(E173, ""(Пасхи|50-ці|посту)""),""""),lists!$A$39:$B$41,2,FALSE),"""")"),"")</f>
        <v/>
      </c>
      <c r="N173" s="19" t="str">
        <f>IFERROR(__xludf.DUMMYFUNCTION("IFNA(REGEXEXTRACT(E173, ""\d{1,2}""),"""")"),"14")</f>
        <v>14</v>
      </c>
      <c r="O173" s="14" t="b">
        <f t="shared" si="3"/>
        <v>0</v>
      </c>
    </row>
    <row r="174">
      <c r="A174" s="13" t="s">
        <v>1384</v>
      </c>
      <c r="B174" s="9" t="str">
        <f t="shared" si="1"/>
        <v>Мр.</v>
      </c>
      <c r="C174" s="11" t="str">
        <f t="shared" si="2"/>
        <v>20</v>
      </c>
      <c r="D174" s="9"/>
      <c r="E174" s="13" t="s">
        <v>1385</v>
      </c>
      <c r="F174" s="14"/>
      <c r="G174" s="15" t="s">
        <v>913</v>
      </c>
      <c r="H174" s="16" t="s">
        <v>29</v>
      </c>
      <c r="I174" s="73">
        <v>14.0</v>
      </c>
      <c r="J174" s="54"/>
      <c r="K174" s="55">
        <v>5.0</v>
      </c>
      <c r="L174" s="18">
        <f>IFNA( VLOOKUP(LEFT(E174, IFERROR(FIND(" ", E174, 1),1) - 1), lists!$A$31:$B$37, 2, FALSE),"")</f>
        <v>5</v>
      </c>
      <c r="M174" s="18" t="str">
        <f>IFERROR(__xludf.DUMMYFUNCTION("IFNA(VLOOKUP(IFNA(REGEXEXTRACT(E174, ""(Пасхи|50-ці|посту)""),""""),lists!$A$39:$B$41,2,FALSE),"""")"),"")</f>
        <v/>
      </c>
      <c r="N174" s="19" t="str">
        <f>IFERROR(__xludf.DUMMYFUNCTION("IFNA(REGEXEXTRACT(E174, ""\d{1,2}""),"""")"),"14")</f>
        <v>14</v>
      </c>
      <c r="O174" s="14" t="b">
        <f t="shared" si="3"/>
        <v>0</v>
      </c>
    </row>
    <row r="175">
      <c r="A175" s="13" t="s">
        <v>1676</v>
      </c>
      <c r="B175" s="9" t="str">
        <f t="shared" si="1"/>
        <v>Мт.</v>
      </c>
      <c r="C175" s="11" t="str">
        <f t="shared" si="2"/>
        <v>93</v>
      </c>
      <c r="D175" s="9"/>
      <c r="E175" s="13" t="s">
        <v>1677</v>
      </c>
      <c r="F175" s="14"/>
      <c r="G175" s="15" t="s">
        <v>913</v>
      </c>
      <c r="H175" s="16" t="s">
        <v>29</v>
      </c>
      <c r="I175" s="73">
        <v>14.0</v>
      </c>
      <c r="J175" s="54"/>
      <c r="K175" s="55">
        <v>6.0</v>
      </c>
      <c r="L175" s="18">
        <f>IFNA( VLOOKUP(LEFT(E175, IFERROR(FIND(" ", E175, 1),1) - 1), lists!$A$31:$B$37, 2, FALSE),"")</f>
        <v>6</v>
      </c>
      <c r="M175" s="18" t="str">
        <f>IFERROR(__xludf.DUMMYFUNCTION("IFNA(VLOOKUP(IFNA(REGEXEXTRACT(E175, ""(Пасхи|50-ці|посту)""),""""),lists!$A$39:$B$41,2,FALSE),"""")"),"")</f>
        <v/>
      </c>
      <c r="N175" s="19" t="str">
        <f>IFERROR(__xludf.DUMMYFUNCTION("IFNA(REGEXEXTRACT(E175, ""\d{1,2}""),"""")"),"14")</f>
        <v>14</v>
      </c>
      <c r="O175" s="14" t="b">
        <f t="shared" si="3"/>
        <v>0</v>
      </c>
    </row>
    <row r="176">
      <c r="A176" s="13" t="s">
        <v>1666</v>
      </c>
      <c r="B176" s="9" t="str">
        <f t="shared" si="1"/>
        <v>Мт.</v>
      </c>
      <c r="C176" s="11" t="str">
        <f t="shared" si="2"/>
        <v>89</v>
      </c>
      <c r="D176" s="9"/>
      <c r="E176" s="13" t="s">
        <v>1667</v>
      </c>
      <c r="F176" s="14"/>
      <c r="G176" s="15" t="s">
        <v>913</v>
      </c>
      <c r="H176" s="16" t="s">
        <v>29</v>
      </c>
      <c r="I176" s="73">
        <v>14.0</v>
      </c>
      <c r="J176" s="54"/>
      <c r="K176" s="55">
        <v>7.0</v>
      </c>
      <c r="L176" s="18">
        <f>IFNA( VLOOKUP(LEFT(E176, IFERROR(FIND(" ", E176, 1),1) - 1), lists!$A$31:$B$37, 2, FALSE),"")</f>
        <v>7</v>
      </c>
      <c r="M176" s="18" t="str">
        <f>IFERROR(__xludf.DUMMYFUNCTION("IFNA(VLOOKUP(IFNA(REGEXEXTRACT(E176, ""(Пасхи|50-ці|посту)""),""""),lists!$A$39:$B$41,2,FALSE),"""")"),"")</f>
        <v/>
      </c>
      <c r="N176" s="19" t="str">
        <f>IFERROR(__xludf.DUMMYFUNCTION("IFNA(REGEXEXTRACT(E176, ""\d{1,2}""),"""")"),"14")</f>
        <v>14</v>
      </c>
      <c r="O176" s="14" t="b">
        <f t="shared" si="3"/>
        <v>0</v>
      </c>
    </row>
    <row r="177">
      <c r="A177" s="13" t="s">
        <v>1386</v>
      </c>
      <c r="B177" s="9" t="str">
        <f t="shared" si="1"/>
        <v>Мр.</v>
      </c>
      <c r="C177" s="11" t="str">
        <f t="shared" si="2"/>
        <v>21</v>
      </c>
      <c r="D177" s="9"/>
      <c r="E177" s="13" t="s">
        <v>1387</v>
      </c>
      <c r="F177" s="14"/>
      <c r="G177" s="15" t="s">
        <v>913</v>
      </c>
      <c r="H177" s="16" t="s">
        <v>29</v>
      </c>
      <c r="I177" s="73">
        <v>15.0</v>
      </c>
      <c r="J177" s="54"/>
      <c r="K177" s="55">
        <v>1.0</v>
      </c>
      <c r="L177" s="18">
        <f>IFNA( VLOOKUP(LEFT(E177, IFERROR(FIND(" ", E177, 1),1) - 1), lists!$A$31:$B$37, 2, FALSE),"")</f>
        <v>1</v>
      </c>
      <c r="M177" s="18" t="str">
        <f>IFERROR(__xludf.DUMMYFUNCTION("IFNA(VLOOKUP(IFNA(REGEXEXTRACT(E177, ""(Пасхи|50-ці|посту)""),""""),lists!$A$39:$B$41,2,FALSE),"""")"),"")</f>
        <v/>
      </c>
      <c r="N177" s="19" t="str">
        <f>IFERROR(__xludf.DUMMYFUNCTION("IFNA(REGEXEXTRACT(E177, ""\d{1,2}""),"""")"),"15")</f>
        <v>15</v>
      </c>
      <c r="O177" s="14" t="b">
        <f t="shared" si="3"/>
        <v>0</v>
      </c>
    </row>
    <row r="178">
      <c r="A178" s="13" t="s">
        <v>1388</v>
      </c>
      <c r="B178" s="9" t="str">
        <f t="shared" si="1"/>
        <v>Мр.</v>
      </c>
      <c r="C178" s="11" t="str">
        <f t="shared" si="2"/>
        <v>22</v>
      </c>
      <c r="D178" s="9"/>
      <c r="E178" s="13" t="s">
        <v>1389</v>
      </c>
      <c r="F178" s="14"/>
      <c r="G178" s="15" t="s">
        <v>913</v>
      </c>
      <c r="H178" s="16" t="s">
        <v>29</v>
      </c>
      <c r="I178" s="73">
        <v>15.0</v>
      </c>
      <c r="J178" s="54"/>
      <c r="K178" s="55">
        <v>2.0</v>
      </c>
      <c r="L178" s="18">
        <f>IFNA( VLOOKUP(LEFT(E178, IFERROR(FIND(" ", E178, 1),1) - 1), lists!$A$31:$B$37, 2, FALSE),"")</f>
        <v>2</v>
      </c>
      <c r="M178" s="18" t="str">
        <f>IFERROR(__xludf.DUMMYFUNCTION("IFNA(VLOOKUP(IFNA(REGEXEXTRACT(E178, ""(Пасхи|50-ці|посту)""),""""),lists!$A$39:$B$41,2,FALSE),"""")"),"")</f>
        <v/>
      </c>
      <c r="N178" s="19" t="str">
        <f>IFERROR(__xludf.DUMMYFUNCTION("IFNA(REGEXEXTRACT(E178, ""\d{1,2}""),"""")"),"15")</f>
        <v>15</v>
      </c>
      <c r="O178" s="14" t="b">
        <f t="shared" si="3"/>
        <v>0</v>
      </c>
    </row>
    <row r="179">
      <c r="A179" s="13" t="s">
        <v>1390</v>
      </c>
      <c r="B179" s="9" t="str">
        <f t="shared" si="1"/>
        <v>Мр.</v>
      </c>
      <c r="C179" s="11" t="str">
        <f t="shared" si="2"/>
        <v>23</v>
      </c>
      <c r="D179" s="9"/>
      <c r="E179" s="13" t="s">
        <v>1751</v>
      </c>
      <c r="F179" s="14"/>
      <c r="G179" s="15" t="s">
        <v>913</v>
      </c>
      <c r="H179" s="16" t="s">
        <v>29</v>
      </c>
      <c r="I179" s="73">
        <v>15.0</v>
      </c>
      <c r="J179" s="54"/>
      <c r="K179" s="55">
        <v>3.0</v>
      </c>
      <c r="L179" s="18">
        <f>IFNA( VLOOKUP(LEFT(E179, IFERROR(FIND(" ", E179, 1),1) - 1), lists!$A$31:$B$37, 2, FALSE),"")</f>
        <v>3</v>
      </c>
      <c r="M179" s="18" t="str">
        <f>IFERROR(__xludf.DUMMYFUNCTION("IFNA(VLOOKUP(IFNA(REGEXEXTRACT(E179, ""(Пасхи|50-ці|посту)""),""""),lists!$A$39:$B$41,2,FALSE),"""")"),"")</f>
        <v/>
      </c>
      <c r="N179" s="19" t="str">
        <f>IFERROR(__xludf.DUMMYFUNCTION("IFNA(REGEXEXTRACT(E179, ""\d{1,2}""),"""")"),"15")</f>
        <v>15</v>
      </c>
      <c r="O179" s="14" t="b">
        <f t="shared" si="3"/>
        <v>0</v>
      </c>
    </row>
    <row r="180">
      <c r="A180" s="13" t="s">
        <v>1394</v>
      </c>
      <c r="B180" s="9" t="str">
        <f t="shared" si="1"/>
        <v>Мр.</v>
      </c>
      <c r="C180" s="11" t="str">
        <f t="shared" si="2"/>
        <v>25</v>
      </c>
      <c r="D180" s="9"/>
      <c r="E180" s="13" t="s">
        <v>1395</v>
      </c>
      <c r="F180" s="14"/>
      <c r="G180" s="15" t="s">
        <v>913</v>
      </c>
      <c r="H180" s="16" t="s">
        <v>29</v>
      </c>
      <c r="I180" s="73">
        <v>15.0</v>
      </c>
      <c r="J180" s="54"/>
      <c r="K180" s="55">
        <v>4.0</v>
      </c>
      <c r="L180" s="18">
        <f>IFNA( VLOOKUP(LEFT(E180, IFERROR(FIND(" ", E180, 1),1) - 1), lists!$A$31:$B$37, 2, FALSE),"")</f>
        <v>4</v>
      </c>
      <c r="M180" s="18" t="str">
        <f>IFERROR(__xludf.DUMMYFUNCTION("IFNA(VLOOKUP(IFNA(REGEXEXTRACT(E180, ""(Пасхи|50-ці|посту)""),""""),lists!$A$39:$B$41,2,FALSE),"""")"),"")</f>
        <v/>
      </c>
      <c r="N180" s="19" t="str">
        <f>IFERROR(__xludf.DUMMYFUNCTION("IFNA(REGEXEXTRACT(E180, ""\d{1,2}""),"""")"),"15")</f>
        <v>15</v>
      </c>
      <c r="O180" s="14" t="b">
        <f t="shared" si="3"/>
        <v>0</v>
      </c>
    </row>
    <row r="181">
      <c r="A181" s="13" t="s">
        <v>1396</v>
      </c>
      <c r="B181" s="9" t="str">
        <f t="shared" si="1"/>
        <v>Мр.</v>
      </c>
      <c r="C181" s="11" t="str">
        <f t="shared" si="2"/>
        <v>26</v>
      </c>
      <c r="D181" s="9"/>
      <c r="E181" s="13" t="s">
        <v>1397</v>
      </c>
      <c r="F181" s="14"/>
      <c r="G181" s="15" t="s">
        <v>913</v>
      </c>
      <c r="H181" s="16" t="s">
        <v>29</v>
      </c>
      <c r="I181" s="73">
        <v>15.0</v>
      </c>
      <c r="J181" s="54"/>
      <c r="K181" s="55">
        <v>5.0</v>
      </c>
      <c r="L181" s="18">
        <f>IFNA( VLOOKUP(LEFT(E181, IFERROR(FIND(" ", E181, 1),1) - 1), lists!$A$31:$B$37, 2, FALSE),"")</f>
        <v>5</v>
      </c>
      <c r="M181" s="18" t="str">
        <f>IFERROR(__xludf.DUMMYFUNCTION("IFNA(VLOOKUP(IFNA(REGEXEXTRACT(E181, ""(Пасхи|50-ці|посту)""),""""),lists!$A$39:$B$41,2,FALSE),"""")"),"")</f>
        <v/>
      </c>
      <c r="N181" s="19" t="str">
        <f>IFERROR(__xludf.DUMMYFUNCTION("IFNA(REGEXEXTRACT(E181, ""\d{1,2}""),"""")"),"15")</f>
        <v>15</v>
      </c>
      <c r="O181" s="14" t="b">
        <f t="shared" si="3"/>
        <v>0</v>
      </c>
    </row>
    <row r="182">
      <c r="A182" s="13" t="s">
        <v>1684</v>
      </c>
      <c r="B182" s="9" t="str">
        <f t="shared" si="1"/>
        <v>Мт.</v>
      </c>
      <c r="C182" s="11" t="str">
        <f t="shared" si="2"/>
        <v>97</v>
      </c>
      <c r="D182" s="9"/>
      <c r="E182" s="13" t="s">
        <v>1685</v>
      </c>
      <c r="F182" s="14"/>
      <c r="G182" s="15" t="s">
        <v>913</v>
      </c>
      <c r="H182" s="16" t="s">
        <v>29</v>
      </c>
      <c r="I182" s="73">
        <v>15.0</v>
      </c>
      <c r="J182" s="54"/>
      <c r="K182" s="55">
        <v>6.0</v>
      </c>
      <c r="L182" s="18">
        <f>IFNA( VLOOKUP(LEFT(E182, IFERROR(FIND(" ", E182, 1),1) - 1), lists!$A$31:$B$37, 2, FALSE),"")</f>
        <v>6</v>
      </c>
      <c r="M182" s="18" t="str">
        <f>IFERROR(__xludf.DUMMYFUNCTION("IFNA(VLOOKUP(IFNA(REGEXEXTRACT(E182, ""(Пасхи|50-ці|посту)""),""""),lists!$A$39:$B$41,2,FALSE),"""")"),"")</f>
        <v/>
      </c>
      <c r="N182" s="19" t="str">
        <f>IFERROR(__xludf.DUMMYFUNCTION("IFNA(REGEXEXTRACT(E182, ""\d{1,2}""),"""")"),"15")</f>
        <v>15</v>
      </c>
      <c r="O182" s="14" t="b">
        <f t="shared" si="3"/>
        <v>0</v>
      </c>
    </row>
    <row r="183">
      <c r="A183" s="13" t="s">
        <v>1674</v>
      </c>
      <c r="B183" s="9" t="str">
        <f t="shared" si="1"/>
        <v>Мт.</v>
      </c>
      <c r="C183" s="11" t="str">
        <f t="shared" si="2"/>
        <v>92</v>
      </c>
      <c r="D183" s="9"/>
      <c r="E183" s="13" t="s">
        <v>1675</v>
      </c>
      <c r="F183" s="14"/>
      <c r="G183" s="15" t="s">
        <v>913</v>
      </c>
      <c r="H183" s="16" t="s">
        <v>29</v>
      </c>
      <c r="I183" s="73">
        <v>15.0</v>
      </c>
      <c r="J183" s="62"/>
      <c r="K183" s="63">
        <v>7.0</v>
      </c>
      <c r="L183" s="18">
        <f>IFNA( VLOOKUP(LEFT(E183, IFERROR(FIND(" ", E183, 1),1) - 1), lists!$A$31:$B$37, 2, FALSE),"")</f>
        <v>7</v>
      </c>
      <c r="M183" s="18" t="str">
        <f>IFERROR(__xludf.DUMMYFUNCTION("IFNA(VLOOKUP(IFNA(REGEXEXTRACT(E183, ""(Пасхи|50-ці|посту)""),""""),lists!$A$39:$B$41,2,FALSE),"""")"),"")</f>
        <v/>
      </c>
      <c r="N183" s="19" t="str">
        <f>IFERROR(__xludf.DUMMYFUNCTION("IFNA(REGEXEXTRACT(E183, ""\d{1,2}""),"""")"),"15")</f>
        <v>15</v>
      </c>
      <c r="O183" s="14" t="b">
        <f t="shared" si="3"/>
        <v>0</v>
      </c>
    </row>
    <row r="184">
      <c r="A184" s="13" t="s">
        <v>1398</v>
      </c>
      <c r="B184" s="9" t="str">
        <f t="shared" si="1"/>
        <v>Мр.</v>
      </c>
      <c r="C184" s="11" t="str">
        <f t="shared" si="2"/>
        <v>27</v>
      </c>
      <c r="D184" s="9"/>
      <c r="E184" s="13" t="s">
        <v>1399</v>
      </c>
      <c r="F184" s="14"/>
      <c r="G184" s="15" t="s">
        <v>913</v>
      </c>
      <c r="H184" s="16" t="s">
        <v>29</v>
      </c>
      <c r="I184" s="73">
        <v>16.0</v>
      </c>
      <c r="J184" s="54"/>
      <c r="K184" s="55">
        <v>1.0</v>
      </c>
      <c r="L184" s="18">
        <f>IFNA( VLOOKUP(LEFT(E184, IFERROR(FIND(" ", E184, 1),1) - 1), lists!$A$31:$B$37, 2, FALSE),"")</f>
        <v>1</v>
      </c>
      <c r="M184" s="18" t="str">
        <f>IFERROR(__xludf.DUMMYFUNCTION("IFNA(VLOOKUP(IFNA(REGEXEXTRACT(E184, ""(Пасхи|50-ці|посту)""),""""),lists!$A$39:$B$41,2,FALSE),"""")"),"")</f>
        <v/>
      </c>
      <c r="N184" s="19" t="str">
        <f>IFERROR(__xludf.DUMMYFUNCTION("IFNA(REGEXEXTRACT(E184, ""\d{1,2}""),"""")"),"16")</f>
        <v>16</v>
      </c>
      <c r="O184" s="14" t="b">
        <f t="shared" si="3"/>
        <v>0</v>
      </c>
    </row>
    <row r="185">
      <c r="A185" s="13" t="s">
        <v>1400</v>
      </c>
      <c r="B185" s="9" t="str">
        <f t="shared" si="1"/>
        <v>Мр.</v>
      </c>
      <c r="C185" s="11" t="str">
        <f t="shared" si="2"/>
        <v>28</v>
      </c>
      <c r="D185" s="9"/>
      <c r="E185" s="13" t="s">
        <v>1401</v>
      </c>
      <c r="F185" s="14"/>
      <c r="G185" s="15" t="s">
        <v>913</v>
      </c>
      <c r="H185" s="16" t="s">
        <v>29</v>
      </c>
      <c r="I185" s="73">
        <v>16.0</v>
      </c>
      <c r="J185" s="54"/>
      <c r="K185" s="55">
        <v>2.0</v>
      </c>
      <c r="L185" s="18">
        <f>IFNA( VLOOKUP(LEFT(E185, IFERROR(FIND(" ", E185, 1),1) - 1), lists!$A$31:$B$37, 2, FALSE),"")</f>
        <v>2</v>
      </c>
      <c r="M185" s="18" t="str">
        <f>IFERROR(__xludf.DUMMYFUNCTION("IFNA(VLOOKUP(IFNA(REGEXEXTRACT(E185, ""(Пасхи|50-ці|посту)""),""""),lists!$A$39:$B$41,2,FALSE),"""")"),"")</f>
        <v/>
      </c>
      <c r="N185" s="19" t="str">
        <f>IFERROR(__xludf.DUMMYFUNCTION("IFNA(REGEXEXTRACT(E185, ""\d{1,2}""),"""")"),"16")</f>
        <v>16</v>
      </c>
      <c r="O185" s="14" t="b">
        <f t="shared" si="3"/>
        <v>0</v>
      </c>
    </row>
    <row r="186">
      <c r="A186" s="13" t="s">
        <v>1402</v>
      </c>
      <c r="B186" s="9" t="str">
        <f t="shared" si="1"/>
        <v>Мр.</v>
      </c>
      <c r="C186" s="11" t="str">
        <f t="shared" si="2"/>
        <v>29</v>
      </c>
      <c r="D186" s="9"/>
      <c r="E186" s="13" t="s">
        <v>1403</v>
      </c>
      <c r="F186" s="14"/>
      <c r="G186" s="15" t="s">
        <v>913</v>
      </c>
      <c r="H186" s="16" t="s">
        <v>29</v>
      </c>
      <c r="I186" s="73">
        <v>16.0</v>
      </c>
      <c r="J186" s="54"/>
      <c r="K186" s="55">
        <v>3.0</v>
      </c>
      <c r="L186" s="18">
        <f>IFNA( VLOOKUP(LEFT(E186, IFERROR(FIND(" ", E186, 1),1) - 1), lists!$A$31:$B$37, 2, FALSE),"")</f>
        <v>3</v>
      </c>
      <c r="M186" s="18" t="str">
        <f>IFERROR(__xludf.DUMMYFUNCTION("IFNA(VLOOKUP(IFNA(REGEXEXTRACT(E186, ""(Пасхи|50-ці|посту)""),""""),lists!$A$39:$B$41,2,FALSE),"""")"),"")</f>
        <v/>
      </c>
      <c r="N186" s="19" t="str">
        <f>IFERROR(__xludf.DUMMYFUNCTION("IFNA(REGEXEXTRACT(E186, ""\d{1,2}""),"""")"),"16")</f>
        <v>16</v>
      </c>
      <c r="O186" s="14" t="b">
        <f t="shared" si="3"/>
        <v>0</v>
      </c>
    </row>
    <row r="187">
      <c r="A187" s="13" t="s">
        <v>1404</v>
      </c>
      <c r="B187" s="9" t="str">
        <f t="shared" si="1"/>
        <v>Мр.</v>
      </c>
      <c r="C187" s="11" t="str">
        <f t="shared" si="2"/>
        <v>30</v>
      </c>
      <c r="D187" s="9"/>
      <c r="E187" s="13" t="s">
        <v>1405</v>
      </c>
      <c r="F187" s="14"/>
      <c r="G187" s="15" t="s">
        <v>913</v>
      </c>
      <c r="H187" s="16" t="s">
        <v>29</v>
      </c>
      <c r="I187" s="73">
        <v>16.0</v>
      </c>
      <c r="J187" s="54"/>
      <c r="K187" s="55">
        <v>4.0</v>
      </c>
      <c r="L187" s="18">
        <f>IFNA( VLOOKUP(LEFT(E187, IFERROR(FIND(" ", E187, 1),1) - 1), lists!$A$31:$B$37, 2, FALSE),"")</f>
        <v>4</v>
      </c>
      <c r="M187" s="18" t="str">
        <f>IFERROR(__xludf.DUMMYFUNCTION("IFNA(VLOOKUP(IFNA(REGEXEXTRACT(E187, ""(Пасхи|50-ці|посту)""),""""),lists!$A$39:$B$41,2,FALSE),"""")"),"")</f>
        <v/>
      </c>
      <c r="N187" s="19" t="str">
        <f>IFERROR(__xludf.DUMMYFUNCTION("IFNA(REGEXEXTRACT(E187, ""\d{1,2}""),"""")"),"16")</f>
        <v>16</v>
      </c>
      <c r="O187" s="14" t="b">
        <f t="shared" si="3"/>
        <v>0</v>
      </c>
    </row>
    <row r="188">
      <c r="A188" s="13" t="s">
        <v>1408</v>
      </c>
      <c r="B188" s="9" t="str">
        <f t="shared" si="1"/>
        <v>Мр.</v>
      </c>
      <c r="C188" s="11" t="str">
        <f t="shared" si="2"/>
        <v>32</v>
      </c>
      <c r="D188" s="9"/>
      <c r="E188" s="13" t="s">
        <v>1409</v>
      </c>
      <c r="F188" s="14"/>
      <c r="G188" s="15" t="s">
        <v>913</v>
      </c>
      <c r="H188" s="16" t="s">
        <v>29</v>
      </c>
      <c r="I188" s="73">
        <v>16.0</v>
      </c>
      <c r="J188" s="54"/>
      <c r="K188" s="55">
        <v>5.0</v>
      </c>
      <c r="L188" s="18">
        <f>IFNA( VLOOKUP(LEFT(E188, IFERROR(FIND(" ", E188, 1),1) - 1), lists!$A$31:$B$37, 2, FALSE),"")</f>
        <v>5</v>
      </c>
      <c r="M188" s="18" t="str">
        <f>IFERROR(__xludf.DUMMYFUNCTION("IFNA(VLOOKUP(IFNA(REGEXEXTRACT(E188, ""(Пасхи|50-ці|посту)""),""""),lists!$A$39:$B$41,2,FALSE),"""")"),"")</f>
        <v/>
      </c>
      <c r="N188" s="19" t="str">
        <f>IFERROR(__xludf.DUMMYFUNCTION("IFNA(REGEXEXTRACT(E188, ""\d{1,2}""),"""")"),"16")</f>
        <v>16</v>
      </c>
      <c r="O188" s="14" t="b">
        <f t="shared" si="3"/>
        <v>0</v>
      </c>
    </row>
    <row r="189">
      <c r="A189" s="79" t="s">
        <v>1692</v>
      </c>
      <c r="B189" s="9" t="str">
        <f t="shared" si="1"/>
        <v>Мт.</v>
      </c>
      <c r="C189" s="11" t="str">
        <f t="shared" si="2"/>
        <v>101</v>
      </c>
      <c r="D189" s="9"/>
      <c r="E189" s="13" t="s">
        <v>1693</v>
      </c>
      <c r="F189" s="14"/>
      <c r="G189" s="15" t="s">
        <v>913</v>
      </c>
      <c r="H189" s="16" t="s">
        <v>29</v>
      </c>
      <c r="I189" s="73">
        <v>16.0</v>
      </c>
      <c r="J189" s="54"/>
      <c r="K189" s="55">
        <v>6.0</v>
      </c>
      <c r="L189" s="18">
        <f>IFNA( VLOOKUP(LEFT(E189, IFERROR(FIND(" ", E189, 1),1) - 1), lists!$A$31:$B$37, 2, FALSE),"")</f>
        <v>6</v>
      </c>
      <c r="M189" s="18" t="str">
        <f>IFERROR(__xludf.DUMMYFUNCTION("IFNA(VLOOKUP(IFNA(REGEXEXTRACT(E189, ""(Пасхи|50-ці|посту)""),""""),lists!$A$39:$B$41,2,FALSE),"""")"),"")</f>
        <v/>
      </c>
      <c r="N189" s="19" t="str">
        <f>IFERROR(__xludf.DUMMYFUNCTION("IFNA(REGEXEXTRACT(E189, ""\d{1,2}""),"""")"),"16")</f>
        <v>16</v>
      </c>
      <c r="O189" s="14" t="b">
        <f t="shared" si="3"/>
        <v>0</v>
      </c>
    </row>
    <row r="190">
      <c r="A190" s="13" t="s">
        <v>1700</v>
      </c>
      <c r="B190" s="9" t="str">
        <f t="shared" si="1"/>
        <v>Мт.</v>
      </c>
      <c r="C190" s="11" t="str">
        <f t="shared" si="2"/>
        <v>105</v>
      </c>
      <c r="D190" s="9"/>
      <c r="E190" s="13" t="s">
        <v>1701</v>
      </c>
      <c r="F190" s="14"/>
      <c r="G190" s="15" t="s">
        <v>913</v>
      </c>
      <c r="H190" s="16" t="s">
        <v>29</v>
      </c>
      <c r="I190" s="54">
        <v>16.0</v>
      </c>
      <c r="J190" s="54"/>
      <c r="K190" s="55">
        <v>7.0</v>
      </c>
      <c r="L190" s="18">
        <f>IFNA( VLOOKUP(LEFT(E190, IFERROR(FIND(" ", E190, 1),1) - 1), lists!$A$31:$B$37, 2, FALSE),"")</f>
        <v>7</v>
      </c>
      <c r="M190" s="18" t="str">
        <f>IFERROR(__xludf.DUMMYFUNCTION("IFNA(VLOOKUP(IFNA(REGEXEXTRACT(E190, ""(Пасхи|50-ці|посту)""),""""),lists!$A$39:$B$41,2,FALSE),"""")"),"")</f>
        <v/>
      </c>
      <c r="N190" s="19" t="str">
        <f>IFERROR(__xludf.DUMMYFUNCTION("IFNA(REGEXEXTRACT(E190, ""\d{1,2}""),"""")"),"16")</f>
        <v>16</v>
      </c>
      <c r="O190" s="14" t="b">
        <f t="shared" si="3"/>
        <v>0</v>
      </c>
    </row>
    <row r="191">
      <c r="A191" s="13" t="s">
        <v>1440</v>
      </c>
      <c r="B191" s="9" t="str">
        <f t="shared" si="1"/>
        <v>Мр.</v>
      </c>
      <c r="C191" s="11" t="str">
        <f t="shared" si="2"/>
        <v>48</v>
      </c>
      <c r="D191" s="9"/>
      <c r="E191" s="13" t="s">
        <v>1441</v>
      </c>
      <c r="F191" s="14"/>
      <c r="G191" s="15" t="s">
        <v>913</v>
      </c>
      <c r="H191" s="16" t="s">
        <v>29</v>
      </c>
      <c r="I191" s="73">
        <v>17.0</v>
      </c>
      <c r="J191" s="54"/>
      <c r="K191" s="55">
        <v>1.0</v>
      </c>
      <c r="L191" s="18">
        <f>IFNA( VLOOKUP(LEFT(E191, IFERROR(FIND(" ", E191, 1),1) - 1), lists!$A$31:$B$37, 2, FALSE),"")</f>
        <v>1</v>
      </c>
      <c r="M191" s="18" t="str">
        <f>IFERROR(__xludf.DUMMYFUNCTION("IFNA(VLOOKUP(IFNA(REGEXEXTRACT(E191, ""(Пасхи|50-ці|посту)""),""""),lists!$A$39:$B$41,2,FALSE),"""")"),"")</f>
        <v/>
      </c>
      <c r="N191" s="19" t="str">
        <f>IFERROR(__xludf.DUMMYFUNCTION("IFNA(REGEXEXTRACT(E191, ""\d{1,2}""),"""")"),"17")</f>
        <v>17</v>
      </c>
      <c r="O191" s="14" t="b">
        <f t="shared" si="3"/>
        <v>0</v>
      </c>
    </row>
    <row r="192">
      <c r="A192" s="13" t="s">
        <v>1444</v>
      </c>
      <c r="B192" s="9" t="str">
        <f t="shared" si="1"/>
        <v>Мр.</v>
      </c>
      <c r="C192" s="11" t="str">
        <f t="shared" si="2"/>
        <v>50</v>
      </c>
      <c r="D192" s="9"/>
      <c r="E192" s="13" t="s">
        <v>1445</v>
      </c>
      <c r="F192" s="14"/>
      <c r="G192" s="15" t="s">
        <v>913</v>
      </c>
      <c r="H192" s="16" t="s">
        <v>29</v>
      </c>
      <c r="I192" s="73">
        <v>17.0</v>
      </c>
      <c r="J192" s="54"/>
      <c r="K192" s="55">
        <v>2.0</v>
      </c>
      <c r="L192" s="18">
        <f>IFNA( VLOOKUP(LEFT(E192, IFERROR(FIND(" ", E192, 1),1) - 1), lists!$A$31:$B$37, 2, FALSE),"")</f>
        <v>2</v>
      </c>
      <c r="M192" s="18" t="str">
        <f>IFERROR(__xludf.DUMMYFUNCTION("IFNA(VLOOKUP(IFNA(REGEXEXTRACT(E192, ""(Пасхи|50-ці|посту)""),""""),lists!$A$39:$B$41,2,FALSE),"""")"),"")</f>
        <v/>
      </c>
      <c r="N192" s="19" t="str">
        <f>IFERROR(__xludf.DUMMYFUNCTION("IFNA(REGEXEXTRACT(E192, ""\d{1,2}""),"""")"),"17")</f>
        <v>17</v>
      </c>
      <c r="O192" s="14" t="b">
        <f t="shared" si="3"/>
        <v>0</v>
      </c>
    </row>
    <row r="193">
      <c r="A193" s="13" t="s">
        <v>1446</v>
      </c>
      <c r="B193" s="9" t="str">
        <f t="shared" si="1"/>
        <v>Мр.</v>
      </c>
      <c r="C193" s="11" t="str">
        <f t="shared" si="2"/>
        <v>51</v>
      </c>
      <c r="D193" s="9"/>
      <c r="E193" s="13" t="s">
        <v>1447</v>
      </c>
      <c r="F193" s="14"/>
      <c r="G193" s="15" t="s">
        <v>913</v>
      </c>
      <c r="H193" s="16" t="s">
        <v>29</v>
      </c>
      <c r="I193" s="73">
        <v>17.0</v>
      </c>
      <c r="J193" s="54"/>
      <c r="K193" s="55">
        <v>3.0</v>
      </c>
      <c r="L193" s="18">
        <f>IFNA( VLOOKUP(LEFT(E193, IFERROR(FIND(" ", E193, 1),1) - 1), lists!$A$31:$B$37, 2, FALSE),"")</f>
        <v>3</v>
      </c>
      <c r="M193" s="18" t="str">
        <f>IFERROR(__xludf.DUMMYFUNCTION("IFNA(VLOOKUP(IFNA(REGEXEXTRACT(E193, ""(Пасхи|50-ці|посту)""),""""),lists!$A$39:$B$41,2,FALSE),"""")"),"")</f>
        <v/>
      </c>
      <c r="N193" s="19" t="str">
        <f>IFERROR(__xludf.DUMMYFUNCTION("IFNA(REGEXEXTRACT(E193, ""\d{1,2}""),"""")"),"17")</f>
        <v>17</v>
      </c>
      <c r="O193" s="14" t="b">
        <f t="shared" si="3"/>
        <v>0</v>
      </c>
    </row>
    <row r="194">
      <c r="A194" s="13" t="s">
        <v>1448</v>
      </c>
      <c r="B194" s="9" t="str">
        <f t="shared" si="1"/>
        <v>Мр.</v>
      </c>
      <c r="C194" s="11" t="str">
        <f t="shared" si="2"/>
        <v>52</v>
      </c>
      <c r="D194" s="9"/>
      <c r="E194" s="13" t="s">
        <v>1449</v>
      </c>
      <c r="F194" s="14"/>
      <c r="G194" s="15" t="s">
        <v>913</v>
      </c>
      <c r="H194" s="16" t="s">
        <v>29</v>
      </c>
      <c r="I194" s="73">
        <v>17.0</v>
      </c>
      <c r="J194" s="54"/>
      <c r="K194" s="55">
        <v>4.0</v>
      </c>
      <c r="L194" s="18">
        <f>IFNA( VLOOKUP(LEFT(E194, IFERROR(FIND(" ", E194, 1),1) - 1), lists!$A$31:$B$37, 2, FALSE),"")</f>
        <v>4</v>
      </c>
      <c r="M194" s="18" t="str">
        <f>IFERROR(__xludf.DUMMYFUNCTION("IFNA(VLOOKUP(IFNA(REGEXEXTRACT(E194, ""(Пасхи|50-ці|посту)""),""""),lists!$A$39:$B$41,2,FALSE),"""")"),"")</f>
        <v/>
      </c>
      <c r="N194" s="19" t="str">
        <f>IFERROR(__xludf.DUMMYFUNCTION("IFNA(REGEXEXTRACT(E194, ""\d{1,2}""),"""")"),"17")</f>
        <v>17</v>
      </c>
      <c r="O194" s="14" t="b">
        <f t="shared" si="3"/>
        <v>0</v>
      </c>
    </row>
    <row r="195">
      <c r="A195" s="13" t="s">
        <v>1450</v>
      </c>
      <c r="B195" s="9" t="str">
        <f t="shared" si="1"/>
        <v>Мр.</v>
      </c>
      <c r="C195" s="11" t="str">
        <f t="shared" si="2"/>
        <v>53</v>
      </c>
      <c r="D195" s="9"/>
      <c r="E195" s="13" t="s">
        <v>1451</v>
      </c>
      <c r="F195" s="14"/>
      <c r="G195" s="15" t="s">
        <v>913</v>
      </c>
      <c r="H195" s="16" t="s">
        <v>29</v>
      </c>
      <c r="I195" s="73">
        <v>17.0</v>
      </c>
      <c r="J195" s="54"/>
      <c r="K195" s="55">
        <v>5.0</v>
      </c>
      <c r="L195" s="18">
        <f>IFNA( VLOOKUP(LEFT(E195, IFERROR(FIND(" ", E195, 1),1) - 1), lists!$A$31:$B$37, 2, FALSE),"")</f>
        <v>5</v>
      </c>
      <c r="M195" s="18" t="str">
        <f>IFERROR(__xludf.DUMMYFUNCTION("IFNA(VLOOKUP(IFNA(REGEXEXTRACT(E195, ""(Пасхи|50-ці|посту)""),""""),lists!$A$39:$B$41,2,FALSE),"""")"),"")</f>
        <v/>
      </c>
      <c r="N195" s="19" t="str">
        <f>IFERROR(__xludf.DUMMYFUNCTION("IFNA(REGEXEXTRACT(E195, ""\d{1,2}""),"""")"),"17")</f>
        <v>17</v>
      </c>
      <c r="O195" s="14" t="b">
        <f t="shared" si="3"/>
        <v>0</v>
      </c>
    </row>
    <row r="196">
      <c r="A196" s="13" t="s">
        <v>1698</v>
      </c>
      <c r="B196" s="9" t="str">
        <f t="shared" si="1"/>
        <v>Мт.</v>
      </c>
      <c r="C196" s="11" t="str">
        <f t="shared" si="2"/>
        <v>104</v>
      </c>
      <c r="D196" s="9"/>
      <c r="E196" s="13" t="s">
        <v>1699</v>
      </c>
      <c r="F196" s="14"/>
      <c r="G196" s="15" t="s">
        <v>913</v>
      </c>
      <c r="H196" s="16" t="s">
        <v>29</v>
      </c>
      <c r="I196" s="54">
        <v>17.0</v>
      </c>
      <c r="J196" s="54"/>
      <c r="K196" s="55">
        <v>6.0</v>
      </c>
      <c r="L196" s="18">
        <f>IFNA( VLOOKUP(LEFT(E196, IFERROR(FIND(" ", E196, 1),1) - 1), lists!$A$31:$B$37, 2, FALSE),"")</f>
        <v>6</v>
      </c>
      <c r="M196" s="18" t="str">
        <f>IFERROR(__xludf.DUMMYFUNCTION("IFNA(VLOOKUP(IFNA(REGEXEXTRACT(E196, ""(Пасхи|50-ці|посту)""),""""),lists!$A$39:$B$41,2,FALSE),"""")"),"")</f>
        <v/>
      </c>
      <c r="N196" s="19" t="str">
        <f>IFERROR(__xludf.DUMMYFUNCTION("IFNA(REGEXEXTRACT(E196, ""\d{1,2}""),"""")"),"17")</f>
        <v>17</v>
      </c>
      <c r="O196" s="14" t="b">
        <f t="shared" si="3"/>
        <v>0</v>
      </c>
    </row>
    <row r="197">
      <c r="A197" s="13" t="s">
        <v>1607</v>
      </c>
      <c r="B197" s="9" t="str">
        <f t="shared" si="1"/>
        <v>Мт.</v>
      </c>
      <c r="C197" s="11" t="str">
        <f t="shared" si="2"/>
        <v>62</v>
      </c>
      <c r="D197" s="9"/>
      <c r="E197" s="13" t="s">
        <v>1608</v>
      </c>
      <c r="F197" s="14"/>
      <c r="G197" s="15" t="s">
        <v>913</v>
      </c>
      <c r="H197" s="16" t="s">
        <v>29</v>
      </c>
      <c r="I197" s="73">
        <v>17.0</v>
      </c>
      <c r="J197" s="54"/>
      <c r="K197" s="55">
        <v>7.0</v>
      </c>
      <c r="L197" s="18">
        <f>IFNA( VLOOKUP(LEFT(E197, IFERROR(FIND(" ", E197, 1),1) - 1), lists!$A$31:$B$37, 2, FALSE),"")</f>
        <v>7</v>
      </c>
      <c r="M197" s="18" t="str">
        <f>IFERROR(__xludf.DUMMYFUNCTION("IFNA(VLOOKUP(IFNA(REGEXEXTRACT(E197, ""(Пасхи|50-ці|посту)""),""""),lists!$A$39:$B$41,2,FALSE),"""")"),"")</f>
        <v/>
      </c>
      <c r="N197" s="19" t="str">
        <f>IFERROR(__xludf.DUMMYFUNCTION("IFNA(REGEXEXTRACT(E197, ""\d{1,2}""),"""")"),"17")</f>
        <v>17</v>
      </c>
      <c r="O197" s="14" t="b">
        <f t="shared" si="3"/>
        <v>0</v>
      </c>
    </row>
    <row r="198">
      <c r="A198" s="13" t="s">
        <v>1124</v>
      </c>
      <c r="B198" s="9" t="str">
        <f t="shared" si="1"/>
        <v>Лк.</v>
      </c>
      <c r="C198" s="11" t="str">
        <f t="shared" si="2"/>
        <v>10</v>
      </c>
      <c r="D198" s="9"/>
      <c r="E198" s="13" t="s">
        <v>1125</v>
      </c>
      <c r="F198" s="14"/>
      <c r="G198" s="15" t="s">
        <v>913</v>
      </c>
      <c r="H198" s="16" t="s">
        <v>29</v>
      </c>
      <c r="I198" s="73">
        <v>18.0</v>
      </c>
      <c r="J198" s="55"/>
      <c r="K198" s="55">
        <v>1.0</v>
      </c>
      <c r="L198" s="18">
        <f>IFNA( VLOOKUP(LEFT(E198, IFERROR(FIND(" ", E198, 1),1) - 1), lists!$A$31:$B$37, 2, FALSE),"")</f>
        <v>1</v>
      </c>
      <c r="M198" s="18" t="str">
        <f>IFERROR(__xludf.DUMMYFUNCTION("IFNA(VLOOKUP(IFNA(REGEXEXTRACT(E198, ""(Пасхи|50-ці|посту)""),""""),lists!$A$39:$B$41,2,FALSE),"""")"),"")</f>
        <v/>
      </c>
      <c r="N198" s="19" t="str">
        <f>IFERROR(__xludf.DUMMYFUNCTION("IFNA(REGEXEXTRACT(E198, ""\d{1,2}""),"""")"),"18")</f>
        <v>18</v>
      </c>
      <c r="O198" s="14" t="b">
        <f t="shared" si="3"/>
        <v>0</v>
      </c>
    </row>
    <row r="199">
      <c r="A199" s="13" t="s">
        <v>1126</v>
      </c>
      <c r="B199" s="9" t="str">
        <f t="shared" si="1"/>
        <v>Лк.</v>
      </c>
      <c r="C199" s="11" t="str">
        <f t="shared" si="2"/>
        <v>11</v>
      </c>
      <c r="D199" s="9"/>
      <c r="E199" s="13" t="s">
        <v>1127</v>
      </c>
      <c r="F199" s="14"/>
      <c r="G199" s="15" t="s">
        <v>913</v>
      </c>
      <c r="H199" s="16" t="s">
        <v>29</v>
      </c>
      <c r="I199" s="73">
        <v>18.0</v>
      </c>
      <c r="J199" s="55"/>
      <c r="K199" s="55">
        <v>2.0</v>
      </c>
      <c r="L199" s="18">
        <f>IFNA( VLOOKUP(LEFT(E199, IFERROR(FIND(" ", E199, 1),1) - 1), lists!$A$31:$B$37, 2, FALSE),"")</f>
        <v>2</v>
      </c>
      <c r="M199" s="18" t="str">
        <f>IFERROR(__xludf.DUMMYFUNCTION("IFNA(VLOOKUP(IFNA(REGEXEXTRACT(E199, ""(Пасхи|50-ці|посту)""),""""),lists!$A$39:$B$41,2,FALSE),"""")"),"")</f>
        <v/>
      </c>
      <c r="N199" s="19" t="str">
        <f>IFERROR(__xludf.DUMMYFUNCTION("IFNA(REGEXEXTRACT(E199, ""\d{1,2}""),"""")"),"18")</f>
        <v>18</v>
      </c>
      <c r="O199" s="14" t="b">
        <f t="shared" si="3"/>
        <v>0</v>
      </c>
    </row>
    <row r="200">
      <c r="A200" s="13" t="s">
        <v>1128</v>
      </c>
      <c r="B200" s="9" t="str">
        <f t="shared" si="1"/>
        <v>Лк.</v>
      </c>
      <c r="C200" s="11" t="str">
        <f t="shared" si="2"/>
        <v>12</v>
      </c>
      <c r="D200" s="9"/>
      <c r="E200" s="13" t="s">
        <v>1129</v>
      </c>
      <c r="F200" s="14"/>
      <c r="G200" s="15" t="s">
        <v>913</v>
      </c>
      <c r="H200" s="16" t="s">
        <v>29</v>
      </c>
      <c r="I200" s="73">
        <v>18.0</v>
      </c>
      <c r="J200" s="55"/>
      <c r="K200" s="55">
        <v>3.0</v>
      </c>
      <c r="L200" s="18">
        <f>IFNA( VLOOKUP(LEFT(E200, IFERROR(FIND(" ", E200, 1),1) - 1), lists!$A$31:$B$37, 2, FALSE),"")</f>
        <v>3</v>
      </c>
      <c r="M200" s="18" t="str">
        <f>IFERROR(__xludf.DUMMYFUNCTION("IFNA(VLOOKUP(IFNA(REGEXEXTRACT(E200, ""(Пасхи|50-ці|посту)""),""""),lists!$A$39:$B$41,2,FALSE),"""")"),"")</f>
        <v/>
      </c>
      <c r="N200" s="19" t="str">
        <f>IFERROR(__xludf.DUMMYFUNCTION("IFNA(REGEXEXTRACT(E200, ""\d{1,2}""),"""")"),"18")</f>
        <v>18</v>
      </c>
      <c r="O200" s="14" t="b">
        <f t="shared" si="3"/>
        <v>0</v>
      </c>
    </row>
    <row r="201">
      <c r="A201" s="13" t="s">
        <v>1130</v>
      </c>
      <c r="B201" s="9" t="str">
        <f t="shared" si="1"/>
        <v>Лк.</v>
      </c>
      <c r="C201" s="11" t="str">
        <f t="shared" si="2"/>
        <v>13</v>
      </c>
      <c r="D201" s="9"/>
      <c r="E201" s="13" t="s">
        <v>1131</v>
      </c>
      <c r="F201" s="36"/>
      <c r="G201" s="15" t="s">
        <v>913</v>
      </c>
      <c r="H201" s="16" t="s">
        <v>29</v>
      </c>
      <c r="I201" s="73">
        <v>18.0</v>
      </c>
      <c r="J201" s="54"/>
      <c r="K201" s="55">
        <v>4.0</v>
      </c>
      <c r="L201" s="18">
        <f>IFNA( VLOOKUP(LEFT(E201, IFERROR(FIND(" ", E201, 1),1) - 1), lists!$A$31:$B$37, 2, FALSE),"")</f>
        <v>4</v>
      </c>
      <c r="M201" s="18" t="str">
        <f>IFERROR(__xludf.DUMMYFUNCTION("IFNA(VLOOKUP(IFNA(REGEXEXTRACT(E201, ""(Пасхи|50-ці|посту)""),""""),lists!$A$39:$B$41,2,FALSE),"""")"),"")</f>
        <v/>
      </c>
      <c r="N201" s="19" t="str">
        <f>IFERROR(__xludf.DUMMYFUNCTION("IFNA(REGEXEXTRACT(E201, ""\d{1,2}""),"""")"),"18")</f>
        <v>18</v>
      </c>
      <c r="O201" s="14" t="b">
        <f t="shared" si="3"/>
        <v>0</v>
      </c>
    </row>
    <row r="202">
      <c r="A202" s="13" t="s">
        <v>1132</v>
      </c>
      <c r="B202" s="9" t="str">
        <f t="shared" si="1"/>
        <v>Лк.</v>
      </c>
      <c r="C202" s="11" t="str">
        <f t="shared" si="2"/>
        <v>14</v>
      </c>
      <c r="D202" s="9"/>
      <c r="E202" s="13" t="s">
        <v>1133</v>
      </c>
      <c r="F202" s="36"/>
      <c r="G202" s="15" t="s">
        <v>913</v>
      </c>
      <c r="H202" s="16" t="s">
        <v>29</v>
      </c>
      <c r="I202" s="73">
        <v>18.0</v>
      </c>
      <c r="J202" s="54"/>
      <c r="K202" s="55">
        <v>5.0</v>
      </c>
      <c r="L202" s="18">
        <f>IFNA( VLOOKUP(LEFT(E202, IFERROR(FIND(" ", E202, 1),1) - 1), lists!$A$31:$B$37, 2, FALSE),"")</f>
        <v>5</v>
      </c>
      <c r="M202" s="18" t="str">
        <f>IFERROR(__xludf.DUMMYFUNCTION("IFNA(VLOOKUP(IFNA(REGEXEXTRACT(E202, ""(Пасхи|50-ці|посту)""),""""),lists!$A$39:$B$41,2,FALSE),"""")"),"")</f>
        <v/>
      </c>
      <c r="N202" s="19" t="str">
        <f>IFERROR(__xludf.DUMMYFUNCTION("IFNA(REGEXEXTRACT(E202, ""\d{1,2}""),"""")"),"18")</f>
        <v>18</v>
      </c>
      <c r="O202" s="14" t="b">
        <f t="shared" si="3"/>
        <v>0</v>
      </c>
    </row>
    <row r="203">
      <c r="A203" s="13" t="s">
        <v>1134</v>
      </c>
      <c r="B203" s="9" t="str">
        <f t="shared" si="1"/>
        <v>Лк.</v>
      </c>
      <c r="C203" s="11" t="str">
        <f t="shared" si="2"/>
        <v>15</v>
      </c>
      <c r="D203" s="9"/>
      <c r="E203" s="13" t="s">
        <v>1135</v>
      </c>
      <c r="F203" s="14"/>
      <c r="G203" s="15" t="s">
        <v>913</v>
      </c>
      <c r="H203" s="16" t="s">
        <v>29</v>
      </c>
      <c r="I203" s="73">
        <v>18.0</v>
      </c>
      <c r="J203" s="54"/>
      <c r="K203" s="55">
        <v>6.0</v>
      </c>
      <c r="L203" s="18">
        <f>IFNA( VLOOKUP(LEFT(E203, IFERROR(FIND(" ", E203, 1),1) - 1), lists!$A$31:$B$37, 2, FALSE),"")</f>
        <v>6</v>
      </c>
      <c r="M203" s="18" t="str">
        <f>IFERROR(__xludf.DUMMYFUNCTION("IFNA(VLOOKUP(IFNA(REGEXEXTRACT(E203, ""(Пасхи|50-ці|посту)""),""""),lists!$A$39:$B$41,2,FALSE),"""")"),"")</f>
        <v/>
      </c>
      <c r="N203" s="19" t="str">
        <f>IFERROR(__xludf.DUMMYFUNCTION("IFNA(REGEXEXTRACT(E203, ""\d{1,2}""),"""")"),"18")</f>
        <v>18</v>
      </c>
      <c r="O203" s="14" t="b">
        <f t="shared" si="3"/>
        <v>0</v>
      </c>
    </row>
    <row r="204">
      <c r="A204" s="13" t="s">
        <v>1138</v>
      </c>
      <c r="B204" s="9" t="str">
        <f t="shared" si="1"/>
        <v>Лк.</v>
      </c>
      <c r="C204" s="11" t="str">
        <f t="shared" si="2"/>
        <v>17</v>
      </c>
      <c r="D204" s="9"/>
      <c r="E204" s="13" t="s">
        <v>1752</v>
      </c>
      <c r="F204" s="14"/>
      <c r="G204" s="15" t="s">
        <v>913</v>
      </c>
      <c r="H204" s="16" t="s">
        <v>29</v>
      </c>
      <c r="I204" s="73">
        <v>18.0</v>
      </c>
      <c r="J204" s="54"/>
      <c r="K204" s="55">
        <v>7.0</v>
      </c>
      <c r="L204" s="18">
        <f>IFNA( VLOOKUP(LEFT(E204, IFERROR(FIND(" ", E204, 1),1) - 1), lists!$A$31:$B$37, 2, FALSE),"")</f>
        <v>7</v>
      </c>
      <c r="M204" s="18" t="str">
        <f>IFERROR(__xludf.DUMMYFUNCTION("IFNA(VLOOKUP(IFNA(REGEXEXTRACT(E204, ""(Пасхи|50-ці|посту)""),""""),lists!$A$39:$B$41,2,FALSE),"""")"),"")</f>
        <v/>
      </c>
      <c r="N204" s="19" t="str">
        <f>IFERROR(__xludf.DUMMYFUNCTION("IFNA(REGEXEXTRACT(E204, ""\d{1,2}""),"""")"),"18")</f>
        <v>18</v>
      </c>
      <c r="O204" s="14" t="b">
        <f t="shared" si="3"/>
        <v>0</v>
      </c>
    </row>
    <row r="205">
      <c r="A205" s="13" t="s">
        <v>1136</v>
      </c>
      <c r="B205" s="9" t="str">
        <f t="shared" si="1"/>
        <v>Лк.</v>
      </c>
      <c r="C205" s="11" t="str">
        <f t="shared" si="2"/>
        <v>16</v>
      </c>
      <c r="D205" s="9"/>
      <c r="E205" s="13" t="s">
        <v>1137</v>
      </c>
      <c r="F205" s="14"/>
      <c r="G205" s="15" t="s">
        <v>913</v>
      </c>
      <c r="H205" s="16" t="s">
        <v>29</v>
      </c>
      <c r="I205" s="73">
        <v>19.0</v>
      </c>
      <c r="J205" s="54"/>
      <c r="K205" s="55">
        <v>1.0</v>
      </c>
      <c r="L205" s="18">
        <f>IFNA( VLOOKUP(LEFT(E205, IFERROR(FIND(" ", E205, 1),1) - 1), lists!$A$31:$B$37, 2, FALSE),"")</f>
        <v>1</v>
      </c>
      <c r="M205" s="18" t="str">
        <f>IFERROR(__xludf.DUMMYFUNCTION("IFNA(VLOOKUP(IFNA(REGEXEXTRACT(E205, ""(Пасхи|50-ці|посту)""),""""),lists!$A$39:$B$41,2,FALSE),"""")"),"")</f>
        <v/>
      </c>
      <c r="N205" s="19" t="str">
        <f>IFERROR(__xludf.DUMMYFUNCTION("IFNA(REGEXEXTRACT(E205, ""\d{1,2}""),"""")"),"19")</f>
        <v>19</v>
      </c>
      <c r="O205" s="14" t="b">
        <f t="shared" si="3"/>
        <v>0</v>
      </c>
    </row>
    <row r="206">
      <c r="A206" s="13" t="s">
        <v>1140</v>
      </c>
      <c r="B206" s="9" t="str">
        <f t="shared" si="1"/>
        <v>Лк.</v>
      </c>
      <c r="C206" s="11" t="str">
        <f t="shared" si="2"/>
        <v>18</v>
      </c>
      <c r="D206" s="9"/>
      <c r="E206" s="13" t="s">
        <v>1141</v>
      </c>
      <c r="F206" s="14"/>
      <c r="G206" s="15" t="s">
        <v>913</v>
      </c>
      <c r="H206" s="16" t="s">
        <v>29</v>
      </c>
      <c r="I206" s="73">
        <v>19.0</v>
      </c>
      <c r="J206" s="54"/>
      <c r="K206" s="55">
        <v>2.0</v>
      </c>
      <c r="L206" s="18">
        <f>IFNA( VLOOKUP(LEFT(E206, IFERROR(FIND(" ", E206, 1),1) - 1), lists!$A$31:$B$37, 2, FALSE),"")</f>
        <v>2</v>
      </c>
      <c r="M206" s="18" t="str">
        <f>IFERROR(__xludf.DUMMYFUNCTION("IFNA(VLOOKUP(IFNA(REGEXEXTRACT(E206, ""(Пасхи|50-ці|посту)""),""""),lists!$A$39:$B$41,2,FALSE),"""")"),"")</f>
        <v/>
      </c>
      <c r="N206" s="19" t="str">
        <f>IFERROR(__xludf.DUMMYFUNCTION("IFNA(REGEXEXTRACT(E206, ""\d{1,2}""),"""")"),"19")</f>
        <v>19</v>
      </c>
      <c r="O206" s="14" t="b">
        <f t="shared" si="3"/>
        <v>0</v>
      </c>
    </row>
    <row r="207">
      <c r="A207" s="13" t="s">
        <v>1146</v>
      </c>
      <c r="B207" s="9" t="str">
        <f t="shared" si="1"/>
        <v>Лк.</v>
      </c>
      <c r="C207" s="11" t="str">
        <f t="shared" si="2"/>
        <v>21</v>
      </c>
      <c r="D207" s="9"/>
      <c r="E207" s="13" t="s">
        <v>1147</v>
      </c>
      <c r="F207" s="14"/>
      <c r="G207" s="15" t="s">
        <v>913</v>
      </c>
      <c r="H207" s="16" t="s">
        <v>29</v>
      </c>
      <c r="I207" s="73">
        <v>19.0</v>
      </c>
      <c r="J207" s="54"/>
      <c r="K207" s="55">
        <v>3.0</v>
      </c>
      <c r="L207" s="18">
        <f>IFNA( VLOOKUP(LEFT(E207, IFERROR(FIND(" ", E207, 1),1) - 1), lists!$A$31:$B$37, 2, FALSE),"")</f>
        <v>3</v>
      </c>
      <c r="M207" s="18" t="str">
        <f>IFERROR(__xludf.DUMMYFUNCTION("IFNA(VLOOKUP(IFNA(REGEXEXTRACT(E207, ""(Пасхи|50-ці|посту)""),""""),lists!$A$39:$B$41,2,FALSE),"""")"),"")</f>
        <v/>
      </c>
      <c r="N207" s="19" t="str">
        <f>IFERROR(__xludf.DUMMYFUNCTION("IFNA(REGEXEXTRACT(E207, ""\d{1,2}""),"""")"),"19")</f>
        <v>19</v>
      </c>
      <c r="O207" s="14" t="b">
        <f t="shared" si="3"/>
        <v>0</v>
      </c>
    </row>
    <row r="208">
      <c r="A208" s="13" t="s">
        <v>1150</v>
      </c>
      <c r="B208" s="9" t="str">
        <f t="shared" si="1"/>
        <v>Лк.</v>
      </c>
      <c r="C208" s="11" t="str">
        <f t="shared" si="2"/>
        <v>23</v>
      </c>
      <c r="D208" s="9"/>
      <c r="E208" s="13" t="s">
        <v>1151</v>
      </c>
      <c r="F208" s="14"/>
      <c r="G208" s="15" t="s">
        <v>913</v>
      </c>
      <c r="H208" s="16" t="s">
        <v>29</v>
      </c>
      <c r="I208" s="73">
        <v>19.0</v>
      </c>
      <c r="J208" s="54"/>
      <c r="K208" s="55">
        <v>4.0</v>
      </c>
      <c r="L208" s="18">
        <f>IFNA( VLOOKUP(LEFT(E208, IFERROR(FIND(" ", E208, 1),1) - 1), lists!$A$31:$B$37, 2, FALSE),"")</f>
        <v>4</v>
      </c>
      <c r="M208" s="18" t="str">
        <f>IFERROR(__xludf.DUMMYFUNCTION("IFNA(VLOOKUP(IFNA(REGEXEXTRACT(E208, ""(Пасхи|50-ці|посту)""),""""),lists!$A$39:$B$41,2,FALSE),"""")"),"")</f>
        <v/>
      </c>
      <c r="N208" s="19" t="str">
        <f>IFERROR(__xludf.DUMMYFUNCTION("IFNA(REGEXEXTRACT(E208, ""\d{1,2}""),"""")"),"19")</f>
        <v>19</v>
      </c>
      <c r="O208" s="14" t="b">
        <f t="shared" si="3"/>
        <v>0</v>
      </c>
    </row>
    <row r="209">
      <c r="A209" s="79" t="s">
        <v>1152</v>
      </c>
      <c r="B209" s="9" t="str">
        <f t="shared" si="1"/>
        <v>Лк.</v>
      </c>
      <c r="C209" s="11" t="str">
        <f t="shared" si="2"/>
        <v>24</v>
      </c>
      <c r="D209" s="9"/>
      <c r="E209" s="13" t="s">
        <v>1739</v>
      </c>
      <c r="F209" s="36"/>
      <c r="G209" s="15" t="s">
        <v>913</v>
      </c>
      <c r="H209" s="16" t="s">
        <v>29</v>
      </c>
      <c r="I209" s="73">
        <v>19.0</v>
      </c>
      <c r="J209" s="54"/>
      <c r="K209" s="55">
        <v>5.0</v>
      </c>
      <c r="L209" s="18">
        <f>IFNA( VLOOKUP(LEFT(E209, IFERROR(FIND(" ", E209, 1),1) - 1), lists!$A$31:$B$37, 2, FALSE),"")</f>
        <v>5</v>
      </c>
      <c r="M209" s="18" t="str">
        <f>IFERROR(__xludf.DUMMYFUNCTION("IFNA(VLOOKUP(IFNA(REGEXEXTRACT(E209, ""(Пасхи|50-ці|посту)""),""""),lists!$A$39:$B$41,2,FALSE),"""")"),"")</f>
        <v/>
      </c>
      <c r="N209" s="19" t="str">
        <f>IFERROR(__xludf.DUMMYFUNCTION("IFNA(REGEXEXTRACT(E209, ""\d{1,2}""),"""")"),"19")</f>
        <v>19</v>
      </c>
      <c r="O209" s="14" t="b">
        <f t="shared" si="3"/>
        <v>0</v>
      </c>
    </row>
    <row r="210">
      <c r="A210" s="13" t="s">
        <v>1142</v>
      </c>
      <c r="B210" s="9" t="str">
        <f t="shared" si="1"/>
        <v>Лк.</v>
      </c>
      <c r="C210" s="11" t="str">
        <f t="shared" si="2"/>
        <v>19</v>
      </c>
      <c r="D210" s="9"/>
      <c r="E210" s="13" t="s">
        <v>1143</v>
      </c>
      <c r="F210" s="14"/>
      <c r="G210" s="15" t="s">
        <v>913</v>
      </c>
      <c r="H210" s="16" t="s">
        <v>29</v>
      </c>
      <c r="I210" s="73">
        <v>19.0</v>
      </c>
      <c r="J210" s="54"/>
      <c r="K210" s="55">
        <v>6.0</v>
      </c>
      <c r="L210" s="18">
        <f>IFNA( VLOOKUP(LEFT(E210, IFERROR(FIND(" ", E210, 1),1) - 1), lists!$A$31:$B$37, 2, FALSE),"")</f>
        <v>6</v>
      </c>
      <c r="M210" s="18" t="str">
        <f>IFERROR(__xludf.DUMMYFUNCTION("IFNA(VLOOKUP(IFNA(REGEXEXTRACT(E210, ""(Пасхи|50-ці|посту)""),""""),lists!$A$39:$B$41,2,FALSE),"""")"),"")</f>
        <v/>
      </c>
      <c r="N210" s="19" t="str">
        <f>IFERROR(__xludf.DUMMYFUNCTION("IFNA(REGEXEXTRACT(E210, ""\d{1,2}""),"""")"),"19")</f>
        <v>19</v>
      </c>
      <c r="O210" s="14" t="b">
        <f t="shared" si="3"/>
        <v>0</v>
      </c>
    </row>
    <row r="211">
      <c r="A211" s="13" t="s">
        <v>1156</v>
      </c>
      <c r="B211" s="9" t="str">
        <f t="shared" si="1"/>
        <v>Лк.</v>
      </c>
      <c r="C211" s="11" t="str">
        <f t="shared" si="2"/>
        <v>26</v>
      </c>
      <c r="D211" s="9"/>
      <c r="E211" s="13" t="s">
        <v>1157</v>
      </c>
      <c r="F211" s="14"/>
      <c r="G211" s="15" t="s">
        <v>913</v>
      </c>
      <c r="H211" s="16" t="s">
        <v>29</v>
      </c>
      <c r="I211" s="73">
        <v>19.0</v>
      </c>
      <c r="J211" s="54"/>
      <c r="K211" s="55">
        <v>7.0</v>
      </c>
      <c r="L211" s="18">
        <f>IFNA( VLOOKUP(LEFT(E211, IFERROR(FIND(" ", E211, 1),1) - 1), lists!$A$31:$B$37, 2, FALSE),"")</f>
        <v>7</v>
      </c>
      <c r="M211" s="18" t="str">
        <f>IFERROR(__xludf.DUMMYFUNCTION("IFNA(VLOOKUP(IFNA(REGEXEXTRACT(E211, ""(Пасхи|50-ці|посту)""),""""),lists!$A$39:$B$41,2,FALSE),"""")"),"")</f>
        <v/>
      </c>
      <c r="N211" s="19" t="str">
        <f>IFERROR(__xludf.DUMMYFUNCTION("IFNA(REGEXEXTRACT(E211, ""\d{1,2}""),"""")"),"19")</f>
        <v>19</v>
      </c>
      <c r="O211" s="14" t="b">
        <f t="shared" si="3"/>
        <v>0</v>
      </c>
    </row>
    <row r="212">
      <c r="A212" s="13" t="s">
        <v>1154</v>
      </c>
      <c r="B212" s="9" t="str">
        <f t="shared" si="1"/>
        <v>Лк.</v>
      </c>
      <c r="C212" s="11" t="str">
        <f t="shared" si="2"/>
        <v>25</v>
      </c>
      <c r="D212" s="9"/>
      <c r="E212" s="13" t="s">
        <v>1155</v>
      </c>
      <c r="F212" s="14"/>
      <c r="G212" s="15" t="s">
        <v>913</v>
      </c>
      <c r="H212" s="16" t="s">
        <v>29</v>
      </c>
      <c r="I212" s="73">
        <v>20.0</v>
      </c>
      <c r="J212" s="54"/>
      <c r="K212" s="55">
        <v>1.0</v>
      </c>
      <c r="L212" s="18">
        <f>IFNA( VLOOKUP(LEFT(E212, IFERROR(FIND(" ", E212, 1),1) - 1), lists!$A$31:$B$37, 2, FALSE),"")</f>
        <v>1</v>
      </c>
      <c r="M212" s="18" t="str">
        <f>IFERROR(__xludf.DUMMYFUNCTION("IFNA(VLOOKUP(IFNA(REGEXEXTRACT(E212, ""(Пасхи|50-ці|посту)""),""""),lists!$A$39:$B$41,2,FALSE),"""")"),"")</f>
        <v/>
      </c>
      <c r="N212" s="19" t="str">
        <f>IFERROR(__xludf.DUMMYFUNCTION("IFNA(REGEXEXTRACT(E212, ""\d{1,2}""),"""")"),"20")</f>
        <v>20</v>
      </c>
      <c r="O212" s="14" t="b">
        <f t="shared" si="3"/>
        <v>0</v>
      </c>
    </row>
    <row r="213">
      <c r="A213" s="13" t="s">
        <v>1158</v>
      </c>
      <c r="B213" s="9" t="str">
        <f t="shared" si="1"/>
        <v>Лк.</v>
      </c>
      <c r="C213" s="11" t="str">
        <f t="shared" si="2"/>
        <v>27</v>
      </c>
      <c r="D213" s="9"/>
      <c r="E213" s="13" t="s">
        <v>1159</v>
      </c>
      <c r="F213" s="14"/>
      <c r="G213" s="15" t="s">
        <v>913</v>
      </c>
      <c r="H213" s="16" t="s">
        <v>29</v>
      </c>
      <c r="I213" s="73">
        <v>20.0</v>
      </c>
      <c r="J213" s="54"/>
      <c r="K213" s="55">
        <v>2.0</v>
      </c>
      <c r="L213" s="18">
        <f>IFNA( VLOOKUP(LEFT(E213, IFERROR(FIND(" ", E213, 1),1) - 1), lists!$A$31:$B$37, 2, FALSE),"")</f>
        <v>2</v>
      </c>
      <c r="M213" s="18" t="str">
        <f>IFERROR(__xludf.DUMMYFUNCTION("IFNA(VLOOKUP(IFNA(REGEXEXTRACT(E213, ""(Пасхи|50-ці|посту)""),""""),lists!$A$39:$B$41,2,FALSE),"""")"),"")</f>
        <v/>
      </c>
      <c r="N213" s="19" t="str">
        <f>IFERROR(__xludf.DUMMYFUNCTION("IFNA(REGEXEXTRACT(E213, ""\d{1,2}""),"""")"),"20")</f>
        <v>20</v>
      </c>
      <c r="O213" s="14" t="b">
        <f t="shared" si="3"/>
        <v>0</v>
      </c>
    </row>
    <row r="214">
      <c r="A214" s="13" t="s">
        <v>1160</v>
      </c>
      <c r="B214" s="9" t="str">
        <f t="shared" si="1"/>
        <v>Лк.</v>
      </c>
      <c r="C214" s="11" t="str">
        <f t="shared" si="2"/>
        <v>28</v>
      </c>
      <c r="D214" s="9"/>
      <c r="E214" s="13" t="s">
        <v>1161</v>
      </c>
      <c r="F214" s="14"/>
      <c r="G214" s="15" t="s">
        <v>913</v>
      </c>
      <c r="H214" s="16" t="s">
        <v>29</v>
      </c>
      <c r="I214" s="73">
        <v>20.0</v>
      </c>
      <c r="J214" s="54"/>
      <c r="K214" s="55">
        <v>3.0</v>
      </c>
      <c r="L214" s="18">
        <f>IFNA( VLOOKUP(LEFT(E214, IFERROR(FIND(" ", E214, 1),1) - 1), lists!$A$31:$B$37, 2, FALSE),"")</f>
        <v>3</v>
      </c>
      <c r="M214" s="18" t="str">
        <f>IFERROR(__xludf.DUMMYFUNCTION("IFNA(VLOOKUP(IFNA(REGEXEXTRACT(E214, ""(Пасхи|50-ці|посту)""),""""),lists!$A$39:$B$41,2,FALSE),"""")"),"")</f>
        <v/>
      </c>
      <c r="N214" s="19" t="str">
        <f>IFERROR(__xludf.DUMMYFUNCTION("IFNA(REGEXEXTRACT(E214, ""\d{1,2}""),"""")"),"20")</f>
        <v>20</v>
      </c>
      <c r="O214" s="14" t="b">
        <f t="shared" si="3"/>
        <v>0</v>
      </c>
    </row>
    <row r="215">
      <c r="A215" s="13" t="s">
        <v>1166</v>
      </c>
      <c r="B215" s="9" t="str">
        <f t="shared" si="1"/>
        <v>Лк.</v>
      </c>
      <c r="C215" s="11" t="str">
        <f t="shared" si="2"/>
        <v>31</v>
      </c>
      <c r="D215" s="9"/>
      <c r="E215" s="13" t="s">
        <v>1167</v>
      </c>
      <c r="F215" s="36"/>
      <c r="G215" s="15" t="s">
        <v>913</v>
      </c>
      <c r="H215" s="16" t="s">
        <v>29</v>
      </c>
      <c r="I215" s="73">
        <v>20.0</v>
      </c>
      <c r="J215" s="54"/>
      <c r="K215" s="55">
        <v>4.0</v>
      </c>
      <c r="L215" s="18">
        <f>IFNA( VLOOKUP(LEFT(E215, IFERROR(FIND(" ", E215, 1),1) - 1), lists!$A$31:$B$37, 2, FALSE),"")</f>
        <v>4</v>
      </c>
      <c r="M215" s="18" t="str">
        <f>IFERROR(__xludf.DUMMYFUNCTION("IFNA(VLOOKUP(IFNA(REGEXEXTRACT(E215, ""(Пасхи|50-ці|посту)""),""""),lists!$A$39:$B$41,2,FALSE),"""")"),"")</f>
        <v/>
      </c>
      <c r="N215" s="19" t="str">
        <f>IFERROR(__xludf.DUMMYFUNCTION("IFNA(REGEXEXTRACT(E215, ""\d{1,2}""),"""")"),"20")</f>
        <v>20</v>
      </c>
      <c r="O215" s="14" t="b">
        <f t="shared" si="3"/>
        <v>0</v>
      </c>
    </row>
    <row r="216">
      <c r="A216" s="13" t="s">
        <v>1168</v>
      </c>
      <c r="B216" s="9" t="str">
        <f t="shared" si="1"/>
        <v>Лк.</v>
      </c>
      <c r="C216" s="11" t="str">
        <f t="shared" si="2"/>
        <v>32</v>
      </c>
      <c r="D216" s="9"/>
      <c r="E216" s="13" t="s">
        <v>1169</v>
      </c>
      <c r="F216" s="14"/>
      <c r="G216" s="15" t="s">
        <v>913</v>
      </c>
      <c r="H216" s="16" t="s">
        <v>29</v>
      </c>
      <c r="I216" s="73">
        <v>20.0</v>
      </c>
      <c r="J216" s="54"/>
      <c r="K216" s="55">
        <v>5.0</v>
      </c>
      <c r="L216" s="18">
        <f>IFNA( VLOOKUP(LEFT(E216, IFERROR(FIND(" ", E216, 1),1) - 1), lists!$A$31:$B$37, 2, FALSE),"")</f>
        <v>5</v>
      </c>
      <c r="M216" s="18" t="str">
        <f>IFERROR(__xludf.DUMMYFUNCTION("IFNA(VLOOKUP(IFNA(REGEXEXTRACT(E216, ""(Пасхи|50-ці|посту)""),""""),lists!$A$39:$B$41,2,FALSE),"""")"),"")</f>
        <v/>
      </c>
      <c r="N216" s="19" t="str">
        <f>IFERROR(__xludf.DUMMYFUNCTION("IFNA(REGEXEXTRACT(E216, ""\d{1,2}""),"""")"),"20")</f>
        <v>20</v>
      </c>
      <c r="O216" s="14" t="b">
        <f t="shared" si="3"/>
        <v>0</v>
      </c>
    </row>
    <row r="217">
      <c r="A217" s="13" t="s">
        <v>1144</v>
      </c>
      <c r="B217" s="9" t="str">
        <f t="shared" si="1"/>
        <v>Лк.</v>
      </c>
      <c r="C217" s="11" t="str">
        <f t="shared" si="2"/>
        <v>20</v>
      </c>
      <c r="D217" s="9"/>
      <c r="E217" s="13" t="s">
        <v>1145</v>
      </c>
      <c r="F217" s="14"/>
      <c r="G217" s="15" t="s">
        <v>913</v>
      </c>
      <c r="H217" s="16" t="s">
        <v>29</v>
      </c>
      <c r="I217" s="73">
        <v>20.0</v>
      </c>
      <c r="J217" s="54"/>
      <c r="K217" s="55">
        <v>6.0</v>
      </c>
      <c r="L217" s="18">
        <f>IFNA( VLOOKUP(LEFT(E217, IFERROR(FIND(" ", E217, 1),1) - 1), lists!$A$31:$B$37, 2, FALSE),"")</f>
        <v>6</v>
      </c>
      <c r="M217" s="18" t="str">
        <f>IFERROR(__xludf.DUMMYFUNCTION("IFNA(VLOOKUP(IFNA(REGEXEXTRACT(E217, ""(Пасхи|50-ці|посту)""),""""),lists!$A$39:$B$41,2,FALSE),"""")"),"")</f>
        <v/>
      </c>
      <c r="N217" s="19" t="str">
        <f>IFERROR(__xludf.DUMMYFUNCTION("IFNA(REGEXEXTRACT(E217, ""\d{1,2}""),"""")"),"20")</f>
        <v>20</v>
      </c>
      <c r="O217" s="14" t="b">
        <f t="shared" si="3"/>
        <v>0</v>
      </c>
    </row>
    <row r="218">
      <c r="A218" s="13" t="s">
        <v>1164</v>
      </c>
      <c r="B218" s="9" t="str">
        <f t="shared" si="1"/>
        <v>Лк.</v>
      </c>
      <c r="C218" s="11" t="str">
        <f t="shared" si="2"/>
        <v>30</v>
      </c>
      <c r="D218" s="9"/>
      <c r="E218" s="13" t="s">
        <v>1165</v>
      </c>
      <c r="F218" s="14"/>
      <c r="G218" s="15" t="s">
        <v>913</v>
      </c>
      <c r="H218" s="16" t="s">
        <v>29</v>
      </c>
      <c r="I218" s="73">
        <v>20.0</v>
      </c>
      <c r="J218" s="54"/>
      <c r="K218" s="55">
        <v>7.0</v>
      </c>
      <c r="L218" s="18">
        <f>IFNA( VLOOKUP(LEFT(E218, IFERROR(FIND(" ", E218, 1),1) - 1), lists!$A$31:$B$37, 2, FALSE),"")</f>
        <v>7</v>
      </c>
      <c r="M218" s="18" t="str">
        <f>IFERROR(__xludf.DUMMYFUNCTION("IFNA(VLOOKUP(IFNA(REGEXEXTRACT(E218, ""(Пасхи|50-ці|посту)""),""""),lists!$A$39:$B$41,2,FALSE),"""")"),"")</f>
        <v/>
      </c>
      <c r="N218" s="19" t="str">
        <f>IFERROR(__xludf.DUMMYFUNCTION("IFNA(REGEXEXTRACT(E218, ""\d{1,2}""),"""")"),"20")</f>
        <v>20</v>
      </c>
      <c r="O218" s="14" t="b">
        <f t="shared" si="3"/>
        <v>0</v>
      </c>
    </row>
    <row r="219">
      <c r="A219" s="13" t="s">
        <v>1170</v>
      </c>
      <c r="B219" s="9" t="str">
        <f t="shared" si="1"/>
        <v>Лк.</v>
      </c>
      <c r="C219" s="11" t="str">
        <f t="shared" si="2"/>
        <v>33</v>
      </c>
      <c r="D219" s="9"/>
      <c r="E219" s="13" t="s">
        <v>1171</v>
      </c>
      <c r="F219" s="36"/>
      <c r="G219" s="15" t="s">
        <v>913</v>
      </c>
      <c r="H219" s="16" t="s">
        <v>29</v>
      </c>
      <c r="I219" s="73">
        <v>21.0</v>
      </c>
      <c r="J219" s="54"/>
      <c r="K219" s="55">
        <v>1.0</v>
      </c>
      <c r="L219" s="18">
        <f>IFNA( VLOOKUP(LEFT(E219, IFERROR(FIND(" ", E219, 1),1) - 1), lists!$A$31:$B$37, 2, FALSE),"")</f>
        <v>1</v>
      </c>
      <c r="M219" s="18" t="str">
        <f>IFERROR(__xludf.DUMMYFUNCTION("IFNA(VLOOKUP(IFNA(REGEXEXTRACT(E219, ""(Пасхи|50-ці|посту)""),""""),lists!$A$39:$B$41,2,FALSE),"""")"),"")</f>
        <v/>
      </c>
      <c r="N219" s="19" t="str">
        <f>IFERROR(__xludf.DUMMYFUNCTION("IFNA(REGEXEXTRACT(E219, ""\d{1,2}""),"""")"),"21")</f>
        <v>21</v>
      </c>
      <c r="O219" s="14" t="b">
        <f t="shared" si="3"/>
        <v>0</v>
      </c>
    </row>
    <row r="220">
      <c r="A220" s="13" t="s">
        <v>1172</v>
      </c>
      <c r="B220" s="9" t="str">
        <f t="shared" si="1"/>
        <v>Лк.</v>
      </c>
      <c r="C220" s="11" t="str">
        <f t="shared" si="2"/>
        <v>34</v>
      </c>
      <c r="D220" s="9"/>
      <c r="E220" s="13" t="s">
        <v>1173</v>
      </c>
      <c r="F220" s="14"/>
      <c r="G220" s="15" t="s">
        <v>913</v>
      </c>
      <c r="H220" s="16" t="s">
        <v>29</v>
      </c>
      <c r="I220" s="73">
        <v>21.0</v>
      </c>
      <c r="J220" s="54"/>
      <c r="K220" s="55">
        <v>2.0</v>
      </c>
      <c r="L220" s="18">
        <f>IFNA( VLOOKUP(LEFT(E220, IFERROR(FIND(" ", E220, 1),1) - 1), lists!$A$31:$B$37, 2, FALSE),"")</f>
        <v>2</v>
      </c>
      <c r="M220" s="18" t="str">
        <f>IFERROR(__xludf.DUMMYFUNCTION("IFNA(VLOOKUP(IFNA(REGEXEXTRACT(E220, ""(Пасхи|50-ці|посту)""),""""),lists!$A$39:$B$41,2,FALSE),"""")"),"")</f>
        <v/>
      </c>
      <c r="N220" s="19" t="str">
        <f>IFERROR(__xludf.DUMMYFUNCTION("IFNA(REGEXEXTRACT(E220, ""\d{1,2}""),"""")"),"21")</f>
        <v>21</v>
      </c>
      <c r="O220" s="14" t="b">
        <f t="shared" si="3"/>
        <v>0</v>
      </c>
    </row>
    <row r="221">
      <c r="A221" s="13" t="s">
        <v>1178</v>
      </c>
      <c r="B221" s="9" t="str">
        <f t="shared" si="1"/>
        <v>Лк.</v>
      </c>
      <c r="C221" s="11" t="str">
        <f t="shared" si="2"/>
        <v>37</v>
      </c>
      <c r="D221" s="9"/>
      <c r="E221" s="13" t="s">
        <v>1179</v>
      </c>
      <c r="F221" s="14"/>
      <c r="G221" s="15" t="s">
        <v>913</v>
      </c>
      <c r="H221" s="16" t="s">
        <v>29</v>
      </c>
      <c r="I221" s="73">
        <v>21.0</v>
      </c>
      <c r="J221" s="54"/>
      <c r="K221" s="55">
        <v>3.0</v>
      </c>
      <c r="L221" s="18">
        <f>IFNA( VLOOKUP(LEFT(E221, IFERROR(FIND(" ", E221, 1),1) - 1), lists!$A$31:$B$37, 2, FALSE),"")</f>
        <v>3</v>
      </c>
      <c r="M221" s="18" t="str">
        <f>IFERROR(__xludf.DUMMYFUNCTION("IFNA(VLOOKUP(IFNA(REGEXEXTRACT(E221, ""(Пасхи|50-ці|посту)""),""""),lists!$A$39:$B$41,2,FALSE),"""")"),"")</f>
        <v/>
      </c>
      <c r="N221" s="19" t="str">
        <f>IFERROR(__xludf.DUMMYFUNCTION("IFNA(REGEXEXTRACT(E221, ""\d{1,2}""),"""")"),"21")</f>
        <v>21</v>
      </c>
      <c r="O221" s="14" t="b">
        <f t="shared" si="3"/>
        <v>0</v>
      </c>
    </row>
    <row r="222">
      <c r="A222" s="13" t="s">
        <v>1186</v>
      </c>
      <c r="B222" s="9" t="str">
        <f t="shared" si="1"/>
        <v>Лк.</v>
      </c>
      <c r="C222" s="11" t="str">
        <f t="shared" si="2"/>
        <v>41</v>
      </c>
      <c r="D222" s="9"/>
      <c r="E222" s="13" t="s">
        <v>1187</v>
      </c>
      <c r="F222" s="14"/>
      <c r="G222" s="15" t="s">
        <v>913</v>
      </c>
      <c r="H222" s="16" t="s">
        <v>29</v>
      </c>
      <c r="I222" s="73">
        <v>21.0</v>
      </c>
      <c r="J222" s="54"/>
      <c r="K222" s="55">
        <v>4.0</v>
      </c>
      <c r="L222" s="18">
        <f>IFNA( VLOOKUP(LEFT(E222, IFERROR(FIND(" ", E222, 1),1) - 1), lists!$A$31:$B$37, 2, FALSE),"")</f>
        <v>4</v>
      </c>
      <c r="M222" s="18" t="str">
        <f>IFERROR(__xludf.DUMMYFUNCTION("IFNA(VLOOKUP(IFNA(REGEXEXTRACT(E222, ""(Пасхи|50-ці|посту)""),""""),lists!$A$39:$B$41,2,FALSE),"""")"),"")</f>
        <v/>
      </c>
      <c r="N222" s="19" t="str">
        <f>IFERROR(__xludf.DUMMYFUNCTION("IFNA(REGEXEXTRACT(E222, ""\d{1,2}""),"""")"),"21")</f>
        <v>21</v>
      </c>
      <c r="O222" s="14" t="b">
        <f t="shared" si="3"/>
        <v>0</v>
      </c>
    </row>
    <row r="223">
      <c r="A223" s="13" t="s">
        <v>1188</v>
      </c>
      <c r="B223" s="9" t="str">
        <f t="shared" si="1"/>
        <v>Лк.</v>
      </c>
      <c r="C223" s="11" t="str">
        <f t="shared" si="2"/>
        <v>42</v>
      </c>
      <c r="D223" s="9"/>
      <c r="E223" s="13" t="s">
        <v>1189</v>
      </c>
      <c r="F223" s="14"/>
      <c r="G223" s="15" t="s">
        <v>913</v>
      </c>
      <c r="H223" s="16" t="s">
        <v>29</v>
      </c>
      <c r="I223" s="73">
        <v>21.0</v>
      </c>
      <c r="J223" s="54"/>
      <c r="K223" s="55">
        <v>5.0</v>
      </c>
      <c r="L223" s="18">
        <f>IFNA( VLOOKUP(LEFT(E223, IFERROR(FIND(" ", E223, 1),1) - 1), lists!$A$31:$B$37, 2, FALSE),"")</f>
        <v>5</v>
      </c>
      <c r="M223" s="18" t="str">
        <f>IFERROR(__xludf.DUMMYFUNCTION("IFNA(VLOOKUP(IFNA(REGEXEXTRACT(E223, ""(Пасхи|50-ці|посту)""),""""),lists!$A$39:$B$41,2,FALSE),"""")"),"")</f>
        <v/>
      </c>
      <c r="N223" s="19" t="str">
        <f>IFERROR(__xludf.DUMMYFUNCTION("IFNA(REGEXEXTRACT(E223, ""\d{1,2}""),"""")"),"21")</f>
        <v>21</v>
      </c>
      <c r="O223" s="14" t="b">
        <f t="shared" si="3"/>
        <v>0</v>
      </c>
    </row>
    <row r="224">
      <c r="A224" s="13" t="s">
        <v>1148</v>
      </c>
      <c r="B224" s="9" t="str">
        <f t="shared" si="1"/>
        <v>Лк.</v>
      </c>
      <c r="C224" s="11" t="str">
        <f t="shared" si="2"/>
        <v>22</v>
      </c>
      <c r="D224" s="9"/>
      <c r="E224" s="13" t="s">
        <v>1149</v>
      </c>
      <c r="F224" s="14"/>
      <c r="G224" s="15" t="s">
        <v>913</v>
      </c>
      <c r="H224" s="16" t="s">
        <v>29</v>
      </c>
      <c r="I224" s="73">
        <v>21.0</v>
      </c>
      <c r="J224" s="54"/>
      <c r="K224" s="55">
        <v>6.0</v>
      </c>
      <c r="L224" s="18">
        <f>IFNA( VLOOKUP(LEFT(E224, IFERROR(FIND(" ", E224, 1),1) - 1), lists!$A$31:$B$37, 2, FALSE),"")</f>
        <v>6</v>
      </c>
      <c r="M224" s="18" t="str">
        <f>IFERROR(__xludf.DUMMYFUNCTION("IFNA(VLOOKUP(IFNA(REGEXEXTRACT(E224, ""(Пасхи|50-ці|посту)""),""""),lists!$A$39:$B$41,2,FALSE),"""")"),"")</f>
        <v/>
      </c>
      <c r="N224" s="19" t="str">
        <f>IFERROR(__xludf.DUMMYFUNCTION("IFNA(REGEXEXTRACT(E224, ""\d{1,2}""),"""")"),"21")</f>
        <v>21</v>
      </c>
      <c r="O224" s="14" t="b">
        <f t="shared" si="3"/>
        <v>0</v>
      </c>
    </row>
    <row r="225">
      <c r="A225" s="13" t="s">
        <v>1174</v>
      </c>
      <c r="B225" s="9" t="str">
        <f t="shared" si="1"/>
        <v>Лк.</v>
      </c>
      <c r="C225" s="11" t="str">
        <f t="shared" si="2"/>
        <v>35</v>
      </c>
      <c r="D225" s="9"/>
      <c r="E225" s="13" t="s">
        <v>1175</v>
      </c>
      <c r="F225" s="14"/>
      <c r="G225" s="15" t="s">
        <v>913</v>
      </c>
      <c r="H225" s="16" t="s">
        <v>29</v>
      </c>
      <c r="I225" s="73">
        <v>21.0</v>
      </c>
      <c r="J225" s="55"/>
      <c r="K225" s="55">
        <v>7.0</v>
      </c>
      <c r="L225" s="18">
        <f>IFNA( VLOOKUP(LEFT(E225, IFERROR(FIND(" ", E225, 1),1) - 1), lists!$A$31:$B$37, 2, FALSE),"")</f>
        <v>7</v>
      </c>
      <c r="M225" s="18" t="str">
        <f>IFERROR(__xludf.DUMMYFUNCTION("IFNA(VLOOKUP(IFNA(REGEXEXTRACT(E225, ""(Пасхи|50-ці|посту)""),""""),lists!$A$39:$B$41,2,FALSE),"""")"),"")</f>
        <v/>
      </c>
      <c r="N225" s="19" t="str">
        <f>IFERROR(__xludf.DUMMYFUNCTION("IFNA(REGEXEXTRACT(E225, ""\d{1,2}""),"""")"),"21")</f>
        <v>21</v>
      </c>
      <c r="O225" s="14" t="b">
        <f t="shared" si="3"/>
        <v>0</v>
      </c>
    </row>
    <row r="226">
      <c r="A226" s="13" t="s">
        <v>1190</v>
      </c>
      <c r="B226" s="9" t="str">
        <f t="shared" si="1"/>
        <v>Лк.</v>
      </c>
      <c r="C226" s="11" t="str">
        <f t="shared" si="2"/>
        <v>43</v>
      </c>
      <c r="D226" s="9"/>
      <c r="E226" s="13" t="s">
        <v>1191</v>
      </c>
      <c r="F226" s="14"/>
      <c r="G226" s="15" t="s">
        <v>913</v>
      </c>
      <c r="H226" s="16" t="s">
        <v>29</v>
      </c>
      <c r="I226" s="73">
        <v>22.0</v>
      </c>
      <c r="J226" s="54"/>
      <c r="K226" s="55">
        <v>1.0</v>
      </c>
      <c r="L226" s="18">
        <f>IFNA( VLOOKUP(LEFT(E226, IFERROR(FIND(" ", E226, 1),1) - 1), lists!$A$31:$B$37, 2, FALSE),"")</f>
        <v>1</v>
      </c>
      <c r="M226" s="18" t="str">
        <f>IFERROR(__xludf.DUMMYFUNCTION("IFNA(VLOOKUP(IFNA(REGEXEXTRACT(E226, ""(Пасхи|50-ці|посту)""),""""),lists!$A$39:$B$41,2,FALSE),"""")"),"")</f>
        <v/>
      </c>
      <c r="N226" s="19" t="str">
        <f>IFERROR(__xludf.DUMMYFUNCTION("IFNA(REGEXEXTRACT(E226, ""\d{1,2}""),"""")"),"22")</f>
        <v>22</v>
      </c>
      <c r="O226" s="14" t="b">
        <f t="shared" si="3"/>
        <v>0</v>
      </c>
    </row>
    <row r="227">
      <c r="A227" s="13" t="s">
        <v>1192</v>
      </c>
      <c r="B227" s="9" t="str">
        <f t="shared" si="1"/>
        <v>Лк.</v>
      </c>
      <c r="C227" s="11" t="str">
        <f t="shared" si="2"/>
        <v>44</v>
      </c>
      <c r="D227" s="9"/>
      <c r="E227" s="13" t="s">
        <v>1193</v>
      </c>
      <c r="F227" s="14"/>
      <c r="G227" s="15" t="s">
        <v>913</v>
      </c>
      <c r="H227" s="16" t="s">
        <v>29</v>
      </c>
      <c r="I227" s="73">
        <v>22.0</v>
      </c>
      <c r="J227" s="54"/>
      <c r="K227" s="55">
        <v>2.0</v>
      </c>
      <c r="L227" s="18">
        <f>IFNA( VLOOKUP(LEFT(E227, IFERROR(FIND(" ", E227, 1),1) - 1), lists!$A$31:$B$37, 2, FALSE),"")</f>
        <v>2</v>
      </c>
      <c r="M227" s="18" t="str">
        <f>IFERROR(__xludf.DUMMYFUNCTION("IFNA(VLOOKUP(IFNA(REGEXEXTRACT(E227, ""(Пасхи|50-ці|посту)""),""""),lists!$A$39:$B$41,2,FALSE),"""")"),"")</f>
        <v/>
      </c>
      <c r="N227" s="19" t="str">
        <f>IFERROR(__xludf.DUMMYFUNCTION("IFNA(REGEXEXTRACT(E227, ""\d{1,2}""),"""")"),"22")</f>
        <v>22</v>
      </c>
      <c r="O227" s="14" t="b">
        <f t="shared" si="3"/>
        <v>0</v>
      </c>
    </row>
    <row r="228">
      <c r="A228" s="13" t="s">
        <v>1199</v>
      </c>
      <c r="B228" s="9" t="str">
        <f t="shared" si="1"/>
        <v>Лк.</v>
      </c>
      <c r="C228" s="11" t="str">
        <f t="shared" si="2"/>
        <v>47</v>
      </c>
      <c r="D228" s="9"/>
      <c r="E228" s="13" t="s">
        <v>1200</v>
      </c>
      <c r="F228" s="14"/>
      <c r="G228" s="15" t="s">
        <v>913</v>
      </c>
      <c r="H228" s="16" t="s">
        <v>29</v>
      </c>
      <c r="I228" s="73">
        <v>22.0</v>
      </c>
      <c r="J228" s="54"/>
      <c r="K228" s="55">
        <v>3.0</v>
      </c>
      <c r="L228" s="18">
        <f>IFNA( VLOOKUP(LEFT(E228, IFERROR(FIND(" ", E228, 1),1) - 1), lists!$A$31:$B$37, 2, FALSE),"")</f>
        <v>3</v>
      </c>
      <c r="M228" s="18" t="str">
        <f>IFERROR(__xludf.DUMMYFUNCTION("IFNA(VLOOKUP(IFNA(REGEXEXTRACT(E228, ""(Пасхи|50-ці|посту)""),""""),lists!$A$39:$B$41,2,FALSE),"""")"),"")</f>
        <v/>
      </c>
      <c r="N228" s="19" t="str">
        <f>IFERROR(__xludf.DUMMYFUNCTION("IFNA(REGEXEXTRACT(E228, ""\d{1,2}""),"""")"),"22")</f>
        <v>22</v>
      </c>
      <c r="O228" s="14" t="b">
        <f t="shared" si="3"/>
        <v>0</v>
      </c>
    </row>
    <row r="229">
      <c r="A229" s="13" t="s">
        <v>1201</v>
      </c>
      <c r="B229" s="9" t="str">
        <f t="shared" si="1"/>
        <v>Лк.</v>
      </c>
      <c r="C229" s="11" t="str">
        <f t="shared" si="2"/>
        <v>48</v>
      </c>
      <c r="D229" s="12" t="s">
        <v>18</v>
      </c>
      <c r="E229" s="13" t="s">
        <v>1202</v>
      </c>
      <c r="F229" s="14"/>
      <c r="G229" s="15" t="s">
        <v>913</v>
      </c>
      <c r="H229" s="16" t="s">
        <v>29</v>
      </c>
      <c r="I229" s="73">
        <v>22.0</v>
      </c>
      <c r="J229" s="54"/>
      <c r="K229" s="55">
        <v>4.0</v>
      </c>
      <c r="L229" s="18">
        <f>IFNA( VLOOKUP(LEFT(E229, IFERROR(FIND(" ", E229, 1),1) - 1), lists!$A$31:$B$37, 2, FALSE),"")</f>
        <v>4</v>
      </c>
      <c r="M229" s="18" t="str">
        <f>IFERROR(__xludf.DUMMYFUNCTION("IFNA(VLOOKUP(IFNA(REGEXEXTRACT(E229, ""(Пасхи|50-ці|посту)""),""""),lists!$A$39:$B$41,2,FALSE),"""")"),"")</f>
        <v/>
      </c>
      <c r="N229" s="19" t="str">
        <f>IFERROR(__xludf.DUMMYFUNCTION("IFNA(REGEXEXTRACT(E229, ""\d{1,2}""),"""")"),"22")</f>
        <v>22</v>
      </c>
      <c r="O229" s="14" t="b">
        <f t="shared" si="3"/>
        <v>0</v>
      </c>
    </row>
    <row r="230">
      <c r="A230" s="13" t="s">
        <v>1162</v>
      </c>
      <c r="B230" s="9" t="str">
        <f t="shared" si="1"/>
        <v>Лк.</v>
      </c>
      <c r="C230" s="11" t="str">
        <f t="shared" si="2"/>
        <v>29</v>
      </c>
      <c r="D230" s="9"/>
      <c r="E230" s="13" t="s">
        <v>1163</v>
      </c>
      <c r="F230" s="14"/>
      <c r="G230" s="15" t="s">
        <v>913</v>
      </c>
      <c r="H230" s="16" t="s">
        <v>29</v>
      </c>
      <c r="I230" s="73">
        <v>22.0</v>
      </c>
      <c r="J230" s="54"/>
      <c r="K230" s="55">
        <v>6.0</v>
      </c>
      <c r="L230" s="18">
        <f>IFNA( VLOOKUP(LEFT(E230, IFERROR(FIND(" ", E230, 1),1) - 1), lists!$A$31:$B$37, 2, FALSE),"")</f>
        <v>6</v>
      </c>
      <c r="M230" s="18" t="str">
        <f>IFERROR(__xludf.DUMMYFUNCTION("IFNA(VLOOKUP(IFNA(REGEXEXTRACT(E230, ""(Пасхи|50-ці|посту)""),""""),lists!$A$39:$B$41,2,FALSE),"""")"),"")</f>
        <v/>
      </c>
      <c r="N230" s="19" t="str">
        <f>IFERROR(__xludf.DUMMYFUNCTION("IFNA(REGEXEXTRACT(E230, ""\d{1,2}""),"""")"),"22")</f>
        <v>22</v>
      </c>
      <c r="O230" s="14" t="b">
        <f t="shared" si="3"/>
        <v>0</v>
      </c>
    </row>
    <row r="231">
      <c r="A231" s="13" t="s">
        <v>1277</v>
      </c>
      <c r="B231" s="9" t="str">
        <f t="shared" si="1"/>
        <v>Лк.</v>
      </c>
      <c r="C231" s="11" t="str">
        <f t="shared" si="2"/>
        <v>83</v>
      </c>
      <c r="D231" s="9"/>
      <c r="E231" s="13" t="s">
        <v>1753</v>
      </c>
      <c r="F231" s="14"/>
      <c r="G231" s="15" t="s">
        <v>913</v>
      </c>
      <c r="H231" s="16" t="s">
        <v>29</v>
      </c>
      <c r="I231" s="73">
        <v>22.0</v>
      </c>
      <c r="J231" s="54"/>
      <c r="K231" s="55">
        <v>7.0</v>
      </c>
      <c r="L231" s="18">
        <f>IFNA( VLOOKUP(LEFT(E231, IFERROR(FIND(" ", E231, 1),1) - 1), lists!$A$31:$B$37, 2, FALSE),"")</f>
        <v>7</v>
      </c>
      <c r="M231" s="18" t="str">
        <f>IFERROR(__xludf.DUMMYFUNCTION("IFNA(VLOOKUP(IFNA(REGEXEXTRACT(E231, ""(Пасхи|50-ці|посту)""),""""),lists!$A$39:$B$41,2,FALSE),"""")"),"")</f>
        <v/>
      </c>
      <c r="N231" s="19" t="str">
        <f>IFERROR(__xludf.DUMMYFUNCTION("IFNA(REGEXEXTRACT(E231, ""\d{1,2}""),"""")"),"22")</f>
        <v>22</v>
      </c>
      <c r="O231" s="14" t="b">
        <f t="shared" si="3"/>
        <v>0</v>
      </c>
    </row>
    <row r="232">
      <c r="A232" s="13" t="s">
        <v>1213</v>
      </c>
      <c r="B232" s="9" t="str">
        <f t="shared" si="1"/>
        <v>Лк.</v>
      </c>
      <c r="C232" s="11" t="str">
        <f t="shared" si="2"/>
        <v>52</v>
      </c>
      <c r="D232" s="9"/>
      <c r="E232" s="13" t="s">
        <v>1214</v>
      </c>
      <c r="F232" s="14"/>
      <c r="G232" s="15" t="s">
        <v>913</v>
      </c>
      <c r="H232" s="16" t="s">
        <v>29</v>
      </c>
      <c r="I232" s="73">
        <v>23.0</v>
      </c>
      <c r="J232" s="55"/>
      <c r="K232" s="55">
        <v>1.0</v>
      </c>
      <c r="L232" s="18">
        <f>IFNA( VLOOKUP(LEFT(E232, IFERROR(FIND(" ", E232, 1),1) - 1), lists!$A$31:$B$37, 2, FALSE),"")</f>
        <v>1</v>
      </c>
      <c r="M232" s="18" t="str">
        <f>IFERROR(__xludf.DUMMYFUNCTION("IFNA(VLOOKUP(IFNA(REGEXEXTRACT(E232, ""(Пасхи|50-ці|посту)""),""""),lists!$A$39:$B$41,2,FALSE),"""")"),"")</f>
        <v/>
      </c>
      <c r="N232" s="19" t="str">
        <f>IFERROR(__xludf.DUMMYFUNCTION("IFNA(REGEXEXTRACT(E232, ""\d{1,2}""),"""")"),"23")</f>
        <v>23</v>
      </c>
      <c r="O232" s="14" t="b">
        <f t="shared" si="3"/>
        <v>0</v>
      </c>
    </row>
    <row r="233">
      <c r="A233" s="13" t="s">
        <v>1219</v>
      </c>
      <c r="B233" s="9" t="str">
        <f t="shared" si="1"/>
        <v>Лк.</v>
      </c>
      <c r="C233" s="11" t="str">
        <f t="shared" si="2"/>
        <v>55</v>
      </c>
      <c r="D233" s="90"/>
      <c r="E233" s="13" t="s">
        <v>1220</v>
      </c>
      <c r="F233" s="14"/>
      <c r="G233" s="15" t="s">
        <v>913</v>
      </c>
      <c r="H233" s="16" t="s">
        <v>29</v>
      </c>
      <c r="I233" s="73">
        <v>23.0</v>
      </c>
      <c r="J233" s="54"/>
      <c r="K233" s="55">
        <v>2.0</v>
      </c>
      <c r="L233" s="18">
        <f>IFNA( VLOOKUP(LEFT(E233, IFERROR(FIND(" ", E233, 1),1) - 1), lists!$A$31:$B$37, 2, FALSE),"")</f>
        <v>2</v>
      </c>
      <c r="M233" s="18" t="str">
        <f>IFERROR(__xludf.DUMMYFUNCTION("IFNA(VLOOKUP(IFNA(REGEXEXTRACT(E233, ""(Пасхи|50-ці|посту)""),""""),lists!$A$39:$B$41,2,FALSE),"""")"),"")</f>
        <v/>
      </c>
      <c r="N233" s="19" t="str">
        <f>IFERROR(__xludf.DUMMYFUNCTION("IFNA(REGEXEXTRACT(E233, ""\d{1,2}""),"""")"),"23")</f>
        <v>23</v>
      </c>
      <c r="O233" s="14" t="b">
        <f t="shared" si="3"/>
        <v>0</v>
      </c>
    </row>
    <row r="234">
      <c r="A234" s="13" t="s">
        <v>1221</v>
      </c>
      <c r="B234" s="9" t="str">
        <f t="shared" si="1"/>
        <v>Лк.</v>
      </c>
      <c r="C234" s="11" t="str">
        <f t="shared" si="2"/>
        <v>56</v>
      </c>
      <c r="D234" s="9"/>
      <c r="E234" s="13" t="s">
        <v>1222</v>
      </c>
      <c r="F234" s="14"/>
      <c r="G234" s="15" t="s">
        <v>913</v>
      </c>
      <c r="H234" s="16" t="s">
        <v>29</v>
      </c>
      <c r="I234" s="73">
        <v>23.0</v>
      </c>
      <c r="J234" s="54"/>
      <c r="K234" s="55">
        <v>3.0</v>
      </c>
      <c r="L234" s="18">
        <f>IFNA( VLOOKUP(LEFT(E234, IFERROR(FIND(" ", E234, 1),1) - 1), lists!$A$31:$B$37, 2, FALSE),"")</f>
        <v>3</v>
      </c>
      <c r="M234" s="18" t="str">
        <f>IFERROR(__xludf.DUMMYFUNCTION("IFNA(VLOOKUP(IFNA(REGEXEXTRACT(E234, ""(Пасхи|50-ці|посту)""),""""),lists!$A$39:$B$41,2,FALSE),"""")"),"")</f>
        <v/>
      </c>
      <c r="N234" s="19" t="str">
        <f>IFERROR(__xludf.DUMMYFUNCTION("IFNA(REGEXEXTRACT(E234, ""\d{1,2}""),"""")"),"23")</f>
        <v>23</v>
      </c>
      <c r="O234" s="14" t="b">
        <f t="shared" si="3"/>
        <v>0</v>
      </c>
    </row>
    <row r="235">
      <c r="A235" s="13" t="s">
        <v>1223</v>
      </c>
      <c r="B235" s="9" t="str">
        <f t="shared" si="1"/>
        <v>Лк.</v>
      </c>
      <c r="C235" s="11" t="str">
        <f t="shared" si="2"/>
        <v>57</v>
      </c>
      <c r="D235" s="9"/>
      <c r="E235" s="13" t="s">
        <v>1224</v>
      </c>
      <c r="F235" s="14"/>
      <c r="G235" s="15" t="s">
        <v>913</v>
      </c>
      <c r="H235" s="16" t="s">
        <v>29</v>
      </c>
      <c r="I235" s="73">
        <v>23.0</v>
      </c>
      <c r="J235" s="54"/>
      <c r="K235" s="55">
        <v>4.0</v>
      </c>
      <c r="L235" s="18">
        <f>IFNA( VLOOKUP(LEFT(E235, IFERROR(FIND(" ", E235, 1),1) - 1), lists!$A$31:$B$37, 2, FALSE),"")</f>
        <v>4</v>
      </c>
      <c r="M235" s="18" t="str">
        <f>IFERROR(__xludf.DUMMYFUNCTION("IFNA(VLOOKUP(IFNA(REGEXEXTRACT(E235, ""(Пасхи|50-ці|посту)""),""""),lists!$A$39:$B$41,2,FALSE),"""")"),"")</f>
        <v/>
      </c>
      <c r="N235" s="19" t="str">
        <f>IFERROR(__xludf.DUMMYFUNCTION("IFNA(REGEXEXTRACT(E235, ""\d{1,2}""),"""")"),"23")</f>
        <v>23</v>
      </c>
      <c r="O235" s="14" t="b">
        <f t="shared" si="3"/>
        <v>0</v>
      </c>
    </row>
    <row r="236">
      <c r="A236" s="13" t="s">
        <v>1225</v>
      </c>
      <c r="B236" s="9" t="str">
        <f t="shared" si="1"/>
        <v>Лк.</v>
      </c>
      <c r="C236" s="11" t="str">
        <f t="shared" si="2"/>
        <v>58</v>
      </c>
      <c r="D236" s="9"/>
      <c r="E236" s="13" t="s">
        <v>1226</v>
      </c>
      <c r="F236" s="14"/>
      <c r="G236" s="15" t="s">
        <v>913</v>
      </c>
      <c r="H236" s="16" t="s">
        <v>29</v>
      </c>
      <c r="I236" s="73">
        <v>23.0</v>
      </c>
      <c r="J236" s="54"/>
      <c r="K236" s="55">
        <v>5.0</v>
      </c>
      <c r="L236" s="18">
        <f>IFNA( VLOOKUP(LEFT(E236, IFERROR(FIND(" ", E236, 1),1) - 1), lists!$A$31:$B$37, 2, FALSE),"")</f>
        <v>5</v>
      </c>
      <c r="M236" s="18" t="str">
        <f>IFERROR(__xludf.DUMMYFUNCTION("IFNA(VLOOKUP(IFNA(REGEXEXTRACT(E236, ""(Пасхи|50-ці|посту)""),""""),lists!$A$39:$B$41,2,FALSE),"""")"),"")</f>
        <v/>
      </c>
      <c r="N236" s="19" t="str">
        <f>IFERROR(__xludf.DUMMYFUNCTION("IFNA(REGEXEXTRACT(E236, ""\d{1,2}""),"""")"),"23")</f>
        <v>23</v>
      </c>
      <c r="O236" s="14" t="b">
        <f t="shared" si="3"/>
        <v>0</v>
      </c>
    </row>
    <row r="237">
      <c r="A237" s="13" t="s">
        <v>1176</v>
      </c>
      <c r="B237" s="9" t="str">
        <f t="shared" si="1"/>
        <v>Лк.</v>
      </c>
      <c r="C237" s="11" t="str">
        <f t="shared" si="2"/>
        <v>36</v>
      </c>
      <c r="D237" s="9"/>
      <c r="E237" s="13" t="s">
        <v>1177</v>
      </c>
      <c r="F237" s="36"/>
      <c r="G237" s="15" t="s">
        <v>913</v>
      </c>
      <c r="H237" s="16" t="s">
        <v>29</v>
      </c>
      <c r="I237" s="73">
        <v>23.0</v>
      </c>
      <c r="J237" s="54"/>
      <c r="K237" s="55">
        <v>6.0</v>
      </c>
      <c r="L237" s="18">
        <f>IFNA( VLOOKUP(LEFT(E237, IFERROR(FIND(" ", E237, 1),1) - 1), lists!$A$31:$B$37, 2, FALSE),"")</f>
        <v>6</v>
      </c>
      <c r="M237" s="18" t="str">
        <f>IFERROR(__xludf.DUMMYFUNCTION("IFNA(VLOOKUP(IFNA(REGEXEXTRACT(E237, ""(Пасхи|50-ці|посту)""),""""),lists!$A$39:$B$41,2,FALSE),"""")"),"")</f>
        <v/>
      </c>
      <c r="N237" s="19" t="str">
        <f>IFERROR(__xludf.DUMMYFUNCTION("IFNA(REGEXEXTRACT(E237, ""\d{1,2}""),"""")"),"23")</f>
        <v>23</v>
      </c>
      <c r="O237" s="14" t="b">
        <f t="shared" si="3"/>
        <v>0</v>
      </c>
    </row>
    <row r="238">
      <c r="A238" s="13" t="s">
        <v>1180</v>
      </c>
      <c r="B238" s="9" t="str">
        <f t="shared" si="1"/>
        <v>Лк.</v>
      </c>
      <c r="C238" s="11" t="str">
        <f t="shared" si="2"/>
        <v>38</v>
      </c>
      <c r="D238" s="9"/>
      <c r="E238" s="13" t="s">
        <v>1181</v>
      </c>
      <c r="F238" s="14"/>
      <c r="G238" s="15" t="s">
        <v>913</v>
      </c>
      <c r="H238" s="16" t="s">
        <v>29</v>
      </c>
      <c r="I238" s="73">
        <v>23.0</v>
      </c>
      <c r="J238" s="54"/>
      <c r="K238" s="55">
        <v>7.0</v>
      </c>
      <c r="L238" s="18">
        <f>IFNA( VLOOKUP(LEFT(E238, IFERROR(FIND(" ", E238, 1),1) - 1), lists!$A$31:$B$37, 2, FALSE),"")</f>
        <v>7</v>
      </c>
      <c r="M238" s="18" t="str">
        <f>IFERROR(__xludf.DUMMYFUNCTION("IFNA(VLOOKUP(IFNA(REGEXEXTRACT(E238, ""(Пасхи|50-ці|посту)""),""""),lists!$A$39:$B$41,2,FALSE),"""")"),"")</f>
        <v/>
      </c>
      <c r="N238" s="19" t="str">
        <f>IFERROR(__xludf.DUMMYFUNCTION("IFNA(REGEXEXTRACT(E238, ""\d{1,2}""),"""")"),"23")</f>
        <v>23</v>
      </c>
      <c r="O238" s="14" t="b">
        <f t="shared" si="3"/>
        <v>0</v>
      </c>
    </row>
    <row r="239">
      <c r="A239" s="13" t="s">
        <v>1227</v>
      </c>
      <c r="B239" s="9" t="str">
        <f t="shared" si="1"/>
        <v>Лк.</v>
      </c>
      <c r="C239" s="11" t="str">
        <f t="shared" si="2"/>
        <v>59</v>
      </c>
      <c r="D239" s="9"/>
      <c r="E239" s="13" t="s">
        <v>1228</v>
      </c>
      <c r="F239" s="14"/>
      <c r="G239" s="15" t="s">
        <v>913</v>
      </c>
      <c r="H239" s="16" t="s">
        <v>29</v>
      </c>
      <c r="I239" s="73">
        <v>24.0</v>
      </c>
      <c r="J239" s="54"/>
      <c r="K239" s="55">
        <v>1.0</v>
      </c>
      <c r="L239" s="18">
        <f>IFNA( VLOOKUP(LEFT(E239, IFERROR(FIND(" ", E239, 1),1) - 1), lists!$A$31:$B$37, 2, FALSE),"")</f>
        <v>1</v>
      </c>
      <c r="M239" s="18" t="str">
        <f>IFERROR(__xludf.DUMMYFUNCTION("IFNA(VLOOKUP(IFNA(REGEXEXTRACT(E239, ""(Пасхи|50-ці|посту)""),""""),lists!$A$39:$B$41,2,FALSE),"""")"),"")</f>
        <v/>
      </c>
      <c r="N239" s="19" t="str">
        <f>IFERROR(__xludf.DUMMYFUNCTION("IFNA(REGEXEXTRACT(E239, ""\d{1,2}""),"""")"),"24")</f>
        <v>24</v>
      </c>
      <c r="O239" s="14" t="b">
        <f t="shared" si="3"/>
        <v>0</v>
      </c>
    </row>
    <row r="240">
      <c r="A240" s="13" t="s">
        <v>1229</v>
      </c>
      <c r="B240" s="9" t="str">
        <f t="shared" si="1"/>
        <v>Лк.</v>
      </c>
      <c r="C240" s="11" t="str">
        <f t="shared" si="2"/>
        <v>60</v>
      </c>
      <c r="D240" s="9"/>
      <c r="E240" s="13" t="s">
        <v>1230</v>
      </c>
      <c r="F240" s="14"/>
      <c r="G240" s="15" t="s">
        <v>913</v>
      </c>
      <c r="H240" s="16" t="s">
        <v>29</v>
      </c>
      <c r="I240" s="73">
        <v>24.0</v>
      </c>
      <c r="J240" s="54"/>
      <c r="K240" s="55">
        <v>2.0</v>
      </c>
      <c r="L240" s="18">
        <f>IFNA( VLOOKUP(LEFT(E240, IFERROR(FIND(" ", E240, 1),1) - 1), lists!$A$31:$B$37, 2, FALSE),"")</f>
        <v>2</v>
      </c>
      <c r="M240" s="18" t="str">
        <f>IFERROR(__xludf.DUMMYFUNCTION("IFNA(VLOOKUP(IFNA(REGEXEXTRACT(E240, ""(Пасхи|50-ці|посту)""),""""),lists!$A$39:$B$41,2,FALSE),"""")"),"")</f>
        <v/>
      </c>
      <c r="N240" s="19" t="str">
        <f>IFERROR(__xludf.DUMMYFUNCTION("IFNA(REGEXEXTRACT(E240, ""\d{1,2}""),"""")"),"24")</f>
        <v>24</v>
      </c>
      <c r="O240" s="14" t="b">
        <f t="shared" si="3"/>
        <v>0</v>
      </c>
    </row>
    <row r="241">
      <c r="A241" s="13" t="s">
        <v>1231</v>
      </c>
      <c r="B241" s="9" t="str">
        <f t="shared" si="1"/>
        <v>Лк.</v>
      </c>
      <c r="C241" s="11" t="str">
        <f t="shared" si="2"/>
        <v>61</v>
      </c>
      <c r="D241" s="9"/>
      <c r="E241" s="13" t="s">
        <v>1232</v>
      </c>
      <c r="F241" s="14"/>
      <c r="G241" s="15" t="s">
        <v>913</v>
      </c>
      <c r="H241" s="16" t="s">
        <v>29</v>
      </c>
      <c r="I241" s="73">
        <v>24.0</v>
      </c>
      <c r="J241" s="54"/>
      <c r="K241" s="55">
        <v>3.0</v>
      </c>
      <c r="L241" s="18">
        <f>IFNA( VLOOKUP(LEFT(E241, IFERROR(FIND(" ", E241, 1),1) - 1), lists!$A$31:$B$37, 2, FALSE),"")</f>
        <v>3</v>
      </c>
      <c r="M241" s="18" t="str">
        <f>IFERROR(__xludf.DUMMYFUNCTION("IFNA(VLOOKUP(IFNA(REGEXEXTRACT(E241, ""(Пасхи|50-ці|посту)""),""""),lists!$A$39:$B$41,2,FALSE),"""")"),"")</f>
        <v/>
      </c>
      <c r="N241" s="19" t="str">
        <f>IFERROR(__xludf.DUMMYFUNCTION("IFNA(REGEXEXTRACT(E241, ""\d{1,2}""),"""")"),"24")</f>
        <v>24</v>
      </c>
      <c r="O241" s="14" t="b">
        <f t="shared" si="3"/>
        <v>0</v>
      </c>
    </row>
    <row r="242">
      <c r="A242" s="13" t="s">
        <v>1233</v>
      </c>
      <c r="B242" s="9" t="str">
        <f t="shared" si="1"/>
        <v>Лк.</v>
      </c>
      <c r="C242" s="11" t="str">
        <f t="shared" si="2"/>
        <v>62</v>
      </c>
      <c r="D242" s="9"/>
      <c r="E242" s="13" t="s">
        <v>1234</v>
      </c>
      <c r="F242" s="14"/>
      <c r="G242" s="15" t="s">
        <v>913</v>
      </c>
      <c r="H242" s="16" t="s">
        <v>29</v>
      </c>
      <c r="I242" s="73">
        <v>24.0</v>
      </c>
      <c r="J242" s="54"/>
      <c r="K242" s="55">
        <v>4.0</v>
      </c>
      <c r="L242" s="18">
        <f>IFNA( VLOOKUP(LEFT(E242, IFERROR(FIND(" ", E242, 1),1) - 1), lists!$A$31:$B$37, 2, FALSE),"")</f>
        <v>4</v>
      </c>
      <c r="M242" s="18" t="str">
        <f>IFERROR(__xludf.DUMMYFUNCTION("IFNA(VLOOKUP(IFNA(REGEXEXTRACT(E242, ""(Пасхи|50-ці|посту)""),""""),lists!$A$39:$B$41,2,FALSE),"""")"),"")</f>
        <v/>
      </c>
      <c r="N242" s="19" t="str">
        <f>IFERROR(__xludf.DUMMYFUNCTION("IFNA(REGEXEXTRACT(E242, ""\d{1,2}""),"""")"),"24")</f>
        <v>24</v>
      </c>
      <c r="O242" s="14" t="b">
        <f t="shared" si="3"/>
        <v>0</v>
      </c>
    </row>
    <row r="243">
      <c r="A243" s="13" t="s">
        <v>1235</v>
      </c>
      <c r="B243" s="9" t="str">
        <f t="shared" si="1"/>
        <v>Лк.</v>
      </c>
      <c r="C243" s="11" t="str">
        <f t="shared" si="2"/>
        <v>63</v>
      </c>
      <c r="D243" s="26" t="s">
        <v>18</v>
      </c>
      <c r="E243" s="13" t="s">
        <v>1236</v>
      </c>
      <c r="F243" s="14"/>
      <c r="G243" s="15" t="s">
        <v>913</v>
      </c>
      <c r="H243" s="16" t="s">
        <v>29</v>
      </c>
      <c r="I243" s="73">
        <v>24.0</v>
      </c>
      <c r="J243" s="54"/>
      <c r="K243" s="55">
        <v>5.0</v>
      </c>
      <c r="L243" s="18">
        <f>IFNA( VLOOKUP(LEFT(E243, IFERROR(FIND(" ", E243, 1),1) - 1), lists!$A$31:$B$37, 2, FALSE),"")</f>
        <v>5</v>
      </c>
      <c r="M243" s="18" t="str">
        <f>IFERROR(__xludf.DUMMYFUNCTION("IFNA(VLOOKUP(IFNA(REGEXEXTRACT(E243, ""(Пасхи|50-ці|посту)""),""""),lists!$A$39:$B$41,2,FALSE),"""")"),"")</f>
        <v/>
      </c>
      <c r="N243" s="19" t="str">
        <f>IFERROR(__xludf.DUMMYFUNCTION("IFNA(REGEXEXTRACT(E243, ""\d{1,2}""),"""")"),"24")</f>
        <v>24</v>
      </c>
      <c r="O243" s="14" t="b">
        <f t="shared" si="3"/>
        <v>0</v>
      </c>
    </row>
    <row r="244">
      <c r="A244" s="13" t="s">
        <v>1184</v>
      </c>
      <c r="B244" s="9" t="str">
        <f t="shared" si="1"/>
        <v>Лк.</v>
      </c>
      <c r="C244" s="11" t="str">
        <f t="shared" si="2"/>
        <v>40</v>
      </c>
      <c r="D244" s="9"/>
      <c r="E244" s="13" t="s">
        <v>1754</v>
      </c>
      <c r="F244" s="14"/>
      <c r="G244" s="15" t="s">
        <v>913</v>
      </c>
      <c r="H244" s="16" t="s">
        <v>29</v>
      </c>
      <c r="I244" s="73">
        <v>24.0</v>
      </c>
      <c r="J244" s="54"/>
      <c r="K244" s="55">
        <v>6.0</v>
      </c>
      <c r="L244" s="18">
        <f>IFNA( VLOOKUP(LEFT(E244, IFERROR(FIND(" ", E244, 1),1) - 1), lists!$A$31:$B$37, 2, FALSE),"")</f>
        <v>6</v>
      </c>
      <c r="M244" s="18" t="str">
        <f>IFERROR(__xludf.DUMMYFUNCTION("IFNA(VLOOKUP(IFNA(REGEXEXTRACT(E244, ""(Пасхи|50-ці|посту)""),""""),lists!$A$39:$B$41,2,FALSE),"""")"),"")</f>
        <v/>
      </c>
      <c r="N244" s="19" t="str">
        <f>IFERROR(__xludf.DUMMYFUNCTION("IFNA(REGEXEXTRACT(E244, ""\d{1,2}""),"""")"),"24")</f>
        <v>24</v>
      </c>
      <c r="O244" s="14" t="b">
        <f t="shared" si="3"/>
        <v>0</v>
      </c>
    </row>
    <row r="245">
      <c r="A245" s="13" t="s">
        <v>1182</v>
      </c>
      <c r="B245" s="9" t="str">
        <f t="shared" si="1"/>
        <v>Лк.</v>
      </c>
      <c r="C245" s="11" t="str">
        <f t="shared" si="2"/>
        <v>39</v>
      </c>
      <c r="D245" s="9"/>
      <c r="E245" s="13" t="s">
        <v>1183</v>
      </c>
      <c r="F245" s="14"/>
      <c r="G245" s="15" t="s">
        <v>913</v>
      </c>
      <c r="H245" s="16" t="s">
        <v>29</v>
      </c>
      <c r="I245" s="73">
        <v>24.0</v>
      </c>
      <c r="J245" s="54"/>
      <c r="K245" s="55">
        <v>7.0</v>
      </c>
      <c r="L245" s="18">
        <f>IFNA( VLOOKUP(LEFT(E245, IFERROR(FIND(" ", E245, 1),1) - 1), lists!$A$31:$B$37, 2, FALSE),"")</f>
        <v>7</v>
      </c>
      <c r="M245" s="18" t="str">
        <f>IFERROR(__xludf.DUMMYFUNCTION("IFNA(VLOOKUP(IFNA(REGEXEXTRACT(E245, ""(Пасхи|50-ці|посту)""),""""),lists!$A$39:$B$41,2,FALSE),"""")"),"")</f>
        <v/>
      </c>
      <c r="N245" s="19" t="str">
        <f>IFERROR(__xludf.DUMMYFUNCTION("IFNA(REGEXEXTRACT(E245, ""\d{1,2}""),"""")"),"24")</f>
        <v>24</v>
      </c>
      <c r="O245" s="14" t="b">
        <f t="shared" si="3"/>
        <v>0</v>
      </c>
    </row>
    <row r="246">
      <c r="A246" s="13" t="s">
        <v>1241</v>
      </c>
      <c r="B246" s="9" t="str">
        <f t="shared" si="1"/>
        <v>Лк.</v>
      </c>
      <c r="C246" s="11" t="str">
        <f t="shared" si="2"/>
        <v>65</v>
      </c>
      <c r="D246" s="9"/>
      <c r="E246" s="13" t="s">
        <v>1242</v>
      </c>
      <c r="F246" s="14"/>
      <c r="G246" s="15" t="s">
        <v>913</v>
      </c>
      <c r="H246" s="16" t="s">
        <v>29</v>
      </c>
      <c r="I246" s="73">
        <v>25.0</v>
      </c>
      <c r="J246" s="54"/>
      <c r="K246" s="55">
        <v>1.0</v>
      </c>
      <c r="L246" s="18">
        <f>IFNA( VLOOKUP(LEFT(E246, IFERROR(FIND(" ", E246, 1),1) - 1), lists!$A$31:$B$37, 2, FALSE),"")</f>
        <v>1</v>
      </c>
      <c r="M246" s="18" t="str">
        <f>IFERROR(__xludf.DUMMYFUNCTION("IFNA(VLOOKUP(IFNA(REGEXEXTRACT(E246, ""(Пасхи|50-ці|посту)""),""""),lists!$A$39:$B$41,2,FALSE),"""")"),"")</f>
        <v/>
      </c>
      <c r="N246" s="19" t="str">
        <f>IFERROR(__xludf.DUMMYFUNCTION("IFNA(REGEXEXTRACT(E246, ""\d{1,2}""),"""")"),"25")</f>
        <v>25</v>
      </c>
      <c r="O246" s="14" t="b">
        <f t="shared" si="3"/>
        <v>0</v>
      </c>
    </row>
    <row r="247">
      <c r="A247" s="13" t="s">
        <v>1247</v>
      </c>
      <c r="B247" s="9" t="str">
        <f t="shared" si="1"/>
        <v>Лк.</v>
      </c>
      <c r="C247" s="11" t="str">
        <f t="shared" si="2"/>
        <v>68</v>
      </c>
      <c r="D247" s="9"/>
      <c r="E247" s="13" t="s">
        <v>1248</v>
      </c>
      <c r="F247" s="14"/>
      <c r="G247" s="15" t="s">
        <v>913</v>
      </c>
      <c r="H247" s="16" t="s">
        <v>29</v>
      </c>
      <c r="I247" s="73">
        <v>25.0</v>
      </c>
      <c r="J247" s="54"/>
      <c r="K247" s="55">
        <v>2.0</v>
      </c>
      <c r="L247" s="18">
        <f>IFNA( VLOOKUP(LEFT(E247, IFERROR(FIND(" ", E247, 1),1) - 1), lists!$A$31:$B$37, 2, FALSE),"")</f>
        <v>2</v>
      </c>
      <c r="M247" s="18" t="str">
        <f>IFERROR(__xludf.DUMMYFUNCTION("IFNA(VLOOKUP(IFNA(REGEXEXTRACT(E247, ""(Пасхи|50-ці|посту)""),""""),lists!$A$39:$B$41,2,FALSE),"""")"),"")</f>
        <v/>
      </c>
      <c r="N247" s="19" t="str">
        <f>IFERROR(__xludf.DUMMYFUNCTION("IFNA(REGEXEXTRACT(E247, ""\d{1,2}""),"""")"),"25")</f>
        <v>25</v>
      </c>
      <c r="O247" s="14" t="b">
        <f t="shared" si="3"/>
        <v>0</v>
      </c>
    </row>
    <row r="248">
      <c r="A248" s="13" t="s">
        <v>1249</v>
      </c>
      <c r="B248" s="9" t="str">
        <f t="shared" si="1"/>
        <v>Лк.</v>
      </c>
      <c r="C248" s="11" t="str">
        <f t="shared" si="2"/>
        <v>69</v>
      </c>
      <c r="D248" s="9"/>
      <c r="E248" s="13" t="s">
        <v>1250</v>
      </c>
      <c r="F248" s="14"/>
      <c r="G248" s="15" t="s">
        <v>913</v>
      </c>
      <c r="H248" s="16" t="s">
        <v>29</v>
      </c>
      <c r="I248" s="73">
        <v>25.0</v>
      </c>
      <c r="J248" s="54"/>
      <c r="K248" s="55">
        <v>3.0</v>
      </c>
      <c r="L248" s="18">
        <f>IFNA( VLOOKUP(LEFT(E248, IFERROR(FIND(" ", E248, 1),1) - 1), lists!$A$31:$B$37, 2, FALSE),"")</f>
        <v>3</v>
      </c>
      <c r="M248" s="18" t="str">
        <f>IFERROR(__xludf.DUMMYFUNCTION("IFNA(VLOOKUP(IFNA(REGEXEXTRACT(E248, ""(Пасхи|50-ці|посту)""),""""),lists!$A$39:$B$41,2,FALSE),"""")"),"")</f>
        <v/>
      </c>
      <c r="N248" s="19" t="str">
        <f>IFERROR(__xludf.DUMMYFUNCTION("IFNA(REGEXEXTRACT(E248, ""\d{1,2}""),"""")"),"25")</f>
        <v>25</v>
      </c>
      <c r="O248" s="14" t="b">
        <f t="shared" si="3"/>
        <v>0</v>
      </c>
    </row>
    <row r="249">
      <c r="A249" s="13" t="s">
        <v>1251</v>
      </c>
      <c r="B249" s="9" t="str">
        <f t="shared" si="1"/>
        <v>Лк.</v>
      </c>
      <c r="C249" s="11" t="str">
        <f t="shared" si="2"/>
        <v>70</v>
      </c>
      <c r="D249" s="9"/>
      <c r="E249" s="13" t="s">
        <v>1252</v>
      </c>
      <c r="F249" s="14"/>
      <c r="G249" s="15" t="s">
        <v>913</v>
      </c>
      <c r="H249" s="16" t="s">
        <v>29</v>
      </c>
      <c r="I249" s="73">
        <v>25.0</v>
      </c>
      <c r="J249" s="54"/>
      <c r="K249" s="55">
        <v>4.0</v>
      </c>
      <c r="L249" s="18">
        <f>IFNA( VLOOKUP(LEFT(E249, IFERROR(FIND(" ", E249, 1),1) - 1), lists!$A$31:$B$37, 2, FALSE),"")</f>
        <v>4</v>
      </c>
      <c r="M249" s="18" t="str">
        <f>IFERROR(__xludf.DUMMYFUNCTION("IFNA(VLOOKUP(IFNA(REGEXEXTRACT(E249, ""(Пасхи|50-ці|посту)""),""""),lists!$A$39:$B$41,2,FALSE),"""")"),"")</f>
        <v/>
      </c>
      <c r="N249" s="19" t="str">
        <f>IFERROR(__xludf.DUMMYFUNCTION("IFNA(REGEXEXTRACT(E249, ""\d{1,2}""),"""")"),"25")</f>
        <v>25</v>
      </c>
      <c r="O249" s="14" t="b">
        <f t="shared" si="3"/>
        <v>0</v>
      </c>
    </row>
    <row r="250">
      <c r="A250" s="13" t="s">
        <v>1257</v>
      </c>
      <c r="B250" s="9" t="str">
        <f t="shared" si="1"/>
        <v>Лк.</v>
      </c>
      <c r="C250" s="11" t="str">
        <f t="shared" si="2"/>
        <v>73</v>
      </c>
      <c r="D250" s="9"/>
      <c r="E250" s="13" t="s">
        <v>1258</v>
      </c>
      <c r="F250" s="14"/>
      <c r="G250" s="15" t="s">
        <v>913</v>
      </c>
      <c r="H250" s="16" t="s">
        <v>29</v>
      </c>
      <c r="I250" s="73">
        <v>25.0</v>
      </c>
      <c r="J250" s="54"/>
      <c r="K250" s="55">
        <v>5.0</v>
      </c>
      <c r="L250" s="18">
        <f>IFNA( VLOOKUP(LEFT(E250, IFERROR(FIND(" ", E250, 1),1) - 1), lists!$A$31:$B$37, 2, FALSE),"")</f>
        <v>5</v>
      </c>
      <c r="M250" s="18" t="str">
        <f>IFERROR(__xludf.DUMMYFUNCTION("IFNA(VLOOKUP(IFNA(REGEXEXTRACT(E250, ""(Пасхи|50-ці|посту)""),""""),lists!$A$39:$B$41,2,FALSE),"""")"),"")</f>
        <v/>
      </c>
      <c r="N250" s="19" t="str">
        <f>IFERROR(__xludf.DUMMYFUNCTION("IFNA(REGEXEXTRACT(E250, ""\d{1,2}""),"""")"),"25")</f>
        <v>25</v>
      </c>
      <c r="O250" s="14" t="b">
        <f t="shared" si="3"/>
        <v>0</v>
      </c>
    </row>
    <row r="251">
      <c r="A251" s="13" t="s">
        <v>1197</v>
      </c>
      <c r="B251" s="9" t="str">
        <f t="shared" si="1"/>
        <v>Лк.</v>
      </c>
      <c r="C251" s="11" t="str">
        <f t="shared" si="2"/>
        <v>46</v>
      </c>
      <c r="D251" s="9"/>
      <c r="E251" s="13" t="s">
        <v>1198</v>
      </c>
      <c r="F251" s="14"/>
      <c r="G251" s="15" t="s">
        <v>913</v>
      </c>
      <c r="H251" s="16" t="s">
        <v>29</v>
      </c>
      <c r="I251" s="73">
        <v>25.0</v>
      </c>
      <c r="J251" s="54"/>
      <c r="K251" s="55">
        <v>6.0</v>
      </c>
      <c r="L251" s="18">
        <f>IFNA( VLOOKUP(LEFT(E251, IFERROR(FIND(" ", E251, 1),1) - 1), lists!$A$31:$B$37, 2, FALSE),"")</f>
        <v>6</v>
      </c>
      <c r="M251" s="18" t="str">
        <f>IFERROR(__xludf.DUMMYFUNCTION("IFNA(VLOOKUP(IFNA(REGEXEXTRACT(E251, ""(Пасхи|50-ці|посту)""),""""),lists!$A$39:$B$41,2,FALSE),"""")"),"")</f>
        <v/>
      </c>
      <c r="N251" s="19" t="str">
        <f>IFERROR(__xludf.DUMMYFUNCTION("IFNA(REGEXEXTRACT(E251, ""\d{1,2}""),"""")"),"25")</f>
        <v>25</v>
      </c>
      <c r="O251" s="14" t="b">
        <f t="shared" si="3"/>
        <v>0</v>
      </c>
    </row>
    <row r="252">
      <c r="A252" s="13" t="s">
        <v>1215</v>
      </c>
      <c r="B252" s="9" t="str">
        <f t="shared" si="1"/>
        <v>Лк.</v>
      </c>
      <c r="C252" s="11" t="str">
        <f t="shared" si="2"/>
        <v>53</v>
      </c>
      <c r="D252" s="9"/>
      <c r="E252" s="13" t="s">
        <v>1216</v>
      </c>
      <c r="F252" s="14"/>
      <c r="G252" s="15" t="s">
        <v>913</v>
      </c>
      <c r="H252" s="16" t="s">
        <v>29</v>
      </c>
      <c r="I252" s="73">
        <v>25.0</v>
      </c>
      <c r="J252" s="54"/>
      <c r="K252" s="55">
        <v>7.0</v>
      </c>
      <c r="L252" s="18">
        <f>IFNA( VLOOKUP(LEFT(E252, IFERROR(FIND(" ", E252, 1),1) - 1), lists!$A$31:$B$37, 2, FALSE),"")</f>
        <v>7</v>
      </c>
      <c r="M252" s="18" t="str">
        <f>IFERROR(__xludf.DUMMYFUNCTION("IFNA(VLOOKUP(IFNA(REGEXEXTRACT(E252, ""(Пасхи|50-ці|посту)""),""""),lists!$A$39:$B$41,2,FALSE),"""")"),"")</f>
        <v/>
      </c>
      <c r="N252" s="19" t="str">
        <f>IFERROR(__xludf.DUMMYFUNCTION("IFNA(REGEXEXTRACT(E252, ""\d{1,2}""),"""")"),"25")</f>
        <v>25</v>
      </c>
      <c r="O252" s="14" t="b">
        <f t="shared" si="3"/>
        <v>0</v>
      </c>
    </row>
    <row r="253">
      <c r="A253" s="13" t="s">
        <v>1261</v>
      </c>
      <c r="B253" s="9" t="str">
        <f t="shared" si="1"/>
        <v>Лк.</v>
      </c>
      <c r="C253" s="11" t="str">
        <f t="shared" si="2"/>
        <v>75</v>
      </c>
      <c r="D253" s="9"/>
      <c r="E253" s="13" t="s">
        <v>1262</v>
      </c>
      <c r="F253" s="14"/>
      <c r="G253" s="15" t="s">
        <v>913</v>
      </c>
      <c r="H253" s="16" t="s">
        <v>29</v>
      </c>
      <c r="I253" s="73">
        <v>26.0</v>
      </c>
      <c r="J253" s="54"/>
      <c r="K253" s="55">
        <v>1.0</v>
      </c>
      <c r="L253" s="18">
        <f>IFNA( VLOOKUP(LEFT(E253, IFERROR(FIND(" ", E253, 1),1) - 1), lists!$A$31:$B$37, 2, FALSE),"")</f>
        <v>1</v>
      </c>
      <c r="M253" s="18" t="str">
        <f>IFERROR(__xludf.DUMMYFUNCTION("IFNA(VLOOKUP(IFNA(REGEXEXTRACT(E253, ""(Пасхи|50-ці|посту)""),""""),lists!$A$39:$B$41,2,FALSE),"""")"),"")</f>
        <v/>
      </c>
      <c r="N253" s="19" t="str">
        <f>IFERROR(__xludf.DUMMYFUNCTION("IFNA(REGEXEXTRACT(E253, ""\d{1,2}""),"""")"),"26")</f>
        <v>26</v>
      </c>
      <c r="O253" s="14" t="b">
        <f t="shared" si="3"/>
        <v>0</v>
      </c>
    </row>
    <row r="254">
      <c r="A254" s="13" t="s">
        <v>1265</v>
      </c>
      <c r="B254" s="9" t="str">
        <f t="shared" si="1"/>
        <v>Лк.</v>
      </c>
      <c r="C254" s="11" t="str">
        <f t="shared" si="2"/>
        <v>77</v>
      </c>
      <c r="D254" s="9"/>
      <c r="E254" s="13" t="s">
        <v>1266</v>
      </c>
      <c r="F254" s="14"/>
      <c r="G254" s="15" t="s">
        <v>913</v>
      </c>
      <c r="H254" s="16" t="s">
        <v>29</v>
      </c>
      <c r="I254" s="73">
        <v>26.0</v>
      </c>
      <c r="J254" s="54"/>
      <c r="K254" s="55">
        <v>2.0</v>
      </c>
      <c r="L254" s="18">
        <f>IFNA( VLOOKUP(LEFT(E254, IFERROR(FIND(" ", E254, 1),1) - 1), lists!$A$31:$B$37, 2, FALSE),"")</f>
        <v>2</v>
      </c>
      <c r="M254" s="18" t="str">
        <f>IFERROR(__xludf.DUMMYFUNCTION("IFNA(VLOOKUP(IFNA(REGEXEXTRACT(E254, ""(Пасхи|50-ці|посту)""),""""),lists!$A$39:$B$41,2,FALSE),"""")"),"")</f>
        <v/>
      </c>
      <c r="N254" s="19" t="str">
        <f>IFERROR(__xludf.DUMMYFUNCTION("IFNA(REGEXEXTRACT(E254, ""\d{1,2}""),"""")"),"26")</f>
        <v>26</v>
      </c>
      <c r="O254" s="14" t="b">
        <f t="shared" si="3"/>
        <v>0</v>
      </c>
    </row>
    <row r="255">
      <c r="A255" s="13" t="s">
        <v>1267</v>
      </c>
      <c r="B255" s="9" t="str">
        <f t="shared" si="1"/>
        <v>Лк.</v>
      </c>
      <c r="C255" s="11" t="str">
        <f t="shared" si="2"/>
        <v>78</v>
      </c>
      <c r="D255" s="9"/>
      <c r="E255" s="13" t="s">
        <v>1268</v>
      </c>
      <c r="F255" s="14"/>
      <c r="G255" s="15" t="s">
        <v>913</v>
      </c>
      <c r="H255" s="16" t="s">
        <v>29</v>
      </c>
      <c r="I255" s="73">
        <v>26.0</v>
      </c>
      <c r="J255" s="54"/>
      <c r="K255" s="55">
        <v>3.0</v>
      </c>
      <c r="L255" s="18">
        <f>IFNA( VLOOKUP(LEFT(E255, IFERROR(FIND(" ", E255, 1),1) - 1), lists!$A$31:$B$37, 2, FALSE),"")</f>
        <v>3</v>
      </c>
      <c r="M255" s="18" t="str">
        <f>IFERROR(__xludf.DUMMYFUNCTION("IFNA(VLOOKUP(IFNA(REGEXEXTRACT(E255, ""(Пасхи|50-ці|посту)""),""""),lists!$A$39:$B$41,2,FALSE),"""")"),"")</f>
        <v/>
      </c>
      <c r="N255" s="19" t="str">
        <f>IFERROR(__xludf.DUMMYFUNCTION("IFNA(REGEXEXTRACT(E255, ""\d{1,2}""),"""")"),"26")</f>
        <v>26</v>
      </c>
      <c r="O255" s="14" t="b">
        <f t="shared" si="3"/>
        <v>0</v>
      </c>
    </row>
    <row r="256">
      <c r="A256" s="13" t="s">
        <v>1271</v>
      </c>
      <c r="B256" s="9" t="str">
        <f t="shared" si="1"/>
        <v>Лк.</v>
      </c>
      <c r="C256" s="11" t="str">
        <f t="shared" si="2"/>
        <v>80</v>
      </c>
      <c r="D256" s="9"/>
      <c r="E256" s="13" t="s">
        <v>1272</v>
      </c>
      <c r="F256" s="14"/>
      <c r="G256" s="15" t="s">
        <v>913</v>
      </c>
      <c r="H256" s="16" t="s">
        <v>29</v>
      </c>
      <c r="I256" s="73">
        <v>26.0</v>
      </c>
      <c r="J256" s="54"/>
      <c r="K256" s="55">
        <v>4.0</v>
      </c>
      <c r="L256" s="18">
        <f>IFNA( VLOOKUP(LEFT(E256, IFERROR(FIND(" ", E256, 1),1) - 1), lists!$A$31:$B$37, 2, FALSE),"")</f>
        <v>4</v>
      </c>
      <c r="M256" s="18" t="str">
        <f>IFERROR(__xludf.DUMMYFUNCTION("IFNA(VLOOKUP(IFNA(REGEXEXTRACT(E256, ""(Пасхи|50-ці|посту)""),""""),lists!$A$39:$B$41,2,FALSE),"""")"),"")</f>
        <v/>
      </c>
      <c r="N256" s="19" t="str">
        <f>IFERROR(__xludf.DUMMYFUNCTION("IFNA(REGEXEXTRACT(E256, ""\d{1,2}""),"""")"),"26")</f>
        <v>26</v>
      </c>
      <c r="O256" s="14" t="b">
        <f t="shared" si="3"/>
        <v>0</v>
      </c>
    </row>
    <row r="257">
      <c r="A257" s="13" t="s">
        <v>1275</v>
      </c>
      <c r="B257" s="9" t="str">
        <f t="shared" si="1"/>
        <v>Лк.</v>
      </c>
      <c r="C257" s="11" t="str">
        <f t="shared" si="2"/>
        <v>82</v>
      </c>
      <c r="D257" s="9"/>
      <c r="E257" s="13" t="s">
        <v>1276</v>
      </c>
      <c r="F257" s="14"/>
      <c r="G257" s="15" t="s">
        <v>913</v>
      </c>
      <c r="H257" s="16" t="s">
        <v>29</v>
      </c>
      <c r="I257" s="73">
        <v>26.0</v>
      </c>
      <c r="J257" s="54"/>
      <c r="K257" s="55">
        <v>5.0</v>
      </c>
      <c r="L257" s="18">
        <f>IFNA( VLOOKUP(LEFT(E257, IFERROR(FIND(" ", E257, 1),1) - 1), lists!$A$31:$B$37, 2, FALSE),"")</f>
        <v>5</v>
      </c>
      <c r="M257" s="18" t="str">
        <f>IFERROR(__xludf.DUMMYFUNCTION("IFNA(VLOOKUP(IFNA(REGEXEXTRACT(E257, ""(Пасхи|50-ці|посту)""),""""),lists!$A$39:$B$41,2,FALSE),"""")"),"")</f>
        <v/>
      </c>
      <c r="N257" s="19" t="str">
        <f>IFERROR(__xludf.DUMMYFUNCTION("IFNA(REGEXEXTRACT(E257, ""\d{1,2}""),"""")"),"26")</f>
        <v>26</v>
      </c>
      <c r="O257" s="14" t="b">
        <f t="shared" si="3"/>
        <v>0</v>
      </c>
    </row>
    <row r="258">
      <c r="A258" s="13" t="s">
        <v>1205</v>
      </c>
      <c r="B258" s="9" t="str">
        <f t="shared" si="1"/>
        <v>Лк.</v>
      </c>
      <c r="C258" s="11" t="str">
        <f t="shared" si="2"/>
        <v>49</v>
      </c>
      <c r="D258" s="9"/>
      <c r="E258" s="13" t="s">
        <v>1206</v>
      </c>
      <c r="F258" s="14"/>
      <c r="G258" s="15" t="s">
        <v>913</v>
      </c>
      <c r="H258" s="16" t="s">
        <v>29</v>
      </c>
      <c r="I258" s="73">
        <v>26.0</v>
      </c>
      <c r="J258" s="54"/>
      <c r="K258" s="55">
        <v>6.0</v>
      </c>
      <c r="L258" s="18">
        <f>IFNA( VLOOKUP(LEFT(E258, IFERROR(FIND(" ", E258, 1),1) - 1), lists!$A$31:$B$37, 2, FALSE),"")</f>
        <v>6</v>
      </c>
      <c r="M258" s="18" t="str">
        <f>IFERROR(__xludf.DUMMYFUNCTION("IFNA(VLOOKUP(IFNA(REGEXEXTRACT(E258, ""(Пасхи|50-ці|посту)""),""""),lists!$A$39:$B$41,2,FALSE),"""")"),"")</f>
        <v/>
      </c>
      <c r="N258" s="19" t="str">
        <f>IFERROR(__xludf.DUMMYFUNCTION("IFNA(REGEXEXTRACT(E258, ""\d{1,2}""),"""")"),"26")</f>
        <v>26</v>
      </c>
      <c r="O258" s="14" t="b">
        <f t="shared" si="3"/>
        <v>0</v>
      </c>
    </row>
    <row r="259">
      <c r="A259" s="13" t="s">
        <v>1243</v>
      </c>
      <c r="B259" s="9" t="str">
        <f t="shared" si="1"/>
        <v>Лк.</v>
      </c>
      <c r="C259" s="11" t="str">
        <f t="shared" si="2"/>
        <v>66</v>
      </c>
      <c r="D259" s="9"/>
      <c r="E259" s="13" t="s">
        <v>1244</v>
      </c>
      <c r="F259" s="14"/>
      <c r="G259" s="15" t="s">
        <v>913</v>
      </c>
      <c r="H259" s="16" t="s">
        <v>29</v>
      </c>
      <c r="I259" s="73">
        <v>26.0</v>
      </c>
      <c r="J259" s="54"/>
      <c r="K259" s="55">
        <v>7.0</v>
      </c>
      <c r="L259" s="18">
        <f>IFNA( VLOOKUP(LEFT(E259, IFERROR(FIND(" ", E259, 1),1) - 1), lists!$A$31:$B$37, 2, FALSE),"")</f>
        <v>7</v>
      </c>
      <c r="M259" s="18" t="str">
        <f>IFERROR(__xludf.DUMMYFUNCTION("IFNA(VLOOKUP(IFNA(REGEXEXTRACT(E259, ""(Пасхи|50-ці|посту)""),""""),lists!$A$39:$B$41,2,FALSE),"""")"),"")</f>
        <v/>
      </c>
      <c r="N259" s="19" t="str">
        <f>IFERROR(__xludf.DUMMYFUNCTION("IFNA(REGEXEXTRACT(E259, ""\d{1,2}""),"""")"),"26")</f>
        <v>26</v>
      </c>
      <c r="O259" s="14" t="b">
        <f t="shared" si="3"/>
        <v>0</v>
      </c>
    </row>
    <row r="260">
      <c r="A260" s="13" t="s">
        <v>1283</v>
      </c>
      <c r="B260" s="9" t="str">
        <f t="shared" si="1"/>
        <v>Лк.</v>
      </c>
      <c r="C260" s="11" t="str">
        <f t="shared" si="2"/>
        <v>86</v>
      </c>
      <c r="D260" s="9"/>
      <c r="E260" s="13" t="s">
        <v>1284</v>
      </c>
      <c r="F260" s="14"/>
      <c r="G260" s="15" t="s">
        <v>913</v>
      </c>
      <c r="H260" s="16" t="s">
        <v>29</v>
      </c>
      <c r="I260" s="73">
        <v>27.0</v>
      </c>
      <c r="J260" s="54"/>
      <c r="K260" s="55">
        <v>1.0</v>
      </c>
      <c r="L260" s="18">
        <f>IFNA( VLOOKUP(LEFT(E260, IFERROR(FIND(" ", E260, 1),1) - 1), lists!$A$31:$B$37, 2, FALSE),"")</f>
        <v>1</v>
      </c>
      <c r="M260" s="18" t="str">
        <f>IFERROR(__xludf.DUMMYFUNCTION("IFNA(VLOOKUP(IFNA(REGEXEXTRACT(E260, ""(Пасхи|50-ці|посту)""),""""),lists!$A$39:$B$41,2,FALSE),"""")"),"")</f>
        <v/>
      </c>
      <c r="N260" s="19" t="str">
        <f>IFERROR(__xludf.DUMMYFUNCTION("IFNA(REGEXEXTRACT(E260, ""\d{1,2}""),"""")"),"27")</f>
        <v>27</v>
      </c>
      <c r="O260" s="14" t="b">
        <f t="shared" si="3"/>
        <v>0</v>
      </c>
    </row>
    <row r="261">
      <c r="A261" s="13" t="s">
        <v>1285</v>
      </c>
      <c r="B261" s="9" t="str">
        <f t="shared" si="1"/>
        <v>Лк.</v>
      </c>
      <c r="C261" s="11" t="str">
        <f t="shared" si="2"/>
        <v>87</v>
      </c>
      <c r="D261" s="9"/>
      <c r="E261" s="13" t="s">
        <v>1286</v>
      </c>
      <c r="F261" s="14"/>
      <c r="G261" s="15" t="s">
        <v>913</v>
      </c>
      <c r="H261" s="16" t="s">
        <v>29</v>
      </c>
      <c r="I261" s="73">
        <v>27.0</v>
      </c>
      <c r="J261" s="54"/>
      <c r="K261" s="55">
        <v>2.0</v>
      </c>
      <c r="L261" s="18">
        <f>IFNA( VLOOKUP(LEFT(E261, IFERROR(FIND(" ", E261, 1),1) - 1), lists!$A$31:$B$37, 2, FALSE),"")</f>
        <v>2</v>
      </c>
      <c r="M261" s="18" t="str">
        <f>IFERROR(__xludf.DUMMYFUNCTION("IFNA(VLOOKUP(IFNA(REGEXEXTRACT(E261, ""(Пасхи|50-ці|посту)""),""""),lists!$A$39:$B$41,2,FALSE),"""")"),"")</f>
        <v/>
      </c>
      <c r="N261" s="19" t="str">
        <f>IFERROR(__xludf.DUMMYFUNCTION("IFNA(REGEXEXTRACT(E261, ""\d{1,2}""),"""")"),"27")</f>
        <v>27</v>
      </c>
      <c r="O261" s="14" t="b">
        <f t="shared" si="3"/>
        <v>0</v>
      </c>
    </row>
    <row r="262">
      <c r="A262" s="13" t="s">
        <v>1290</v>
      </c>
      <c r="B262" s="9" t="str">
        <f t="shared" si="1"/>
        <v>Лк.</v>
      </c>
      <c r="C262" s="11" t="str">
        <f t="shared" si="2"/>
        <v>90</v>
      </c>
      <c r="D262" s="9"/>
      <c r="E262" s="13" t="s">
        <v>1291</v>
      </c>
      <c r="F262" s="14"/>
      <c r="G262" s="15" t="s">
        <v>913</v>
      </c>
      <c r="H262" s="16" t="s">
        <v>29</v>
      </c>
      <c r="I262" s="73">
        <v>27.0</v>
      </c>
      <c r="J262" s="54"/>
      <c r="K262" s="55">
        <v>3.0</v>
      </c>
      <c r="L262" s="18">
        <f>IFNA( VLOOKUP(LEFT(E262, IFERROR(FIND(" ", E262, 1),1) - 1), lists!$A$31:$B$37, 2, FALSE),"")</f>
        <v>3</v>
      </c>
      <c r="M262" s="18" t="str">
        <f>IFERROR(__xludf.DUMMYFUNCTION("IFNA(VLOOKUP(IFNA(REGEXEXTRACT(E262, ""(Пасхи|50-ці|посту)""),""""),lists!$A$39:$B$41,2,FALSE),"""")"),"")</f>
        <v/>
      </c>
      <c r="N262" s="19" t="str">
        <f>IFERROR(__xludf.DUMMYFUNCTION("IFNA(REGEXEXTRACT(E262, ""\d{1,2}""),"""")"),"27")</f>
        <v>27</v>
      </c>
      <c r="O262" s="14" t="b">
        <f t="shared" si="3"/>
        <v>0</v>
      </c>
    </row>
    <row r="263">
      <c r="A263" s="13" t="s">
        <v>1294</v>
      </c>
      <c r="B263" s="9" t="str">
        <f t="shared" si="1"/>
        <v>Лк.</v>
      </c>
      <c r="C263" s="11" t="str">
        <f t="shared" si="2"/>
        <v>92</v>
      </c>
      <c r="D263" s="9"/>
      <c r="E263" s="13" t="s">
        <v>1295</v>
      </c>
      <c r="F263" s="14"/>
      <c r="G263" s="15" t="s">
        <v>913</v>
      </c>
      <c r="H263" s="16" t="s">
        <v>29</v>
      </c>
      <c r="I263" s="73">
        <v>27.0</v>
      </c>
      <c r="J263" s="54"/>
      <c r="K263" s="55">
        <v>4.0</v>
      </c>
      <c r="L263" s="18">
        <f>IFNA( VLOOKUP(LEFT(E263, IFERROR(FIND(" ", E263, 1),1) - 1), lists!$A$31:$B$37, 2, FALSE),"")</f>
        <v>4</v>
      </c>
      <c r="M263" s="18" t="str">
        <f>IFERROR(__xludf.DUMMYFUNCTION("IFNA(VLOOKUP(IFNA(REGEXEXTRACT(E263, ""(Пасхи|50-ці|посту)""),""""),lists!$A$39:$B$41,2,FALSE),"""")"),"")</f>
        <v/>
      </c>
      <c r="N263" s="19" t="str">
        <f>IFERROR(__xludf.DUMMYFUNCTION("IFNA(REGEXEXTRACT(E263, ""\d{1,2}""),"""")"),"27")</f>
        <v>27</v>
      </c>
      <c r="O263" s="14" t="b">
        <f t="shared" si="3"/>
        <v>0</v>
      </c>
    </row>
    <row r="264">
      <c r="A264" s="13" t="s">
        <v>1300</v>
      </c>
      <c r="B264" s="9" t="str">
        <f t="shared" si="1"/>
        <v>Лк.</v>
      </c>
      <c r="C264" s="11" t="str">
        <f t="shared" si="2"/>
        <v>95</v>
      </c>
      <c r="D264" s="9"/>
      <c r="E264" s="13" t="s">
        <v>1301</v>
      </c>
      <c r="F264" s="14"/>
      <c r="G264" s="15" t="s">
        <v>913</v>
      </c>
      <c r="H264" s="16" t="s">
        <v>29</v>
      </c>
      <c r="I264" s="73">
        <v>27.0</v>
      </c>
      <c r="J264" s="54"/>
      <c r="K264" s="55">
        <v>5.0</v>
      </c>
      <c r="L264" s="18">
        <f>IFNA( VLOOKUP(LEFT(E264, IFERROR(FIND(" ", E264, 1),1) - 1), lists!$A$31:$B$37, 2, FALSE),"")</f>
        <v>5</v>
      </c>
      <c r="M264" s="18" t="str">
        <f>IFERROR(__xludf.DUMMYFUNCTION("IFNA(VLOOKUP(IFNA(REGEXEXTRACT(E264, ""(Пасхи|50-ці|посту)""),""""),lists!$A$39:$B$41,2,FALSE),"""")"),"")</f>
        <v/>
      </c>
      <c r="N264" s="19" t="str">
        <f>IFERROR(__xludf.DUMMYFUNCTION("IFNA(REGEXEXTRACT(E264, ""\d{1,2}""),"""")"),"27")</f>
        <v>27</v>
      </c>
      <c r="O264" s="14" t="b">
        <f t="shared" si="3"/>
        <v>0</v>
      </c>
    </row>
    <row r="265">
      <c r="A265" s="13" t="s">
        <v>1209</v>
      </c>
      <c r="B265" s="9" t="str">
        <f t="shared" si="1"/>
        <v>Лк.</v>
      </c>
      <c r="C265" s="11" t="str">
        <f t="shared" si="2"/>
        <v>51</v>
      </c>
      <c r="D265" s="89" t="s">
        <v>18</v>
      </c>
      <c r="E265" s="13" t="s">
        <v>1210</v>
      </c>
      <c r="F265" s="14"/>
      <c r="G265" s="15" t="s">
        <v>913</v>
      </c>
      <c r="H265" s="16" t="s">
        <v>29</v>
      </c>
      <c r="I265" s="73">
        <v>27.0</v>
      </c>
      <c r="J265" s="54"/>
      <c r="K265" s="55">
        <v>6.0</v>
      </c>
      <c r="L265" s="18">
        <f>IFNA( VLOOKUP(LEFT(E265, IFERROR(FIND(" ", E265, 1),1) - 1), lists!$A$31:$B$37, 2, FALSE),"")</f>
        <v>6</v>
      </c>
      <c r="M265" s="18" t="str">
        <f>IFERROR(__xludf.DUMMYFUNCTION("IFNA(VLOOKUP(IFNA(REGEXEXTRACT(E265, ""(Пасхи|50-ці|посту)""),""""),lists!$A$39:$B$41,2,FALSE),"""")"),"")</f>
        <v/>
      </c>
      <c r="N265" s="19" t="str">
        <f>IFERROR(__xludf.DUMMYFUNCTION("IFNA(REGEXEXTRACT(E265, ""\d{1,2}""),"""")"),"27")</f>
        <v>27</v>
      </c>
      <c r="O265" s="14" t="b">
        <f t="shared" si="3"/>
        <v>0</v>
      </c>
    </row>
    <row r="266">
      <c r="A266" s="13" t="s">
        <v>1253</v>
      </c>
      <c r="B266" s="9" t="str">
        <f t="shared" si="1"/>
        <v>Лк.</v>
      </c>
      <c r="C266" s="11" t="str">
        <f t="shared" si="2"/>
        <v>71</v>
      </c>
      <c r="D266" s="9"/>
      <c r="E266" s="13" t="s">
        <v>1254</v>
      </c>
      <c r="F266" s="14"/>
      <c r="G266" s="15" t="s">
        <v>913</v>
      </c>
      <c r="H266" s="16" t="s">
        <v>29</v>
      </c>
      <c r="I266" s="73">
        <v>27.0</v>
      </c>
      <c r="J266" s="54"/>
      <c r="K266" s="55">
        <v>7.0</v>
      </c>
      <c r="L266" s="18">
        <f>IFNA( VLOOKUP(LEFT(E266, IFERROR(FIND(" ", E266, 1),1) - 1), lists!$A$31:$B$37, 2, FALSE),"")</f>
        <v>7</v>
      </c>
      <c r="M266" s="18" t="str">
        <f>IFERROR(__xludf.DUMMYFUNCTION("IFNA(VLOOKUP(IFNA(REGEXEXTRACT(E266, ""(Пасхи|50-ці|посту)""),""""),lists!$A$39:$B$41,2,FALSE),"""")"),"")</f>
        <v/>
      </c>
      <c r="N266" s="19" t="str">
        <f>IFERROR(__xludf.DUMMYFUNCTION("IFNA(REGEXEXTRACT(E266, ""\d{1,2}""),"""")"),"27")</f>
        <v>27</v>
      </c>
      <c r="O266" s="14" t="b">
        <f t="shared" si="3"/>
        <v>0</v>
      </c>
    </row>
    <row r="267">
      <c r="A267" s="13" t="s">
        <v>1304</v>
      </c>
      <c r="B267" s="9" t="str">
        <f t="shared" si="1"/>
        <v>Лк.</v>
      </c>
      <c r="C267" s="11" t="str">
        <f t="shared" si="2"/>
        <v>97</v>
      </c>
      <c r="D267" s="9"/>
      <c r="E267" s="13" t="s">
        <v>1305</v>
      </c>
      <c r="F267" s="14"/>
      <c r="G267" s="15" t="s">
        <v>913</v>
      </c>
      <c r="H267" s="16" t="s">
        <v>29</v>
      </c>
      <c r="I267" s="73">
        <v>28.0</v>
      </c>
      <c r="J267" s="54"/>
      <c r="K267" s="55">
        <v>1.0</v>
      </c>
      <c r="L267" s="18">
        <f>IFNA( VLOOKUP(LEFT(E267, IFERROR(FIND(" ", E267, 1),1) - 1), lists!$A$31:$B$37, 2, FALSE),"")</f>
        <v>1</v>
      </c>
      <c r="M267" s="18" t="str">
        <f>IFERROR(__xludf.DUMMYFUNCTION("IFNA(VLOOKUP(IFNA(REGEXEXTRACT(E267, ""(Пасхи|50-ці|посту)""),""""),lists!$A$39:$B$41,2,FALSE),"""")"),"")</f>
        <v/>
      </c>
      <c r="N267" s="19" t="str">
        <f>IFERROR(__xludf.DUMMYFUNCTION("IFNA(REGEXEXTRACT(E267, ""\d{1,2}""),"""")"),"28")</f>
        <v>28</v>
      </c>
      <c r="O267" s="14" t="b">
        <f t="shared" si="3"/>
        <v>0</v>
      </c>
    </row>
    <row r="268">
      <c r="A268" s="13" t="s">
        <v>1306</v>
      </c>
      <c r="B268" s="9" t="str">
        <f t="shared" si="1"/>
        <v>Лк.</v>
      </c>
      <c r="C268" s="11" t="str">
        <f t="shared" si="2"/>
        <v>98</v>
      </c>
      <c r="D268" s="9"/>
      <c r="E268" s="13" t="s">
        <v>1307</v>
      </c>
      <c r="F268" s="14"/>
      <c r="G268" s="15" t="s">
        <v>913</v>
      </c>
      <c r="H268" s="16" t="s">
        <v>29</v>
      </c>
      <c r="I268" s="73">
        <v>28.0</v>
      </c>
      <c r="J268" s="54"/>
      <c r="K268" s="55">
        <v>2.0</v>
      </c>
      <c r="L268" s="18">
        <f>IFNA( VLOOKUP(LEFT(E268, IFERROR(FIND(" ", E268, 1),1) - 1), lists!$A$31:$B$37, 2, FALSE),"")</f>
        <v>2</v>
      </c>
      <c r="M268" s="18" t="str">
        <f>IFERROR(__xludf.DUMMYFUNCTION("IFNA(VLOOKUP(IFNA(REGEXEXTRACT(E268, ""(Пасхи|50-ці|посту)""),""""),lists!$A$39:$B$41,2,FALSE),"""")"),"")</f>
        <v/>
      </c>
      <c r="N268" s="19" t="str">
        <f>IFERROR(__xludf.DUMMYFUNCTION("IFNA(REGEXEXTRACT(E268, ""\d{1,2}""),"""")"),"28")</f>
        <v>28</v>
      </c>
      <c r="O268" s="14" t="b">
        <f t="shared" si="3"/>
        <v>0</v>
      </c>
    </row>
    <row r="269">
      <c r="A269" s="13" t="s">
        <v>1308</v>
      </c>
      <c r="B269" s="9" t="str">
        <f t="shared" si="1"/>
        <v>Лк.</v>
      </c>
      <c r="C269" s="11" t="str">
        <f t="shared" si="2"/>
        <v>99</v>
      </c>
      <c r="D269" s="9"/>
      <c r="E269" s="13" t="s">
        <v>1309</v>
      </c>
      <c r="F269" s="14"/>
      <c r="G269" s="15" t="s">
        <v>913</v>
      </c>
      <c r="H269" s="16" t="s">
        <v>29</v>
      </c>
      <c r="I269" s="73">
        <v>28.0</v>
      </c>
      <c r="J269" s="54"/>
      <c r="K269" s="55">
        <v>3.0</v>
      </c>
      <c r="L269" s="18">
        <f>IFNA( VLOOKUP(LEFT(E269, IFERROR(FIND(" ", E269, 1),1) - 1), lists!$A$31:$B$37, 2, FALSE),"")</f>
        <v>3</v>
      </c>
      <c r="M269" s="18" t="str">
        <f>IFERROR(__xludf.DUMMYFUNCTION("IFNA(VLOOKUP(IFNA(REGEXEXTRACT(E269, ""(Пасхи|50-ці|посту)""),""""),lists!$A$39:$B$41,2,FALSE),"""")"),"")</f>
        <v/>
      </c>
      <c r="N269" s="19" t="str">
        <f>IFERROR(__xludf.DUMMYFUNCTION("IFNA(REGEXEXTRACT(E269, ""\d{1,2}""),"""")"),"28")</f>
        <v>28</v>
      </c>
      <c r="O269" s="14" t="b">
        <f t="shared" si="3"/>
        <v>0</v>
      </c>
    </row>
    <row r="270">
      <c r="A270" s="13" t="s">
        <v>1310</v>
      </c>
      <c r="B270" s="9" t="str">
        <f t="shared" si="1"/>
        <v>Лк.</v>
      </c>
      <c r="C270" s="11" t="str">
        <f t="shared" si="2"/>
        <v>100</v>
      </c>
      <c r="D270" s="9"/>
      <c r="E270" s="13" t="s">
        <v>1311</v>
      </c>
      <c r="F270" s="14"/>
      <c r="G270" s="15" t="s">
        <v>913</v>
      </c>
      <c r="H270" s="16" t="s">
        <v>29</v>
      </c>
      <c r="I270" s="73">
        <v>28.0</v>
      </c>
      <c r="J270" s="54"/>
      <c r="K270" s="55">
        <v>4.0</v>
      </c>
      <c r="L270" s="18">
        <f>IFNA( VLOOKUP(LEFT(E270, IFERROR(FIND(" ", E270, 1),1) - 1), lists!$A$31:$B$37, 2, FALSE),"")</f>
        <v>4</v>
      </c>
      <c r="M270" s="18" t="str">
        <f>IFERROR(__xludf.DUMMYFUNCTION("IFNA(VLOOKUP(IFNA(REGEXEXTRACT(E270, ""(Пасхи|50-ці|посту)""),""""),lists!$A$39:$B$41,2,FALSE),"""")"),"")</f>
        <v/>
      </c>
      <c r="N270" s="19" t="str">
        <f>IFERROR(__xludf.DUMMYFUNCTION("IFNA(REGEXEXTRACT(E270, ""\d{1,2}""),"""")"),"28")</f>
        <v>28</v>
      </c>
      <c r="O270" s="14" t="b">
        <f t="shared" si="3"/>
        <v>0</v>
      </c>
    </row>
    <row r="271">
      <c r="A271" s="13" t="s">
        <v>1312</v>
      </c>
      <c r="B271" s="9" t="str">
        <f t="shared" si="1"/>
        <v>Лк.</v>
      </c>
      <c r="C271" s="11" t="str">
        <f t="shared" si="2"/>
        <v>101</v>
      </c>
      <c r="D271" s="9"/>
      <c r="E271" s="13" t="s">
        <v>1313</v>
      </c>
      <c r="F271" s="14"/>
      <c r="G271" s="15" t="s">
        <v>913</v>
      </c>
      <c r="H271" s="16" t="s">
        <v>29</v>
      </c>
      <c r="I271" s="73">
        <v>28.0</v>
      </c>
      <c r="J271" s="54"/>
      <c r="K271" s="55">
        <v>5.0</v>
      </c>
      <c r="L271" s="18">
        <f>IFNA( VLOOKUP(LEFT(E271, IFERROR(FIND(" ", E271, 1),1) - 1), lists!$A$31:$B$37, 2, FALSE),"")</f>
        <v>5</v>
      </c>
      <c r="M271" s="18" t="str">
        <f>IFERROR(__xludf.DUMMYFUNCTION("IFNA(VLOOKUP(IFNA(REGEXEXTRACT(E271, ""(Пасхи|50-ці|посту)""),""""),lists!$A$39:$B$41,2,FALSE),"""")"),"")</f>
        <v/>
      </c>
      <c r="N271" s="19" t="str">
        <f>IFERROR(__xludf.DUMMYFUNCTION("IFNA(REGEXEXTRACT(E271, ""\d{1,2}""),"""")"),"28")</f>
        <v>28</v>
      </c>
      <c r="O271" s="14" t="b">
        <f t="shared" si="3"/>
        <v>0</v>
      </c>
    </row>
    <row r="272">
      <c r="A272" s="13" t="s">
        <v>1245</v>
      </c>
      <c r="B272" s="9" t="str">
        <f t="shared" si="1"/>
        <v>Лк.</v>
      </c>
      <c r="C272" s="11" t="str">
        <f t="shared" si="2"/>
        <v>67</v>
      </c>
      <c r="D272" s="9"/>
      <c r="E272" s="13" t="s">
        <v>1755</v>
      </c>
      <c r="F272" s="14"/>
      <c r="G272" s="15" t="s">
        <v>913</v>
      </c>
      <c r="H272" s="16" t="s">
        <v>29</v>
      </c>
      <c r="I272" s="73">
        <v>28.0</v>
      </c>
      <c r="J272" s="54"/>
      <c r="K272" s="55">
        <v>6.0</v>
      </c>
      <c r="L272" s="18">
        <f>IFNA( VLOOKUP(LEFT(E272, IFERROR(FIND(" ", E272, 1),1) - 1), lists!$A$31:$B$37, 2, FALSE),"")</f>
        <v>6</v>
      </c>
      <c r="M272" s="18" t="str">
        <f>IFERROR(__xludf.DUMMYFUNCTION("IFNA(VLOOKUP(IFNA(REGEXEXTRACT(E272, ""(Пасхи|50-ці|посту)""),""""),lists!$A$39:$B$41,2,FALSE),"""")"),"")</f>
        <v/>
      </c>
      <c r="N272" s="19" t="str">
        <f>IFERROR(__xludf.DUMMYFUNCTION("IFNA(REGEXEXTRACT(E272, ""\d{1,2}""),"""")"),"28")</f>
        <v>28</v>
      </c>
      <c r="O272" s="14" t="b">
        <f t="shared" si="3"/>
        <v>0</v>
      </c>
    </row>
    <row r="273">
      <c r="A273" s="13" t="s">
        <v>1263</v>
      </c>
      <c r="B273" s="9" t="str">
        <f t="shared" si="1"/>
        <v>Лк.</v>
      </c>
      <c r="C273" s="11" t="str">
        <f t="shared" si="2"/>
        <v>76</v>
      </c>
      <c r="D273" s="9"/>
      <c r="E273" s="13" t="s">
        <v>1264</v>
      </c>
      <c r="F273" s="14"/>
      <c r="G273" s="15" t="s">
        <v>913</v>
      </c>
      <c r="H273" s="16" t="s">
        <v>29</v>
      </c>
      <c r="I273" s="73">
        <v>28.0</v>
      </c>
      <c r="J273" s="54"/>
      <c r="K273" s="55">
        <v>7.0</v>
      </c>
      <c r="L273" s="18">
        <f>IFNA( VLOOKUP(LEFT(E273, IFERROR(FIND(" ", E273, 1),1) - 1), lists!$A$31:$B$37, 2, FALSE),"")</f>
        <v>7</v>
      </c>
      <c r="M273" s="18" t="str">
        <f>IFERROR(__xludf.DUMMYFUNCTION("IFNA(VLOOKUP(IFNA(REGEXEXTRACT(E273, ""(Пасхи|50-ці|посту)""),""""),lists!$A$39:$B$41,2,FALSE),"""")"),"")</f>
        <v/>
      </c>
      <c r="N273" s="19" t="str">
        <f>IFERROR(__xludf.DUMMYFUNCTION("IFNA(REGEXEXTRACT(E273, ""\d{1,2}""),"""")"),"28")</f>
        <v>28</v>
      </c>
      <c r="O273" s="14" t="b">
        <f t="shared" si="3"/>
        <v>0</v>
      </c>
    </row>
    <row r="274">
      <c r="A274" s="13" t="s">
        <v>1314</v>
      </c>
      <c r="B274" s="9" t="str">
        <f t="shared" si="1"/>
        <v>Лк.</v>
      </c>
      <c r="C274" s="11" t="str">
        <f t="shared" si="2"/>
        <v>102</v>
      </c>
      <c r="D274" s="9"/>
      <c r="E274" s="13" t="s">
        <v>1315</v>
      </c>
      <c r="F274" s="14"/>
      <c r="G274" s="15" t="s">
        <v>913</v>
      </c>
      <c r="H274" s="16" t="s">
        <v>29</v>
      </c>
      <c r="I274" s="73">
        <v>29.0</v>
      </c>
      <c r="J274" s="54"/>
      <c r="K274" s="55">
        <v>1.0</v>
      </c>
      <c r="L274" s="18">
        <f>IFNA( VLOOKUP(LEFT(E274, IFERROR(FIND(" ", E274, 1),1) - 1), lists!$A$31:$B$37, 2, FALSE),"")</f>
        <v>1</v>
      </c>
      <c r="M274" s="18" t="str">
        <f>IFERROR(__xludf.DUMMYFUNCTION("IFNA(VLOOKUP(IFNA(REGEXEXTRACT(E274, ""(Пасхи|50-ці|посту)""),""""),lists!$A$39:$B$41,2,FALSE),"""")"),"")</f>
        <v/>
      </c>
      <c r="N274" s="19" t="str">
        <f>IFERROR(__xludf.DUMMYFUNCTION("IFNA(REGEXEXTRACT(E274, ""\d{1,2}""),"""")"),"29")</f>
        <v>29</v>
      </c>
      <c r="O274" s="14" t="b">
        <f t="shared" si="3"/>
        <v>0</v>
      </c>
    </row>
    <row r="275">
      <c r="A275" s="13" t="s">
        <v>1322</v>
      </c>
      <c r="B275" s="9" t="str">
        <f t="shared" si="1"/>
        <v>Лк.</v>
      </c>
      <c r="C275" s="11" t="str">
        <f t="shared" si="2"/>
        <v>106</v>
      </c>
      <c r="D275" s="9"/>
      <c r="E275" s="13" t="s">
        <v>1756</v>
      </c>
      <c r="F275" s="14"/>
      <c r="G275" s="15" t="s">
        <v>913</v>
      </c>
      <c r="H275" s="16" t="s">
        <v>29</v>
      </c>
      <c r="I275" s="73">
        <v>29.0</v>
      </c>
      <c r="J275" s="54"/>
      <c r="K275" s="55">
        <v>2.0</v>
      </c>
      <c r="L275" s="18">
        <f>IFNA( VLOOKUP(LEFT(E275, IFERROR(FIND(" ", E275, 1),1) - 1), lists!$A$31:$B$37, 2, FALSE),"")</f>
        <v>2</v>
      </c>
      <c r="M275" s="18" t="str">
        <f>IFERROR(__xludf.DUMMYFUNCTION("IFNA(VLOOKUP(IFNA(REGEXEXTRACT(E275, ""(Пасхи|50-ці|посту)""),""""),lists!$A$39:$B$41,2,FALSE),"""")"),"")</f>
        <v/>
      </c>
      <c r="N275" s="19" t="str">
        <f>IFERROR(__xludf.DUMMYFUNCTION("IFNA(REGEXEXTRACT(E275, ""\d{1,2}""),"""")"),"29")</f>
        <v>29</v>
      </c>
      <c r="O275" s="14" t="b">
        <f t="shared" si="3"/>
        <v>0</v>
      </c>
    </row>
    <row r="276">
      <c r="A276" s="13" t="s">
        <v>1318</v>
      </c>
      <c r="B276" s="9" t="str">
        <f t="shared" si="1"/>
        <v>Лк.</v>
      </c>
      <c r="C276" s="11" t="str">
        <f t="shared" si="2"/>
        <v>104</v>
      </c>
      <c r="D276" s="9"/>
      <c r="E276" s="13" t="s">
        <v>1319</v>
      </c>
      <c r="F276" s="14"/>
      <c r="G276" s="15" t="s">
        <v>913</v>
      </c>
      <c r="H276" s="16" t="s">
        <v>29</v>
      </c>
      <c r="I276" s="73">
        <v>29.0</v>
      </c>
      <c r="J276" s="54"/>
      <c r="K276" s="55">
        <v>3.0</v>
      </c>
      <c r="L276" s="18">
        <f>IFNA( VLOOKUP(LEFT(E276, IFERROR(FIND(" ", E276, 1),1) - 1), lists!$A$31:$B$37, 2, FALSE),"")</f>
        <v>3</v>
      </c>
      <c r="M276" s="18" t="str">
        <f>IFERROR(__xludf.DUMMYFUNCTION("IFNA(VLOOKUP(IFNA(REGEXEXTRACT(E276, ""(Пасхи|50-ці|посту)""),""""),lists!$A$39:$B$41,2,FALSE),"""")"),"")</f>
        <v/>
      </c>
      <c r="N276" s="19" t="str">
        <f>IFERROR(__xludf.DUMMYFUNCTION("IFNA(REGEXEXTRACT(E276, ""\d{1,2}""),"""")"),"29")</f>
        <v>29</v>
      </c>
      <c r="O276" s="14" t="b">
        <f t="shared" si="3"/>
        <v>0</v>
      </c>
    </row>
    <row r="277">
      <c r="A277" s="13" t="s">
        <v>1324</v>
      </c>
      <c r="B277" s="9" t="str">
        <f t="shared" si="1"/>
        <v>Лк.</v>
      </c>
      <c r="C277" s="11" t="str">
        <f t="shared" si="2"/>
        <v>107</v>
      </c>
      <c r="D277" s="9"/>
      <c r="E277" s="13" t="s">
        <v>1325</v>
      </c>
      <c r="F277" s="14"/>
      <c r="G277" s="15" t="s">
        <v>913</v>
      </c>
      <c r="H277" s="16" t="s">
        <v>29</v>
      </c>
      <c r="I277" s="73">
        <v>29.0</v>
      </c>
      <c r="J277" s="54"/>
      <c r="K277" s="55">
        <v>4.0</v>
      </c>
      <c r="L277" s="18">
        <f>IFNA( VLOOKUP(LEFT(E277, IFERROR(FIND(" ", E277, 1),1) - 1), lists!$A$31:$B$37, 2, FALSE),"")</f>
        <v>4</v>
      </c>
      <c r="M277" s="18" t="str">
        <f>IFERROR(__xludf.DUMMYFUNCTION("IFNA(VLOOKUP(IFNA(REGEXEXTRACT(E277, ""(Пасхи|50-ці|посту)""),""""),lists!$A$39:$B$41,2,FALSE),"""")"),"")</f>
        <v/>
      </c>
      <c r="N277" s="19" t="str">
        <f>IFERROR(__xludf.DUMMYFUNCTION("IFNA(REGEXEXTRACT(E277, ""\d{1,2}""),"""")"),"29")</f>
        <v>29</v>
      </c>
      <c r="O277" s="14" t="b">
        <f t="shared" si="3"/>
        <v>0</v>
      </c>
    </row>
    <row r="278">
      <c r="A278" s="13" t="s">
        <v>1328</v>
      </c>
      <c r="B278" s="9" t="str">
        <f t="shared" si="1"/>
        <v>Лк.</v>
      </c>
      <c r="C278" s="11" t="str">
        <f t="shared" si="2"/>
        <v>108</v>
      </c>
      <c r="D278" s="12" t="s">
        <v>22</v>
      </c>
      <c r="E278" s="13" t="s">
        <v>1329</v>
      </c>
      <c r="F278" s="14"/>
      <c r="G278" s="15" t="s">
        <v>913</v>
      </c>
      <c r="H278" s="16" t="s">
        <v>29</v>
      </c>
      <c r="I278" s="73">
        <v>29.0</v>
      </c>
      <c r="J278" s="54"/>
      <c r="K278" s="55">
        <v>5.0</v>
      </c>
      <c r="L278" s="18">
        <f>IFNA( VLOOKUP(LEFT(E278, IFERROR(FIND(" ", E278, 1),1) - 1), lists!$A$31:$B$37, 2, FALSE),"")</f>
        <v>5</v>
      </c>
      <c r="M278" s="18" t="str">
        <f>IFERROR(__xludf.DUMMYFUNCTION("IFNA(VLOOKUP(IFNA(REGEXEXTRACT(E278, ""(Пасхи|50-ці|посту)""),""""),lists!$A$39:$B$41,2,FALSE),"""")"),"")</f>
        <v/>
      </c>
      <c r="N278" s="19" t="str">
        <f>IFERROR(__xludf.DUMMYFUNCTION("IFNA(REGEXEXTRACT(E278, ""\d{1,2}""),"""")"),"29")</f>
        <v>29</v>
      </c>
      <c r="O278" s="14" t="b">
        <f t="shared" si="3"/>
        <v>0</v>
      </c>
    </row>
    <row r="279">
      <c r="A279" s="13" t="s">
        <v>1255</v>
      </c>
      <c r="B279" s="9" t="str">
        <f t="shared" si="1"/>
        <v>Лк.</v>
      </c>
      <c r="C279" s="11" t="str">
        <f t="shared" si="2"/>
        <v>72</v>
      </c>
      <c r="D279" s="9"/>
      <c r="E279" s="13" t="s">
        <v>1256</v>
      </c>
      <c r="F279" s="14"/>
      <c r="G279" s="15" t="s">
        <v>913</v>
      </c>
      <c r="H279" s="16" t="s">
        <v>29</v>
      </c>
      <c r="I279" s="73">
        <v>29.0</v>
      </c>
      <c r="J279" s="54"/>
      <c r="K279" s="55">
        <v>6.0</v>
      </c>
      <c r="L279" s="18">
        <f>IFNA( VLOOKUP(LEFT(E279, IFERROR(FIND(" ", E279, 1),1) - 1), lists!$A$31:$B$37, 2, FALSE),"")</f>
        <v>6</v>
      </c>
      <c r="M279" s="18" t="str">
        <f>IFERROR(__xludf.DUMMYFUNCTION("IFNA(VLOOKUP(IFNA(REGEXEXTRACT(E279, ""(Пасхи|50-ці|посту)""),""""),lists!$A$39:$B$41,2,FALSE),"""")"),"")</f>
        <v/>
      </c>
      <c r="N279" s="19" t="str">
        <f>IFERROR(__xludf.DUMMYFUNCTION("IFNA(REGEXEXTRACT(E279, ""\d{1,2}""),"""")"),"29")</f>
        <v>29</v>
      </c>
      <c r="O279" s="14" t="b">
        <f t="shared" si="3"/>
        <v>0</v>
      </c>
    </row>
    <row r="280">
      <c r="A280" s="13" t="s">
        <v>1281</v>
      </c>
      <c r="B280" s="9" t="str">
        <f t="shared" si="1"/>
        <v>Лк.</v>
      </c>
      <c r="C280" s="11" t="str">
        <f t="shared" si="2"/>
        <v>85</v>
      </c>
      <c r="D280" s="9"/>
      <c r="E280" s="13" t="s">
        <v>1282</v>
      </c>
      <c r="F280" s="14"/>
      <c r="G280" s="15" t="s">
        <v>913</v>
      </c>
      <c r="H280" s="16" t="s">
        <v>29</v>
      </c>
      <c r="I280" s="73">
        <v>29.0</v>
      </c>
      <c r="J280" s="54"/>
      <c r="K280" s="55">
        <v>7.0</v>
      </c>
      <c r="L280" s="18">
        <f>IFNA( VLOOKUP(LEFT(E280, IFERROR(FIND(" ", E280, 1),1) - 1), lists!$A$31:$B$37, 2, FALSE),"")</f>
        <v>7</v>
      </c>
      <c r="M280" s="18" t="str">
        <f>IFERROR(__xludf.DUMMYFUNCTION("IFNA(VLOOKUP(IFNA(REGEXEXTRACT(E280, ""(Пасхи|50-ці|посту)""),""""),lists!$A$39:$B$41,2,FALSE),"""")"),"")</f>
        <v/>
      </c>
      <c r="N280" s="19" t="str">
        <f>IFERROR(__xludf.DUMMYFUNCTION("IFNA(REGEXEXTRACT(E280, ""\d{1,2}""),"""")"),"29")</f>
        <v>29</v>
      </c>
      <c r="O280" s="14" t="b">
        <f t="shared" si="3"/>
        <v>0</v>
      </c>
    </row>
    <row r="281">
      <c r="A281" s="13" t="s">
        <v>1410</v>
      </c>
      <c r="B281" s="9" t="str">
        <f t="shared" si="1"/>
        <v>Мр.</v>
      </c>
      <c r="C281" s="11" t="str">
        <f t="shared" si="2"/>
        <v>33</v>
      </c>
      <c r="D281" s="9"/>
      <c r="E281" s="13" t="s">
        <v>1411</v>
      </c>
      <c r="F281" s="14"/>
      <c r="G281" s="15" t="s">
        <v>913</v>
      </c>
      <c r="H281" s="16" t="s">
        <v>29</v>
      </c>
      <c r="I281" s="73">
        <v>30.0</v>
      </c>
      <c r="J281" s="54"/>
      <c r="K281" s="55">
        <v>1.0</v>
      </c>
      <c r="L281" s="18">
        <f>IFNA( VLOOKUP(LEFT(E281, IFERROR(FIND(" ", E281, 1),1) - 1), lists!$A$31:$B$37, 2, FALSE),"")</f>
        <v>1</v>
      </c>
      <c r="M281" s="18" t="str">
        <f>IFERROR(__xludf.DUMMYFUNCTION("IFNA(VLOOKUP(IFNA(REGEXEXTRACT(E281, ""(Пасхи|50-ці|посту)""),""""),lists!$A$39:$B$41,2,FALSE),"""")"),"")</f>
        <v/>
      </c>
      <c r="N281" s="19" t="str">
        <f>IFERROR(__xludf.DUMMYFUNCTION("IFNA(REGEXEXTRACT(E281, ""\d{1,2}""),"""")"),"30")</f>
        <v>30</v>
      </c>
      <c r="O281" s="14" t="b">
        <f t="shared" si="3"/>
        <v>0</v>
      </c>
    </row>
    <row r="282">
      <c r="A282" s="13" t="s">
        <v>1412</v>
      </c>
      <c r="B282" s="9" t="str">
        <f t="shared" si="1"/>
        <v>Мр.</v>
      </c>
      <c r="C282" s="11" t="str">
        <f t="shared" si="2"/>
        <v>34</v>
      </c>
      <c r="D282" s="9"/>
      <c r="E282" s="13" t="s">
        <v>1413</v>
      </c>
      <c r="F282" s="14"/>
      <c r="G282" s="15" t="s">
        <v>913</v>
      </c>
      <c r="H282" s="16" t="s">
        <v>29</v>
      </c>
      <c r="I282" s="73">
        <v>30.0</v>
      </c>
      <c r="J282" s="54"/>
      <c r="K282" s="55">
        <v>2.0</v>
      </c>
      <c r="L282" s="18">
        <f>IFNA( VLOOKUP(LEFT(E282, IFERROR(FIND(" ", E282, 1),1) - 1), lists!$A$31:$B$37, 2, FALSE),"")</f>
        <v>2</v>
      </c>
      <c r="M282" s="18" t="str">
        <f>IFERROR(__xludf.DUMMYFUNCTION("IFNA(VLOOKUP(IFNA(REGEXEXTRACT(E282, ""(Пасхи|50-ці|посту)""),""""),lists!$A$39:$B$41,2,FALSE),"""")"),"")</f>
        <v/>
      </c>
      <c r="N282" s="19" t="str">
        <f>IFERROR(__xludf.DUMMYFUNCTION("IFNA(REGEXEXTRACT(E282, ""\d{1,2}""),"""")"),"30")</f>
        <v>30</v>
      </c>
      <c r="O282" s="14" t="b">
        <f t="shared" si="3"/>
        <v>0</v>
      </c>
    </row>
    <row r="283">
      <c r="A283" s="13" t="s">
        <v>1416</v>
      </c>
      <c r="B283" s="9" t="str">
        <f t="shared" si="1"/>
        <v>Мр.</v>
      </c>
      <c r="C283" s="11" t="str">
        <f t="shared" si="2"/>
        <v>36</v>
      </c>
      <c r="D283" s="9"/>
      <c r="E283" s="13" t="s">
        <v>1417</v>
      </c>
      <c r="F283" s="14"/>
      <c r="G283" s="15" t="s">
        <v>913</v>
      </c>
      <c r="H283" s="16" t="s">
        <v>29</v>
      </c>
      <c r="I283" s="73">
        <v>30.0</v>
      </c>
      <c r="J283" s="54"/>
      <c r="K283" s="55">
        <v>3.0</v>
      </c>
      <c r="L283" s="18">
        <f>IFNA( VLOOKUP(LEFT(E283, IFERROR(FIND(" ", E283, 1),1) - 1), lists!$A$31:$B$37, 2, FALSE),"")</f>
        <v>3</v>
      </c>
      <c r="M283" s="18" t="str">
        <f>IFERROR(__xludf.DUMMYFUNCTION("IFNA(VLOOKUP(IFNA(REGEXEXTRACT(E283, ""(Пасхи|50-ці|посту)""),""""),lists!$A$39:$B$41,2,FALSE),"""")"),"")</f>
        <v/>
      </c>
      <c r="N283" s="19" t="str">
        <f>IFERROR(__xludf.DUMMYFUNCTION("IFNA(REGEXEXTRACT(E283, ""\d{1,2}""),"""")"),"30")</f>
        <v>30</v>
      </c>
      <c r="O283" s="14" t="b">
        <f t="shared" si="3"/>
        <v>0</v>
      </c>
    </row>
    <row r="284">
      <c r="A284" s="13" t="s">
        <v>1422</v>
      </c>
      <c r="B284" s="9" t="str">
        <f t="shared" si="1"/>
        <v>Мр.</v>
      </c>
      <c r="C284" s="11" t="str">
        <f t="shared" si="2"/>
        <v>39</v>
      </c>
      <c r="D284" s="9"/>
      <c r="E284" s="13" t="s">
        <v>1423</v>
      </c>
      <c r="F284" s="14"/>
      <c r="G284" s="15" t="s">
        <v>913</v>
      </c>
      <c r="H284" s="16" t="s">
        <v>29</v>
      </c>
      <c r="I284" s="73">
        <v>30.0</v>
      </c>
      <c r="J284" s="54"/>
      <c r="K284" s="55">
        <v>4.0</v>
      </c>
      <c r="L284" s="18">
        <f>IFNA( VLOOKUP(LEFT(E284, IFERROR(FIND(" ", E284, 1),1) - 1), lists!$A$31:$B$37, 2, FALSE),"")</f>
        <v>4</v>
      </c>
      <c r="M284" s="18" t="str">
        <f>IFERROR(__xludf.DUMMYFUNCTION("IFNA(VLOOKUP(IFNA(REGEXEXTRACT(E284, ""(Пасхи|50-ці|посту)""),""""),lists!$A$39:$B$41,2,FALSE),"""")"),"")</f>
        <v/>
      </c>
      <c r="N284" s="19" t="str">
        <f>IFERROR(__xludf.DUMMYFUNCTION("IFNA(REGEXEXTRACT(E284, ""\d{1,2}""),"""")"),"30")</f>
        <v>30</v>
      </c>
      <c r="O284" s="14" t="b">
        <f t="shared" si="3"/>
        <v>0</v>
      </c>
    </row>
    <row r="285">
      <c r="A285" s="13" t="s">
        <v>1426</v>
      </c>
      <c r="B285" s="9" t="str">
        <f t="shared" si="1"/>
        <v>Мр.</v>
      </c>
      <c r="C285" s="11" t="str">
        <f t="shared" si="2"/>
        <v>41</v>
      </c>
      <c r="D285" s="9"/>
      <c r="E285" s="13" t="s">
        <v>1427</v>
      </c>
      <c r="F285" s="14"/>
      <c r="G285" s="15" t="s">
        <v>913</v>
      </c>
      <c r="H285" s="16" t="s">
        <v>29</v>
      </c>
      <c r="I285" s="73">
        <v>30.0</v>
      </c>
      <c r="J285" s="54"/>
      <c r="K285" s="55">
        <v>5.0</v>
      </c>
      <c r="L285" s="18">
        <f>IFNA( VLOOKUP(LEFT(E285, IFERROR(FIND(" ", E285, 1),1) - 1), lists!$A$31:$B$37, 2, FALSE),"")</f>
        <v>5</v>
      </c>
      <c r="M285" s="18" t="str">
        <f>IFERROR(__xludf.DUMMYFUNCTION("IFNA(VLOOKUP(IFNA(REGEXEXTRACT(E285, ""(Пасхи|50-ці|посту)""),""""),lists!$A$39:$B$41,2,FALSE),"""")"),"")</f>
        <v/>
      </c>
      <c r="N285" s="19" t="str">
        <f>IFERROR(__xludf.DUMMYFUNCTION("IFNA(REGEXEXTRACT(E285, ""\d{1,2}""),"""")"),"30")</f>
        <v>30</v>
      </c>
      <c r="O285" s="14" t="b">
        <f t="shared" si="3"/>
        <v>0</v>
      </c>
    </row>
    <row r="286">
      <c r="A286" s="13" t="s">
        <v>1259</v>
      </c>
      <c r="B286" s="9" t="str">
        <f t="shared" si="1"/>
        <v>Лк.</v>
      </c>
      <c r="C286" s="11" t="str">
        <f t="shared" si="2"/>
        <v>74</v>
      </c>
      <c r="D286" s="9"/>
      <c r="E286" s="13" t="s">
        <v>1260</v>
      </c>
      <c r="F286" s="14"/>
      <c r="G286" s="15" t="s">
        <v>913</v>
      </c>
      <c r="H286" s="16" t="s">
        <v>29</v>
      </c>
      <c r="I286" s="73">
        <v>30.0</v>
      </c>
      <c r="J286" s="55"/>
      <c r="K286" s="55">
        <v>6.0</v>
      </c>
      <c r="L286" s="18">
        <f>IFNA( VLOOKUP(LEFT(E286, IFERROR(FIND(" ", E286, 1),1) - 1), lists!$A$31:$B$37, 2, FALSE),"")</f>
        <v>6</v>
      </c>
      <c r="M286" s="18" t="str">
        <f>IFERROR(__xludf.DUMMYFUNCTION("IFNA(VLOOKUP(IFNA(REGEXEXTRACT(E286, ""(Пасхи|50-ці|посту)""),""""),lists!$A$39:$B$41,2,FALSE),"""")"),"")</f>
        <v/>
      </c>
      <c r="N286" s="19" t="str">
        <f>IFERROR(__xludf.DUMMYFUNCTION("IFNA(REGEXEXTRACT(E286, ""\d{1,2}""),"""")"),"30")</f>
        <v>30</v>
      </c>
      <c r="O286" s="14" t="b">
        <f t="shared" si="3"/>
        <v>0</v>
      </c>
    </row>
    <row r="287">
      <c r="A287" s="13" t="s">
        <v>1292</v>
      </c>
      <c r="B287" s="9" t="str">
        <f t="shared" si="1"/>
        <v>Лк.</v>
      </c>
      <c r="C287" s="11" t="str">
        <f t="shared" si="2"/>
        <v>91</v>
      </c>
      <c r="D287" s="9"/>
      <c r="E287" s="13" t="s">
        <v>1293</v>
      </c>
      <c r="F287" s="14"/>
      <c r="G287" s="15" t="s">
        <v>913</v>
      </c>
      <c r="H287" s="16" t="s">
        <v>29</v>
      </c>
      <c r="I287" s="73">
        <v>30.0</v>
      </c>
      <c r="J287" s="54"/>
      <c r="K287" s="55">
        <v>7.0</v>
      </c>
      <c r="L287" s="18">
        <f>IFNA( VLOOKUP(LEFT(E287, IFERROR(FIND(" ", E287, 1),1) - 1), lists!$A$31:$B$37, 2, FALSE),"")</f>
        <v>7</v>
      </c>
      <c r="M287" s="18" t="str">
        <f>IFERROR(__xludf.DUMMYFUNCTION("IFNA(VLOOKUP(IFNA(REGEXEXTRACT(E287, ""(Пасхи|50-ці|посту)""),""""),lists!$A$39:$B$41,2,FALSE),"""")"),"")</f>
        <v/>
      </c>
      <c r="N287" s="19" t="str">
        <f>IFERROR(__xludf.DUMMYFUNCTION("IFNA(REGEXEXTRACT(E287, ""\d{1,2}""),"""")"),"30")</f>
        <v>30</v>
      </c>
      <c r="O287" s="14" t="b">
        <f t="shared" si="3"/>
        <v>0</v>
      </c>
    </row>
    <row r="288">
      <c r="A288" s="13" t="s">
        <v>1428</v>
      </c>
      <c r="B288" s="9" t="str">
        <f t="shared" si="1"/>
        <v>Мр.</v>
      </c>
      <c r="C288" s="11" t="str">
        <f t="shared" si="2"/>
        <v>42</v>
      </c>
      <c r="D288" s="9"/>
      <c r="E288" s="13" t="s">
        <v>1429</v>
      </c>
      <c r="F288" s="14"/>
      <c r="G288" s="15" t="s">
        <v>913</v>
      </c>
      <c r="H288" s="16" t="s">
        <v>29</v>
      </c>
      <c r="I288" s="73">
        <v>31.0</v>
      </c>
      <c r="J288" s="54"/>
      <c r="K288" s="55">
        <v>1.0</v>
      </c>
      <c r="L288" s="18">
        <f>IFNA( VLOOKUP(LEFT(E288, IFERROR(FIND(" ", E288, 1),1) - 1), lists!$A$31:$B$37, 2, FALSE),"")</f>
        <v>1</v>
      </c>
      <c r="M288" s="18" t="str">
        <f>IFERROR(__xludf.DUMMYFUNCTION("IFNA(VLOOKUP(IFNA(REGEXEXTRACT(E288, ""(Пасхи|50-ці|посту)""),""""),lists!$A$39:$B$41,2,FALSE),"""")"),"")</f>
        <v/>
      </c>
      <c r="N288" s="19" t="str">
        <f>IFERROR(__xludf.DUMMYFUNCTION("IFNA(REGEXEXTRACT(E288, ""\d{1,2}""),"""")"),"31")</f>
        <v>31</v>
      </c>
      <c r="O288" s="14" t="b">
        <f t="shared" si="3"/>
        <v>0</v>
      </c>
    </row>
    <row r="289">
      <c r="A289" s="13" t="s">
        <v>1430</v>
      </c>
      <c r="B289" s="9" t="str">
        <f t="shared" si="1"/>
        <v>Мр.</v>
      </c>
      <c r="C289" s="11" t="str">
        <f t="shared" si="2"/>
        <v>43</v>
      </c>
      <c r="D289" s="9"/>
      <c r="E289" s="13" t="s">
        <v>1431</v>
      </c>
      <c r="F289" s="14"/>
      <c r="G289" s="15" t="s">
        <v>913</v>
      </c>
      <c r="H289" s="16" t="s">
        <v>29</v>
      </c>
      <c r="I289" s="73">
        <v>31.0</v>
      </c>
      <c r="J289" s="54"/>
      <c r="K289" s="55">
        <v>2.0</v>
      </c>
      <c r="L289" s="18">
        <f>IFNA( VLOOKUP(LEFT(E289, IFERROR(FIND(" ", E289, 1),1) - 1), lists!$A$31:$B$37, 2, FALSE),"")</f>
        <v>2</v>
      </c>
      <c r="M289" s="18" t="str">
        <f>IFERROR(__xludf.DUMMYFUNCTION("IFNA(VLOOKUP(IFNA(REGEXEXTRACT(E289, ""(Пасхи|50-ці|посту)""),""""),lists!$A$39:$B$41,2,FALSE),"""")"),"")</f>
        <v/>
      </c>
      <c r="N289" s="19" t="str">
        <f>IFERROR(__xludf.DUMMYFUNCTION("IFNA(REGEXEXTRACT(E289, ""\d{1,2}""),"""")"),"31")</f>
        <v>31</v>
      </c>
      <c r="O289" s="14" t="b">
        <f t="shared" si="3"/>
        <v>0</v>
      </c>
    </row>
    <row r="290">
      <c r="A290" s="13" t="s">
        <v>1432</v>
      </c>
      <c r="B290" s="9" t="str">
        <f t="shared" si="1"/>
        <v>Мр.</v>
      </c>
      <c r="C290" s="11" t="str">
        <f t="shared" si="2"/>
        <v>44</v>
      </c>
      <c r="D290" s="9"/>
      <c r="E290" s="13" t="s">
        <v>1433</v>
      </c>
      <c r="F290" s="14"/>
      <c r="G290" s="15" t="s">
        <v>913</v>
      </c>
      <c r="H290" s="16" t="s">
        <v>29</v>
      </c>
      <c r="I290" s="73">
        <v>31.0</v>
      </c>
      <c r="J290" s="54"/>
      <c r="K290" s="55">
        <v>3.0</v>
      </c>
      <c r="L290" s="18">
        <f>IFNA( VLOOKUP(LEFT(E290, IFERROR(FIND(" ", E290, 1),1) - 1), lists!$A$31:$B$37, 2, FALSE),"")</f>
        <v>3</v>
      </c>
      <c r="M290" s="18" t="str">
        <f>IFERROR(__xludf.DUMMYFUNCTION("IFNA(VLOOKUP(IFNA(REGEXEXTRACT(E290, ""(Пасхи|50-ці|посту)""),""""),lists!$A$39:$B$41,2,FALSE),"""")"),"")</f>
        <v/>
      </c>
      <c r="N290" s="19" t="str">
        <f>IFERROR(__xludf.DUMMYFUNCTION("IFNA(REGEXEXTRACT(E290, ""\d{1,2}""),"""")"),"31")</f>
        <v>31</v>
      </c>
      <c r="O290" s="14" t="b">
        <f t="shared" si="3"/>
        <v>0</v>
      </c>
    </row>
    <row r="291">
      <c r="A291" s="13" t="s">
        <v>1434</v>
      </c>
      <c r="B291" s="9" t="str">
        <f t="shared" si="1"/>
        <v>Мр.</v>
      </c>
      <c r="C291" s="11" t="str">
        <f t="shared" si="2"/>
        <v>45</v>
      </c>
      <c r="D291" s="9"/>
      <c r="E291" s="13" t="s">
        <v>1435</v>
      </c>
      <c r="F291" s="14"/>
      <c r="G291" s="15" t="s">
        <v>913</v>
      </c>
      <c r="H291" s="16" t="s">
        <v>29</v>
      </c>
      <c r="I291" s="73">
        <v>31.0</v>
      </c>
      <c r="J291" s="54"/>
      <c r="K291" s="55">
        <v>4.0</v>
      </c>
      <c r="L291" s="18">
        <f>IFNA( VLOOKUP(LEFT(E291, IFERROR(FIND(" ", E291, 1),1) - 1), lists!$A$31:$B$37, 2, FALSE),"")</f>
        <v>4</v>
      </c>
      <c r="M291" s="18" t="str">
        <f>IFERROR(__xludf.DUMMYFUNCTION("IFNA(VLOOKUP(IFNA(REGEXEXTRACT(E291, ""(Пасхи|50-ці|посту)""),""""),lists!$A$39:$B$41,2,FALSE),"""")"),"")</f>
        <v/>
      </c>
      <c r="N291" s="19" t="str">
        <f>IFERROR(__xludf.DUMMYFUNCTION("IFNA(REGEXEXTRACT(E291, ""\d{1,2}""),"""")"),"31")</f>
        <v>31</v>
      </c>
      <c r="O291" s="14" t="b">
        <f t="shared" si="3"/>
        <v>0</v>
      </c>
    </row>
    <row r="292">
      <c r="A292" s="13" t="s">
        <v>1436</v>
      </c>
      <c r="B292" s="9" t="str">
        <f t="shared" si="1"/>
        <v>Мр.</v>
      </c>
      <c r="C292" s="11" t="str">
        <f t="shared" si="2"/>
        <v>46</v>
      </c>
      <c r="D292" s="9"/>
      <c r="E292" s="13" t="s">
        <v>1437</v>
      </c>
      <c r="F292" s="14"/>
      <c r="G292" s="15" t="s">
        <v>913</v>
      </c>
      <c r="H292" s="16" t="s">
        <v>29</v>
      </c>
      <c r="I292" s="73">
        <v>31.0</v>
      </c>
      <c r="J292" s="54"/>
      <c r="K292" s="55">
        <v>5.0</v>
      </c>
      <c r="L292" s="18">
        <f>IFNA( VLOOKUP(LEFT(E292, IFERROR(FIND(" ", E292, 1),1) - 1), lists!$A$31:$B$37, 2, FALSE),"")</f>
        <v>5</v>
      </c>
      <c r="M292" s="18" t="str">
        <f>IFERROR(__xludf.DUMMYFUNCTION("IFNA(VLOOKUP(IFNA(REGEXEXTRACT(E292, ""(Пасхи|50-ці|посту)""),""""),lists!$A$39:$B$41,2,FALSE),"""")"),"")</f>
        <v/>
      </c>
      <c r="N292" s="19" t="str">
        <f>IFERROR(__xludf.DUMMYFUNCTION("IFNA(REGEXEXTRACT(E292, ""\d{1,2}""),"""")"),"31")</f>
        <v>31</v>
      </c>
      <c r="O292" s="14" t="b">
        <f t="shared" si="3"/>
        <v>0</v>
      </c>
    </row>
    <row r="293">
      <c r="A293" s="13" t="s">
        <v>1273</v>
      </c>
      <c r="B293" s="9" t="str">
        <f t="shared" si="1"/>
        <v>Лк.</v>
      </c>
      <c r="C293" s="11" t="str">
        <f t="shared" si="2"/>
        <v>81</v>
      </c>
      <c r="D293" s="90"/>
      <c r="E293" s="13" t="s">
        <v>1274</v>
      </c>
      <c r="F293" s="14"/>
      <c r="G293" s="15" t="s">
        <v>913</v>
      </c>
      <c r="H293" s="16" t="s">
        <v>29</v>
      </c>
      <c r="I293" s="73">
        <v>31.0</v>
      </c>
      <c r="J293" s="54"/>
      <c r="K293" s="55">
        <v>6.0</v>
      </c>
      <c r="L293" s="18">
        <f>IFNA( VLOOKUP(LEFT(E293, IFERROR(FIND(" ", E293, 1),1) - 1), lists!$A$31:$B$37, 2, FALSE),"")</f>
        <v>6</v>
      </c>
      <c r="M293" s="18" t="str">
        <f>IFERROR(__xludf.DUMMYFUNCTION("IFNA(VLOOKUP(IFNA(REGEXEXTRACT(E293, ""(Пасхи|50-ці|посту)""),""""),lists!$A$39:$B$41,2,FALSE),"""")"),"")</f>
        <v/>
      </c>
      <c r="N293" s="19" t="str">
        <f>IFERROR(__xludf.DUMMYFUNCTION("IFNA(REGEXEXTRACT(E293, ""\d{1,2}""),"""")"),"31")</f>
        <v>31</v>
      </c>
      <c r="O293" s="14" t="b">
        <f t="shared" si="3"/>
        <v>0</v>
      </c>
    </row>
    <row r="294">
      <c r="A294" s="13" t="s">
        <v>1296</v>
      </c>
      <c r="B294" s="9" t="str">
        <f t="shared" si="1"/>
        <v>Лк.</v>
      </c>
      <c r="C294" s="11" t="str">
        <f t="shared" si="2"/>
        <v>93</v>
      </c>
      <c r="D294" s="90"/>
      <c r="E294" s="13" t="s">
        <v>1297</v>
      </c>
      <c r="F294" s="14"/>
      <c r="G294" s="15" t="s">
        <v>913</v>
      </c>
      <c r="H294" s="16" t="s">
        <v>29</v>
      </c>
      <c r="I294" s="73">
        <v>31.0</v>
      </c>
      <c r="J294" s="54"/>
      <c r="K294" s="55">
        <v>7.0</v>
      </c>
      <c r="L294" s="18">
        <f>IFNA( VLOOKUP(LEFT(E294, IFERROR(FIND(" ", E294, 1),1) - 1), lists!$A$31:$B$37, 2, FALSE),"")</f>
        <v>7</v>
      </c>
      <c r="M294" s="18" t="str">
        <f>IFERROR(__xludf.DUMMYFUNCTION("IFNA(VLOOKUP(IFNA(REGEXEXTRACT(E294, ""(Пасхи|50-ці|посту)""),""""),lists!$A$39:$B$41,2,FALSE),"""")"),"")</f>
        <v/>
      </c>
      <c r="N294" s="19" t="str">
        <f>IFERROR(__xludf.DUMMYFUNCTION("IFNA(REGEXEXTRACT(E294, ""\d{1,2}""),"""")"),"31")</f>
        <v>31</v>
      </c>
      <c r="O294" s="14" t="b">
        <f t="shared" si="3"/>
        <v>0</v>
      </c>
    </row>
    <row r="295" ht="15.75" customHeight="1">
      <c r="A295" s="13" t="s">
        <v>1440</v>
      </c>
      <c r="B295" s="9" t="str">
        <f t="shared" si="1"/>
        <v>Мр.</v>
      </c>
      <c r="C295" s="11" t="str">
        <f t="shared" si="2"/>
        <v>48</v>
      </c>
      <c r="D295" s="9"/>
      <c r="E295" s="13" t="s">
        <v>1441</v>
      </c>
      <c r="F295" s="14"/>
      <c r="G295" s="15" t="s">
        <v>913</v>
      </c>
      <c r="H295" s="16" t="s">
        <v>29</v>
      </c>
      <c r="I295" s="53">
        <v>32.0</v>
      </c>
      <c r="J295" s="54"/>
      <c r="K295" s="55">
        <v>1.0</v>
      </c>
      <c r="L295" s="18">
        <f>IFNA( VLOOKUP(LEFT(E295, IFERROR(FIND(" ", E295, 1),1) - 1), lists!$A$31:$B$37, 2, FALSE),"")</f>
        <v>1</v>
      </c>
      <c r="M295" s="18" t="str">
        <f>IFERROR(__xludf.DUMMYFUNCTION("IFNA(VLOOKUP(IFNA(REGEXEXTRACT(E295, ""(Пасхи|50-ці|посту)""),""""),lists!$A$39:$B$41,2,FALSE),"""")"),"")</f>
        <v/>
      </c>
      <c r="N295" s="19" t="str">
        <f>IFERROR(__xludf.DUMMYFUNCTION("IFNA(REGEXEXTRACT(E295, ""\d{1,2}""),"""")"),"17")</f>
        <v>17</v>
      </c>
      <c r="O295" s="14" t="b">
        <f t="shared" si="3"/>
        <v>0</v>
      </c>
    </row>
    <row r="296" ht="15.75" customHeight="1">
      <c r="A296" s="13" t="s">
        <v>1444</v>
      </c>
      <c r="B296" s="9" t="str">
        <f t="shared" si="1"/>
        <v>Мр.</v>
      </c>
      <c r="C296" s="11" t="str">
        <f t="shared" si="2"/>
        <v>50</v>
      </c>
      <c r="D296" s="9"/>
      <c r="E296" s="13" t="s">
        <v>1445</v>
      </c>
      <c r="F296" s="14"/>
      <c r="G296" s="15" t="s">
        <v>913</v>
      </c>
      <c r="H296" s="16" t="s">
        <v>29</v>
      </c>
      <c r="I296" s="53">
        <v>32.0</v>
      </c>
      <c r="J296" s="54"/>
      <c r="K296" s="55">
        <v>2.0</v>
      </c>
      <c r="L296" s="18">
        <f>IFNA( VLOOKUP(LEFT(E296, IFERROR(FIND(" ", E296, 1),1) - 1), lists!$A$31:$B$37, 2, FALSE),"")</f>
        <v>2</v>
      </c>
      <c r="M296" s="18" t="str">
        <f>IFERROR(__xludf.DUMMYFUNCTION("IFNA(VLOOKUP(IFNA(REGEXEXTRACT(E296, ""(Пасхи|50-ці|посту)""),""""),lists!$A$39:$B$41,2,FALSE),"""")"),"")</f>
        <v/>
      </c>
      <c r="N296" s="19" t="str">
        <f>IFERROR(__xludf.DUMMYFUNCTION("IFNA(REGEXEXTRACT(E296, ""\d{1,2}""),"""")"),"17")</f>
        <v>17</v>
      </c>
      <c r="O296" s="14" t="b">
        <f t="shared" si="3"/>
        <v>0</v>
      </c>
    </row>
    <row r="297" ht="15.75" customHeight="1">
      <c r="A297" s="13" t="s">
        <v>1446</v>
      </c>
      <c r="B297" s="9" t="str">
        <f t="shared" si="1"/>
        <v>Мр.</v>
      </c>
      <c r="C297" s="11" t="str">
        <f t="shared" si="2"/>
        <v>51</v>
      </c>
      <c r="D297" s="9"/>
      <c r="E297" s="13" t="s">
        <v>1447</v>
      </c>
      <c r="F297" s="14"/>
      <c r="G297" s="15" t="s">
        <v>913</v>
      </c>
      <c r="H297" s="16" t="s">
        <v>29</v>
      </c>
      <c r="I297" s="53">
        <v>32.0</v>
      </c>
      <c r="J297" s="54"/>
      <c r="K297" s="55">
        <v>3.0</v>
      </c>
      <c r="L297" s="18">
        <f>IFNA( VLOOKUP(LEFT(E297, IFERROR(FIND(" ", E297, 1),1) - 1), lists!$A$31:$B$37, 2, FALSE),"")</f>
        <v>3</v>
      </c>
      <c r="M297" s="18" t="str">
        <f>IFERROR(__xludf.DUMMYFUNCTION("IFNA(VLOOKUP(IFNA(REGEXEXTRACT(E297, ""(Пасхи|50-ці|посту)""),""""),lists!$A$39:$B$41,2,FALSE),"""")"),"")</f>
        <v/>
      </c>
      <c r="N297" s="19" t="str">
        <f>IFERROR(__xludf.DUMMYFUNCTION("IFNA(REGEXEXTRACT(E297, ""\d{1,2}""),"""")"),"17")</f>
        <v>17</v>
      </c>
      <c r="O297" s="14" t="b">
        <f t="shared" si="3"/>
        <v>0</v>
      </c>
    </row>
    <row r="298" ht="15.75" customHeight="1">
      <c r="A298" s="13" t="s">
        <v>1448</v>
      </c>
      <c r="B298" s="9" t="str">
        <f t="shared" si="1"/>
        <v>Мр.</v>
      </c>
      <c r="C298" s="11" t="str">
        <f t="shared" si="2"/>
        <v>52</v>
      </c>
      <c r="D298" s="9"/>
      <c r="E298" s="13" t="s">
        <v>1449</v>
      </c>
      <c r="F298" s="14"/>
      <c r="G298" s="15" t="s">
        <v>913</v>
      </c>
      <c r="H298" s="16" t="s">
        <v>29</v>
      </c>
      <c r="I298" s="53">
        <v>32.0</v>
      </c>
      <c r="J298" s="54"/>
      <c r="K298" s="55">
        <v>4.0</v>
      </c>
      <c r="L298" s="18">
        <f>IFNA( VLOOKUP(LEFT(E298, IFERROR(FIND(" ", E298, 1),1) - 1), lists!$A$31:$B$37, 2, FALSE),"")</f>
        <v>4</v>
      </c>
      <c r="M298" s="18" t="str">
        <f>IFERROR(__xludf.DUMMYFUNCTION("IFNA(VLOOKUP(IFNA(REGEXEXTRACT(E298, ""(Пасхи|50-ці|посту)""),""""),lists!$A$39:$B$41,2,FALSE),"""")"),"")</f>
        <v/>
      </c>
      <c r="N298" s="19" t="str">
        <f>IFERROR(__xludf.DUMMYFUNCTION("IFNA(REGEXEXTRACT(E298, ""\d{1,2}""),"""")"),"17")</f>
        <v>17</v>
      </c>
      <c r="O298" s="14" t="b">
        <f t="shared" si="3"/>
        <v>0</v>
      </c>
    </row>
    <row r="299" ht="15.75" customHeight="1">
      <c r="A299" s="13" t="s">
        <v>1450</v>
      </c>
      <c r="B299" s="9" t="str">
        <f t="shared" si="1"/>
        <v>Мр.</v>
      </c>
      <c r="C299" s="11" t="str">
        <f t="shared" si="2"/>
        <v>53</v>
      </c>
      <c r="D299" s="9"/>
      <c r="E299" s="13" t="s">
        <v>1451</v>
      </c>
      <c r="F299" s="14"/>
      <c r="G299" s="15" t="s">
        <v>913</v>
      </c>
      <c r="H299" s="16" t="s">
        <v>29</v>
      </c>
      <c r="I299" s="53">
        <v>32.0</v>
      </c>
      <c r="J299" s="54"/>
      <c r="K299" s="55">
        <v>5.0</v>
      </c>
      <c r="L299" s="18">
        <f>IFNA( VLOOKUP(LEFT(E299, IFERROR(FIND(" ", E299, 1),1) - 1), lists!$A$31:$B$37, 2, FALSE),"")</f>
        <v>5</v>
      </c>
      <c r="M299" s="18" t="str">
        <f>IFERROR(__xludf.DUMMYFUNCTION("IFNA(VLOOKUP(IFNA(REGEXEXTRACT(E299, ""(Пасхи|50-ці|посту)""),""""),lists!$A$39:$B$41,2,FALSE),"""")"),"")</f>
        <v/>
      </c>
      <c r="N299" s="19" t="str">
        <f>IFERROR(__xludf.DUMMYFUNCTION("IFNA(REGEXEXTRACT(E299, ""\d{1,2}""),"""")"),"17")</f>
        <v>17</v>
      </c>
      <c r="O299" s="14" t="b">
        <f t="shared" si="3"/>
        <v>0</v>
      </c>
    </row>
    <row r="300">
      <c r="A300" s="13" t="s">
        <v>1279</v>
      </c>
      <c r="B300" s="9" t="str">
        <f t="shared" si="1"/>
        <v>Лк.</v>
      </c>
      <c r="C300" s="11" t="str">
        <f t="shared" si="2"/>
        <v>84</v>
      </c>
      <c r="D300" s="90"/>
      <c r="E300" s="13" t="s">
        <v>1280</v>
      </c>
      <c r="F300" s="14"/>
      <c r="G300" s="15" t="s">
        <v>913</v>
      </c>
      <c r="H300" s="16" t="s">
        <v>29</v>
      </c>
      <c r="I300" s="73">
        <v>32.0</v>
      </c>
      <c r="J300" s="54"/>
      <c r="K300" s="55">
        <v>6.0</v>
      </c>
      <c r="L300" s="18">
        <f>IFNA( VLOOKUP(LEFT(E300, IFERROR(FIND(" ", E300, 1),1) - 1), lists!$A$31:$B$37, 2, FALSE),"")</f>
        <v>6</v>
      </c>
      <c r="M300" s="18" t="str">
        <f>IFERROR(__xludf.DUMMYFUNCTION("IFNA(VLOOKUP(IFNA(REGEXEXTRACT(E300, ""(Пасхи|50-ці|посту)""),""""),lists!$A$39:$B$41,2,FALSE),"""")"),"")</f>
        <v/>
      </c>
      <c r="N300" s="19" t="str">
        <f>IFERROR(__xludf.DUMMYFUNCTION("IFNA(REGEXEXTRACT(E300, ""\d{1,2}""),"""")"),"32")</f>
        <v>32</v>
      </c>
      <c r="O300" s="14" t="b">
        <f t="shared" si="3"/>
        <v>0</v>
      </c>
    </row>
    <row r="301">
      <c r="A301" s="13" t="s">
        <v>1298</v>
      </c>
      <c r="B301" s="9" t="str">
        <f t="shared" si="1"/>
        <v>Лк.</v>
      </c>
      <c r="C301" s="11" t="str">
        <f t="shared" si="2"/>
        <v>94</v>
      </c>
      <c r="D301" s="90"/>
      <c r="E301" s="13" t="s">
        <v>1299</v>
      </c>
      <c r="F301" s="14"/>
      <c r="G301" s="15" t="s">
        <v>913</v>
      </c>
      <c r="H301" s="16" t="s">
        <v>29</v>
      </c>
      <c r="I301" s="73">
        <v>32.0</v>
      </c>
      <c r="J301" s="54"/>
      <c r="K301" s="55">
        <v>7.0</v>
      </c>
      <c r="L301" s="18">
        <f>IFNA( VLOOKUP(LEFT(E301, IFERROR(FIND(" ", E301, 1),1) - 1), lists!$A$31:$B$37, 2, FALSE),"")</f>
        <v>7</v>
      </c>
      <c r="M301" s="18" t="str">
        <f>IFERROR(__xludf.DUMMYFUNCTION("IFNA(VLOOKUP(IFNA(REGEXEXTRACT(E301, ""(Пасхи|50-ці|посту)""),""""),lists!$A$39:$B$41,2,FALSE),"""")"),"")</f>
        <v/>
      </c>
      <c r="N301" s="19" t="str">
        <f>IFERROR(__xludf.DUMMYFUNCTION("IFNA(REGEXEXTRACT(E301, ""\d{1,2}""),"""")"),"32")</f>
        <v>32</v>
      </c>
      <c r="O301" s="14" t="b">
        <f t="shared" si="3"/>
        <v>0</v>
      </c>
    </row>
    <row r="302">
      <c r="A302" s="13" t="s">
        <v>1452</v>
      </c>
      <c r="B302" s="9" t="str">
        <f t="shared" si="1"/>
        <v>Мр.</v>
      </c>
      <c r="C302" s="11" t="str">
        <f t="shared" si="2"/>
        <v>54</v>
      </c>
      <c r="D302" s="9"/>
      <c r="E302" s="13" t="s">
        <v>1453</v>
      </c>
      <c r="F302" s="14"/>
      <c r="G302" s="15" t="s">
        <v>913</v>
      </c>
      <c r="H302" s="16" t="s">
        <v>29</v>
      </c>
      <c r="I302" s="73">
        <v>33.0</v>
      </c>
      <c r="J302" s="54"/>
      <c r="K302" s="55">
        <v>1.0</v>
      </c>
      <c r="L302" s="18">
        <f>IFNA( VLOOKUP(LEFT(E302, IFERROR(FIND(" ", E302, 1),1) - 1), lists!$A$31:$B$37, 2, FALSE),"")</f>
        <v>1</v>
      </c>
      <c r="M302" s="18" t="str">
        <f>IFERROR(__xludf.DUMMYFUNCTION("IFNA(VLOOKUP(IFNA(REGEXEXTRACT(E302, ""(Пасхи|50-ці|посту)""),""""),lists!$A$39:$B$41,2,FALSE),"""")"),"")</f>
        <v/>
      </c>
      <c r="N302" s="19" t="str">
        <f>IFERROR(__xludf.DUMMYFUNCTION("IFNA(REGEXEXTRACT(E302, ""\d{1,2}""),"""")"),"33")</f>
        <v>33</v>
      </c>
      <c r="O302" s="14" t="b">
        <f t="shared" si="3"/>
        <v>0</v>
      </c>
    </row>
    <row r="303">
      <c r="A303" s="13" t="s">
        <v>1454</v>
      </c>
      <c r="B303" s="9" t="str">
        <f t="shared" si="1"/>
        <v>Мр.</v>
      </c>
      <c r="C303" s="11" t="str">
        <f t="shared" si="2"/>
        <v>55</v>
      </c>
      <c r="D303" s="9"/>
      <c r="E303" s="13" t="s">
        <v>1455</v>
      </c>
      <c r="F303" s="14"/>
      <c r="G303" s="15" t="s">
        <v>913</v>
      </c>
      <c r="H303" s="16" t="s">
        <v>29</v>
      </c>
      <c r="I303" s="73">
        <v>33.0</v>
      </c>
      <c r="J303" s="54"/>
      <c r="K303" s="55">
        <v>2.0</v>
      </c>
      <c r="L303" s="18">
        <f>IFNA( VLOOKUP(LEFT(E303, IFERROR(FIND(" ", E303, 1),1) - 1), lists!$A$31:$B$37, 2, FALSE),"")</f>
        <v>2</v>
      </c>
      <c r="M303" s="18" t="str">
        <f>IFERROR(__xludf.DUMMYFUNCTION("IFNA(VLOOKUP(IFNA(REGEXEXTRACT(E303, ""(Пасхи|50-ці|посту)""),""""),lists!$A$39:$B$41,2,FALSE),"""")"),"")</f>
        <v/>
      </c>
      <c r="N303" s="19" t="str">
        <f>IFERROR(__xludf.DUMMYFUNCTION("IFNA(REGEXEXTRACT(E303, ""\d{1,2}""),"""")"),"33")</f>
        <v>33</v>
      </c>
      <c r="O303" s="14" t="b">
        <f t="shared" si="3"/>
        <v>0</v>
      </c>
    </row>
    <row r="304">
      <c r="A304" s="13" t="s">
        <v>1456</v>
      </c>
      <c r="B304" s="9" t="str">
        <f t="shared" si="1"/>
        <v>Мр.</v>
      </c>
      <c r="C304" s="11" t="str">
        <f t="shared" si="2"/>
        <v>56</v>
      </c>
      <c r="D304" s="9"/>
      <c r="E304" s="13" t="s">
        <v>1457</v>
      </c>
      <c r="F304" s="14"/>
      <c r="G304" s="15" t="s">
        <v>913</v>
      </c>
      <c r="H304" s="16" t="s">
        <v>29</v>
      </c>
      <c r="I304" s="73">
        <v>33.0</v>
      </c>
      <c r="J304" s="54"/>
      <c r="K304" s="55">
        <v>3.0</v>
      </c>
      <c r="L304" s="18">
        <f>IFNA( VLOOKUP(LEFT(E304, IFERROR(FIND(" ", E304, 1),1) - 1), lists!$A$31:$B$37, 2, FALSE),"")</f>
        <v>3</v>
      </c>
      <c r="M304" s="18" t="str">
        <f>IFERROR(__xludf.DUMMYFUNCTION("IFNA(VLOOKUP(IFNA(REGEXEXTRACT(E304, ""(Пасхи|50-ці|посту)""),""""),lists!$A$39:$B$41,2,FALSE),"""")"),"")</f>
        <v/>
      </c>
      <c r="N304" s="19" t="str">
        <f>IFERROR(__xludf.DUMMYFUNCTION("IFNA(REGEXEXTRACT(E304, ""\d{1,2}""),"""")"),"33")</f>
        <v>33</v>
      </c>
      <c r="O304" s="14" t="b">
        <f t="shared" si="3"/>
        <v>0</v>
      </c>
    </row>
    <row r="305">
      <c r="A305" s="13" t="s">
        <v>1458</v>
      </c>
      <c r="B305" s="9" t="str">
        <f t="shared" si="1"/>
        <v>Мр.</v>
      </c>
      <c r="C305" s="11" t="str">
        <f t="shared" si="2"/>
        <v>57</v>
      </c>
      <c r="D305" s="9"/>
      <c r="E305" s="13" t="s">
        <v>1459</v>
      </c>
      <c r="F305" s="14"/>
      <c r="G305" s="15" t="s">
        <v>913</v>
      </c>
      <c r="H305" s="16" t="s">
        <v>29</v>
      </c>
      <c r="I305" s="73">
        <v>33.0</v>
      </c>
      <c r="J305" s="54"/>
      <c r="K305" s="55">
        <v>4.0</v>
      </c>
      <c r="L305" s="18">
        <f>IFNA( VLOOKUP(LEFT(E305, IFERROR(FIND(" ", E305, 1),1) - 1), lists!$A$31:$B$37, 2, FALSE),"")</f>
        <v>4</v>
      </c>
      <c r="M305" s="18" t="str">
        <f>IFERROR(__xludf.DUMMYFUNCTION("IFNA(VLOOKUP(IFNA(REGEXEXTRACT(E305, ""(Пасхи|50-ці|посту)""),""""),lists!$A$39:$B$41,2,FALSE),"""")"),"")</f>
        <v/>
      </c>
      <c r="N305" s="19" t="str">
        <f>IFERROR(__xludf.DUMMYFUNCTION("IFNA(REGEXEXTRACT(E305, ""\d{1,2}""),"""")"),"33")</f>
        <v>33</v>
      </c>
      <c r="O305" s="14" t="b">
        <f t="shared" si="3"/>
        <v>0</v>
      </c>
    </row>
    <row r="306">
      <c r="A306" s="13" t="s">
        <v>1460</v>
      </c>
      <c r="B306" s="9" t="str">
        <f t="shared" si="1"/>
        <v>Мр.</v>
      </c>
      <c r="C306" s="11" t="str">
        <f t="shared" si="2"/>
        <v>58</v>
      </c>
      <c r="D306" s="9"/>
      <c r="E306" s="13" t="s">
        <v>1461</v>
      </c>
      <c r="F306" s="14"/>
      <c r="G306" s="15" t="s">
        <v>913</v>
      </c>
      <c r="H306" s="16" t="s">
        <v>29</v>
      </c>
      <c r="I306" s="73">
        <v>33.0</v>
      </c>
      <c r="J306" s="54"/>
      <c r="K306" s="55">
        <v>5.0</v>
      </c>
      <c r="L306" s="18">
        <f>IFNA( VLOOKUP(LEFT(E306, IFERROR(FIND(" ", E306, 1),1) - 1), lists!$A$31:$B$37, 2, FALSE),"")</f>
        <v>5</v>
      </c>
      <c r="M306" s="18" t="str">
        <f>IFERROR(__xludf.DUMMYFUNCTION("IFNA(VLOOKUP(IFNA(REGEXEXTRACT(E306, ""(Пасхи|50-ці|посту)""),""""),lists!$A$39:$B$41,2,FALSE),"""")"),"")</f>
        <v/>
      </c>
      <c r="N306" s="19" t="str">
        <f>IFERROR(__xludf.DUMMYFUNCTION("IFNA(REGEXEXTRACT(E306, ""\d{1,2}""),"""")"),"33")</f>
        <v>33</v>
      </c>
      <c r="O306" s="14" t="b">
        <f t="shared" si="3"/>
        <v>0</v>
      </c>
    </row>
    <row r="307">
      <c r="A307" s="13" t="s">
        <v>1287</v>
      </c>
      <c r="B307" s="9" t="str">
        <f t="shared" si="1"/>
        <v>Лк.</v>
      </c>
      <c r="C307" s="11" t="str">
        <f t="shared" si="2"/>
        <v>88</v>
      </c>
      <c r="D307" s="90"/>
      <c r="E307" s="13" t="s">
        <v>1288</v>
      </c>
      <c r="F307" s="14"/>
      <c r="G307" s="15" t="s">
        <v>913</v>
      </c>
      <c r="H307" s="16" t="s">
        <v>29</v>
      </c>
      <c r="I307" s="73">
        <v>33.0</v>
      </c>
      <c r="J307" s="54"/>
      <c r="K307" s="55">
        <v>6.0</v>
      </c>
      <c r="L307" s="18">
        <f>IFNA( VLOOKUP(LEFT(E307, IFERROR(FIND(" ", E307, 1),1) - 1), lists!$A$31:$B$37, 2, FALSE),"")</f>
        <v>6</v>
      </c>
      <c r="M307" s="18" t="str">
        <f>IFERROR(__xludf.DUMMYFUNCTION("IFNA(VLOOKUP(IFNA(REGEXEXTRACT(E307, ""(Пасхи|50-ці|посту)""),""""),lists!$A$39:$B$41,2,FALSE),"""")"),"")</f>
        <v/>
      </c>
      <c r="N307" s="19" t="str">
        <f>IFERROR(__xludf.DUMMYFUNCTION("IFNA(REGEXEXTRACT(E307, ""\d{1,2}""),"""")"),"33")</f>
        <v>33</v>
      </c>
      <c r="O307" s="14" t="b">
        <f t="shared" si="3"/>
        <v>0</v>
      </c>
    </row>
    <row r="308">
      <c r="A308" s="13" t="s">
        <v>1289</v>
      </c>
      <c r="B308" s="9" t="str">
        <f t="shared" si="1"/>
        <v>Лк.</v>
      </c>
      <c r="C308" s="11" t="str">
        <f t="shared" si="2"/>
        <v>89</v>
      </c>
      <c r="D308" s="90"/>
      <c r="E308" s="13" t="s">
        <v>743</v>
      </c>
      <c r="F308" s="14"/>
      <c r="G308" s="15" t="s">
        <v>913</v>
      </c>
      <c r="H308" s="16" t="s">
        <v>29</v>
      </c>
      <c r="I308" s="73">
        <v>33.0</v>
      </c>
      <c r="J308" s="54"/>
      <c r="K308" s="55">
        <v>7.0</v>
      </c>
      <c r="L308" s="18">
        <f>IFNA( VLOOKUP(LEFT(E308, IFERROR(FIND(" ", E308, 1),1) - 1), lists!$A$31:$B$37, 2, FALSE),"")</f>
        <v>7</v>
      </c>
      <c r="M308" s="18" t="str">
        <f>IFERROR(__xludf.DUMMYFUNCTION("IFNA(VLOOKUP(IFNA(REGEXEXTRACT(E308, ""(Пасхи|50-ці|посту)""),""""),lists!$A$39:$B$41,2,FALSE),"""")"),"")</f>
        <v/>
      </c>
      <c r="N308" s="19" t="str">
        <f>IFERROR(__xludf.DUMMYFUNCTION("IFNA(REGEXEXTRACT(E308, ""\d{1,2}""),"""")"),"33")</f>
        <v>33</v>
      </c>
      <c r="O308" s="14" t="b">
        <f t="shared" si="3"/>
        <v>0</v>
      </c>
    </row>
    <row r="309">
      <c r="A309" s="13" t="s">
        <v>1462</v>
      </c>
      <c r="B309" s="9" t="str">
        <f t="shared" si="1"/>
        <v>Мр.</v>
      </c>
      <c r="C309" s="11" t="str">
        <f t="shared" si="2"/>
        <v>59</v>
      </c>
      <c r="D309" s="9"/>
      <c r="E309" s="13" t="s">
        <v>1463</v>
      </c>
      <c r="F309" s="14"/>
      <c r="G309" s="15" t="s">
        <v>913</v>
      </c>
      <c r="H309" s="16" t="s">
        <v>29</v>
      </c>
      <c r="I309" s="73">
        <v>34.0</v>
      </c>
      <c r="J309" s="54"/>
      <c r="K309" s="55">
        <v>1.0</v>
      </c>
      <c r="L309" s="18">
        <f>IFNA( VLOOKUP(LEFT(E309, IFERROR(FIND(" ", E309, 1),1) - 1), lists!$A$31:$B$37, 2, FALSE),"")</f>
        <v>1</v>
      </c>
      <c r="M309" s="18" t="str">
        <f>IFERROR(__xludf.DUMMYFUNCTION("IFNA(VLOOKUP(IFNA(REGEXEXTRACT(E309, ""(Пасхи|50-ці|посту)""),""""),lists!$A$39:$B$41,2,FALSE),"""")"),"")</f>
        <v/>
      </c>
      <c r="N309" s="19" t="str">
        <f>IFERROR(__xludf.DUMMYFUNCTION("IFNA(REGEXEXTRACT(E309, ""\d{1,2}""),"""")"),"34")</f>
        <v>34</v>
      </c>
      <c r="O309" s="14" t="b">
        <f t="shared" si="3"/>
        <v>0</v>
      </c>
    </row>
    <row r="310">
      <c r="A310" s="13" t="s">
        <v>1464</v>
      </c>
      <c r="B310" s="9" t="str">
        <f t="shared" si="1"/>
        <v>Мр.</v>
      </c>
      <c r="C310" s="11" t="str">
        <f t="shared" si="2"/>
        <v>60</v>
      </c>
      <c r="D310" s="9"/>
      <c r="E310" s="13" t="s">
        <v>1465</v>
      </c>
      <c r="F310" s="14"/>
      <c r="G310" s="15" t="s">
        <v>913</v>
      </c>
      <c r="H310" s="16" t="s">
        <v>29</v>
      </c>
      <c r="I310" s="73">
        <v>34.0</v>
      </c>
      <c r="J310" s="54"/>
      <c r="K310" s="55">
        <v>2.0</v>
      </c>
      <c r="L310" s="18">
        <f>IFNA( VLOOKUP(LEFT(E310, IFERROR(FIND(" ", E310, 1),1) - 1), lists!$A$31:$B$37, 2, FALSE),"")</f>
        <v>2</v>
      </c>
      <c r="M310" s="18" t="str">
        <f>IFERROR(__xludf.DUMMYFUNCTION("IFNA(VLOOKUP(IFNA(REGEXEXTRACT(E310, ""(Пасхи|50-ці|посту)""),""""),lists!$A$39:$B$41,2,FALSE),"""")"),"")</f>
        <v/>
      </c>
      <c r="N310" s="19" t="str">
        <f>IFERROR(__xludf.DUMMYFUNCTION("IFNA(REGEXEXTRACT(E310, ""\d{1,2}""),"""")"),"34")</f>
        <v>34</v>
      </c>
      <c r="O310" s="14" t="b">
        <f t="shared" si="3"/>
        <v>0</v>
      </c>
    </row>
    <row r="311">
      <c r="A311" s="13" t="s">
        <v>1466</v>
      </c>
      <c r="B311" s="9" t="str">
        <f t="shared" si="1"/>
        <v>Мр.</v>
      </c>
      <c r="C311" s="11" t="str">
        <f t="shared" si="2"/>
        <v>61</v>
      </c>
      <c r="D311" s="9"/>
      <c r="E311" s="21" t="s">
        <v>1467</v>
      </c>
      <c r="F311" s="14"/>
      <c r="G311" s="15" t="s">
        <v>913</v>
      </c>
      <c r="H311" s="16" t="s">
        <v>29</v>
      </c>
      <c r="I311" s="73">
        <v>34.0</v>
      </c>
      <c r="J311" s="54"/>
      <c r="K311" s="55">
        <v>3.0</v>
      </c>
      <c r="L311" s="18">
        <f>IFNA( VLOOKUP(LEFT(E311, IFERROR(FIND(" ", E311, 1),1) - 1), lists!$A$31:$B$37, 2, FALSE),"")</f>
        <v>3</v>
      </c>
      <c r="M311" s="18" t="str">
        <f>IFERROR(__xludf.DUMMYFUNCTION("IFNA(VLOOKUP(IFNA(REGEXEXTRACT(E311, ""(Пасхи|50-ці|посту)""),""""),lists!$A$39:$B$41,2,FALSE),"""")"),"")</f>
        <v/>
      </c>
      <c r="N311" s="19" t="str">
        <f>IFERROR(__xludf.DUMMYFUNCTION("IFNA(REGEXEXTRACT(E311, ""\d{1,2}""),"""")"),"34")</f>
        <v>34</v>
      </c>
      <c r="O311" s="14" t="b">
        <f t="shared" si="3"/>
        <v>0</v>
      </c>
    </row>
    <row r="312">
      <c r="A312" s="13" t="s">
        <v>1468</v>
      </c>
      <c r="B312" s="9" t="str">
        <f t="shared" si="1"/>
        <v>Мр.</v>
      </c>
      <c r="C312" s="11" t="str">
        <f t="shared" si="2"/>
        <v>62</v>
      </c>
      <c r="D312" s="9"/>
      <c r="E312" s="13" t="s">
        <v>1469</v>
      </c>
      <c r="F312" s="14"/>
      <c r="G312" s="15" t="s">
        <v>913</v>
      </c>
      <c r="H312" s="16" t="s">
        <v>29</v>
      </c>
      <c r="I312" s="73">
        <v>34.0</v>
      </c>
      <c r="J312" s="54"/>
      <c r="K312" s="55">
        <v>4.0</v>
      </c>
      <c r="L312" s="18">
        <f>IFNA( VLOOKUP(LEFT(E312, IFERROR(FIND(" ", E312, 1),1) - 1), lists!$A$31:$B$37, 2, FALSE),"")</f>
        <v>4</v>
      </c>
      <c r="M312" s="18" t="str">
        <f>IFERROR(__xludf.DUMMYFUNCTION("IFNA(VLOOKUP(IFNA(REGEXEXTRACT(E312, ""(Пасхи|50-ці|посту)""),""""),lists!$A$39:$B$41,2,FALSE),"""")"),"")</f>
        <v/>
      </c>
      <c r="N312" s="19" t="str">
        <f>IFERROR(__xludf.DUMMYFUNCTION("IFNA(REGEXEXTRACT(E312, ""\d{1,2}""),"""")"),"34")</f>
        <v>34</v>
      </c>
      <c r="O312" s="14" t="b">
        <f t="shared" si="3"/>
        <v>0</v>
      </c>
    </row>
    <row r="313">
      <c r="A313" s="13" t="s">
        <v>1470</v>
      </c>
      <c r="B313" s="9" t="str">
        <f t="shared" si="1"/>
        <v>Мр.</v>
      </c>
      <c r="C313" s="11" t="str">
        <f t="shared" si="2"/>
        <v>63</v>
      </c>
      <c r="D313" s="9"/>
      <c r="E313" s="13" t="s">
        <v>1471</v>
      </c>
      <c r="F313" s="14"/>
      <c r="G313" s="15" t="s">
        <v>913</v>
      </c>
      <c r="H313" s="16" t="s">
        <v>29</v>
      </c>
      <c r="I313" s="73">
        <v>34.0</v>
      </c>
      <c r="J313" s="54"/>
      <c r="K313" s="55">
        <v>5.0</v>
      </c>
      <c r="L313" s="18">
        <f>IFNA( VLOOKUP(LEFT(E313, IFERROR(FIND(" ", E313, 1),1) - 1), lists!$A$31:$B$37, 2, FALSE),"")</f>
        <v>5</v>
      </c>
      <c r="M313" s="18" t="str">
        <f>IFERROR(__xludf.DUMMYFUNCTION("IFNA(VLOOKUP(IFNA(REGEXEXTRACT(E313, ""(Пасхи|50-ці|посту)""),""""),lists!$A$39:$B$41,2,FALSE),"""")"),"")</f>
        <v/>
      </c>
      <c r="N313" s="19" t="str">
        <f>IFERROR(__xludf.DUMMYFUNCTION("IFNA(REGEXEXTRACT(E313, ""\d{1,2}""),"""")"),"34")</f>
        <v>34</v>
      </c>
      <c r="O313" s="14" t="b">
        <f t="shared" si="3"/>
        <v>0</v>
      </c>
    </row>
    <row r="314">
      <c r="A314" s="13" t="s">
        <v>1316</v>
      </c>
      <c r="B314" s="9" t="str">
        <f t="shared" si="1"/>
        <v>Лк.</v>
      </c>
      <c r="C314" s="11" t="str">
        <f t="shared" si="2"/>
        <v>103</v>
      </c>
      <c r="D314" s="9"/>
      <c r="E314" s="13" t="s">
        <v>1317</v>
      </c>
      <c r="F314" s="14"/>
      <c r="G314" s="15" t="s">
        <v>913</v>
      </c>
      <c r="H314" s="16" t="s">
        <v>29</v>
      </c>
      <c r="I314" s="73">
        <v>34.0</v>
      </c>
      <c r="J314" s="54"/>
      <c r="K314" s="55">
        <v>6.0</v>
      </c>
      <c r="L314" s="18">
        <f>IFNA( VLOOKUP(LEFT(E314, IFERROR(FIND(" ", E314, 1),1) - 1), lists!$A$31:$B$37, 2, FALSE),"")</f>
        <v>6</v>
      </c>
      <c r="M314" s="18" t="str">
        <f>IFERROR(__xludf.DUMMYFUNCTION("IFNA(VLOOKUP(IFNA(REGEXEXTRACT(E314, ""(Пасхи|50-ці|посту)""),""""),lists!$A$39:$B$41,2,FALSE),"""")"),"")</f>
        <v/>
      </c>
      <c r="N314" s="19" t="str">
        <f>IFERROR(__xludf.DUMMYFUNCTION("IFNA(REGEXEXTRACT(E314, ""\d{1,2}""),"""")"),"34")</f>
        <v>34</v>
      </c>
      <c r="O314" s="14" t="b">
        <f t="shared" si="3"/>
        <v>0</v>
      </c>
    </row>
    <row r="315">
      <c r="A315" s="13" t="s">
        <v>1269</v>
      </c>
      <c r="B315" s="9" t="str">
        <f t="shared" si="1"/>
        <v>Лк.</v>
      </c>
      <c r="C315" s="11" t="str">
        <f t="shared" si="2"/>
        <v>79</v>
      </c>
      <c r="D315" s="9"/>
      <c r="E315" s="13" t="s">
        <v>1270</v>
      </c>
      <c r="F315" s="14"/>
      <c r="G315" s="15" t="s">
        <v>913</v>
      </c>
      <c r="H315" s="16" t="s">
        <v>29</v>
      </c>
      <c r="I315" s="73">
        <v>34.0</v>
      </c>
      <c r="J315" s="55"/>
      <c r="K315" s="55">
        <v>7.0</v>
      </c>
      <c r="L315" s="18">
        <f>IFNA( VLOOKUP(LEFT(E315, IFERROR(FIND(" ", E315, 1),1) - 1), lists!$A$31:$B$37, 2, FALSE),"")</f>
        <v>7</v>
      </c>
      <c r="M315" s="18" t="str">
        <f>IFERROR(__xludf.DUMMYFUNCTION("IFNA(VLOOKUP(IFNA(REGEXEXTRACT(E315, ""(Пасхи|50-ці|посту)""),""""),lists!$A$39:$B$41,2,FALSE),"""")"),"")</f>
        <v/>
      </c>
      <c r="N315" s="19" t="str">
        <f>IFERROR(__xludf.DUMMYFUNCTION("IFNA(REGEXEXTRACT(E315, ""\d{1,2}""),"""")"),"34")</f>
        <v>34</v>
      </c>
      <c r="O315" s="14" t="b">
        <f t="shared" si="3"/>
        <v>0</v>
      </c>
    </row>
    <row r="316">
      <c r="A316" s="13" t="s">
        <v>1442</v>
      </c>
      <c r="B316" s="9" t="str">
        <f t="shared" si="1"/>
        <v>Мр.</v>
      </c>
      <c r="C316" s="11" t="str">
        <f t="shared" si="2"/>
        <v>49</v>
      </c>
      <c r="D316" s="9"/>
      <c r="E316" s="13" t="s">
        <v>1443</v>
      </c>
      <c r="F316" s="14"/>
      <c r="G316" s="15" t="s">
        <v>913</v>
      </c>
      <c r="H316" s="16" t="s">
        <v>29</v>
      </c>
      <c r="I316" s="53">
        <v>35.0</v>
      </c>
      <c r="J316" s="55">
        <v>2.0</v>
      </c>
      <c r="K316" s="55">
        <v>1.0</v>
      </c>
      <c r="L316" s="18">
        <f>IFNA( VLOOKUP(LEFT(E316, IFERROR(FIND(" ", E316, 1),1) - 1), lists!$A$31:$B$37, 2, FALSE),"")</f>
        <v>1</v>
      </c>
      <c r="M316" s="18" t="str">
        <f>IFERROR(__xludf.DUMMYFUNCTION("IFNA(VLOOKUP(IFNA(REGEXEXTRACT(E316, ""(Пасхи|50-ці|посту)""),""""),lists!$A$39:$B$41,2,FALSE),"""")"),"")</f>
        <v/>
      </c>
      <c r="N316" s="19" t="str">
        <f>IFERROR(__xludf.DUMMYFUNCTION("IFNA(REGEXEXTRACT(E316, ""\d{1,2}""),"""")"),"")</f>
        <v/>
      </c>
      <c r="O316" s="14" t="b">
        <f t="shared" si="3"/>
        <v>0</v>
      </c>
    </row>
    <row r="317">
      <c r="A317" s="13" t="s">
        <v>1472</v>
      </c>
      <c r="B317" s="9" t="str">
        <f t="shared" si="1"/>
        <v>Мр.</v>
      </c>
      <c r="C317" s="11" t="str">
        <f t="shared" si="2"/>
        <v>64</v>
      </c>
      <c r="D317" s="9"/>
      <c r="E317" s="13" t="s">
        <v>1473</v>
      </c>
      <c r="F317" s="14"/>
      <c r="G317" s="15" t="s">
        <v>913</v>
      </c>
      <c r="H317" s="16" t="s">
        <v>29</v>
      </c>
      <c r="I317" s="53">
        <v>35.0</v>
      </c>
      <c r="J317" s="55">
        <v>2.0</v>
      </c>
      <c r="K317" s="55">
        <v>2.0</v>
      </c>
      <c r="L317" s="18">
        <f>IFNA( VLOOKUP(LEFT(E317, IFERROR(FIND(" ", E317, 1),1) - 1), lists!$A$31:$B$37, 2, FALSE),"")</f>
        <v>2</v>
      </c>
      <c r="M317" s="18" t="str">
        <f>IFERROR(__xludf.DUMMYFUNCTION("IFNA(VLOOKUP(IFNA(REGEXEXTRACT(E317, ""(Пасхи|50-ці|посту)""),""""),lists!$A$39:$B$41,2,FALSE),"""")"),"")</f>
        <v/>
      </c>
      <c r="N317" s="19" t="str">
        <f>IFERROR(__xludf.DUMMYFUNCTION("IFNA(REGEXEXTRACT(E317, ""\d{1,2}""),"""")"),"")</f>
        <v/>
      </c>
      <c r="O317" s="14" t="b">
        <f t="shared" si="3"/>
        <v>0</v>
      </c>
    </row>
    <row r="318">
      <c r="A318" s="13" t="s">
        <v>1474</v>
      </c>
      <c r="B318" s="9" t="str">
        <f t="shared" si="1"/>
        <v>Мр.</v>
      </c>
      <c r="C318" s="11" t="str">
        <f t="shared" si="2"/>
        <v>65</v>
      </c>
      <c r="D318" s="9"/>
      <c r="E318" s="13" t="s">
        <v>1475</v>
      </c>
      <c r="F318" s="14"/>
      <c r="G318" s="15" t="s">
        <v>913</v>
      </c>
      <c r="H318" s="16" t="s">
        <v>29</v>
      </c>
      <c r="I318" s="53">
        <v>35.0</v>
      </c>
      <c r="J318" s="55">
        <v>2.0</v>
      </c>
      <c r="K318" s="55">
        <v>3.0</v>
      </c>
      <c r="L318" s="18">
        <f>IFNA( VLOOKUP(LEFT(E318, IFERROR(FIND(" ", E318, 1),1) - 1), lists!$A$31:$B$37, 2, FALSE),"")</f>
        <v>3</v>
      </c>
      <c r="M318" s="18" t="str">
        <f>IFERROR(__xludf.DUMMYFUNCTION("IFNA(VLOOKUP(IFNA(REGEXEXTRACT(E318, ""(Пасхи|50-ці|посту)""),""""),lists!$A$39:$B$41,2,FALSE),"""")"),"")</f>
        <v/>
      </c>
      <c r="N318" s="19" t="str">
        <f>IFERROR(__xludf.DUMMYFUNCTION("IFNA(REGEXEXTRACT(E318, ""\d{1,2}""),"""")"),"")</f>
        <v/>
      </c>
      <c r="O318" s="14" t="b">
        <f t="shared" si="3"/>
        <v>0</v>
      </c>
    </row>
    <row r="319">
      <c r="A319" s="13" t="s">
        <v>1476</v>
      </c>
      <c r="B319" s="9" t="str">
        <f t="shared" si="1"/>
        <v>Мр.</v>
      </c>
      <c r="C319" s="11" t="str">
        <f t="shared" si="2"/>
        <v>66</v>
      </c>
      <c r="D319" s="9"/>
      <c r="E319" s="13" t="s">
        <v>1477</v>
      </c>
      <c r="F319" s="14"/>
      <c r="G319" s="15" t="s">
        <v>913</v>
      </c>
      <c r="H319" s="16" t="s">
        <v>29</v>
      </c>
      <c r="I319" s="53">
        <v>35.0</v>
      </c>
      <c r="J319" s="55">
        <v>2.0</v>
      </c>
      <c r="K319" s="55">
        <v>4.0</v>
      </c>
      <c r="L319" s="18">
        <f>IFNA( VLOOKUP(LEFT(E319, IFERROR(FIND(" ", E319, 1),1) - 1), lists!$A$31:$B$37, 2, FALSE),"")</f>
        <v>4</v>
      </c>
      <c r="M319" s="18" t="str">
        <f>IFERROR(__xludf.DUMMYFUNCTION("IFNA(VLOOKUP(IFNA(REGEXEXTRACT(E319, ""(Пасхи|50-ці|посту)""),""""),lists!$A$39:$B$41,2,FALSE),"""")"),"")</f>
        <v/>
      </c>
      <c r="N319" s="19" t="str">
        <f>IFERROR(__xludf.DUMMYFUNCTION("IFNA(REGEXEXTRACT(E319, ""\d{1,2}""),"""")"),"")</f>
        <v/>
      </c>
      <c r="O319" s="14" t="b">
        <f t="shared" si="3"/>
        <v>0</v>
      </c>
    </row>
    <row r="320">
      <c r="A320" s="21" t="s">
        <v>1482</v>
      </c>
      <c r="B320" s="9" t="str">
        <f t="shared" si="1"/>
        <v>Мр.</v>
      </c>
      <c r="C320" s="11" t="str">
        <f t="shared" si="2"/>
        <v>68</v>
      </c>
      <c r="D320" s="9"/>
      <c r="E320" s="36" t="s">
        <v>1483</v>
      </c>
      <c r="F320" s="14"/>
      <c r="G320" s="15" t="s">
        <v>913</v>
      </c>
      <c r="H320" s="16" t="s">
        <v>29</v>
      </c>
      <c r="I320" s="53">
        <v>35.0</v>
      </c>
      <c r="J320" s="55">
        <v>2.0</v>
      </c>
      <c r="K320" s="55">
        <v>5.0</v>
      </c>
      <c r="L320" s="18">
        <f>IFNA( VLOOKUP(LEFT(E320, IFERROR(FIND(" ", E320, 1),1) - 1), lists!$A$31:$B$37, 2, FALSE),"")</f>
        <v>5</v>
      </c>
      <c r="M320" s="18" t="str">
        <f>IFERROR(__xludf.DUMMYFUNCTION("IFNA(VLOOKUP(IFNA(REGEXEXTRACT(E320, ""(Пасхи|50-ці|посту)""),""""),lists!$A$39:$B$41,2,FALSE),"""")"),"")</f>
        <v/>
      </c>
      <c r="N320" s="19" t="str">
        <f>IFERROR(__xludf.DUMMYFUNCTION("IFNA(REGEXEXTRACT(E320, ""\d{1,2}""),"""")"),"")</f>
        <v/>
      </c>
      <c r="O320" s="14" t="b">
        <f t="shared" si="3"/>
        <v>0</v>
      </c>
    </row>
    <row r="321">
      <c r="A321" s="13" t="s">
        <v>1320</v>
      </c>
      <c r="B321" s="9" t="str">
        <f t="shared" si="1"/>
        <v>Лк.</v>
      </c>
      <c r="C321" s="11" t="str">
        <f t="shared" si="2"/>
        <v>105</v>
      </c>
      <c r="D321" s="9"/>
      <c r="E321" s="13" t="s">
        <v>1321</v>
      </c>
      <c r="F321" s="14"/>
      <c r="G321" s="15" t="s">
        <v>913</v>
      </c>
      <c r="H321" s="16" t="s">
        <v>29</v>
      </c>
      <c r="I321" s="53">
        <v>35.0</v>
      </c>
      <c r="J321" s="55">
        <v>2.0</v>
      </c>
      <c r="K321" s="55">
        <v>6.0</v>
      </c>
      <c r="L321" s="18">
        <f>IFNA( VLOOKUP(LEFT(E321, IFERROR(FIND(" ", E321, 1),1) - 1), lists!$A$31:$B$37, 2, FALSE),"")</f>
        <v>6</v>
      </c>
      <c r="M321" s="18" t="str">
        <f>IFERROR(__xludf.DUMMYFUNCTION("IFNA(VLOOKUP(IFNA(REGEXEXTRACT(E321, ""(Пасхи|50-ці|посту)""),""""),lists!$A$39:$B$41,2,FALSE),"""")"),"")</f>
        <v/>
      </c>
      <c r="N321" s="19" t="str">
        <f>IFERROR(__xludf.DUMMYFUNCTION("IFNA(REGEXEXTRACT(E321, ""\d{1,2}""),"""")"),"")</f>
        <v/>
      </c>
      <c r="O321" s="14" t="b">
        <f t="shared" si="3"/>
        <v>0</v>
      </c>
    </row>
    <row r="322">
      <c r="A322" s="13" t="s">
        <v>1702</v>
      </c>
      <c r="B322" s="9" t="str">
        <f t="shared" si="1"/>
        <v>Мт.</v>
      </c>
      <c r="C322" s="11" t="str">
        <f t="shared" si="2"/>
        <v>106</v>
      </c>
      <c r="D322" s="9"/>
      <c r="E322" s="13" t="s">
        <v>1703</v>
      </c>
      <c r="F322" s="14"/>
      <c r="G322" s="15" t="s">
        <v>913</v>
      </c>
      <c r="H322" s="16" t="s">
        <v>29</v>
      </c>
      <c r="I322" s="55">
        <v>35.0</v>
      </c>
      <c r="J322" s="55">
        <v>2.0</v>
      </c>
      <c r="K322" s="55">
        <v>7.0</v>
      </c>
      <c r="L322" s="18">
        <f>IFNA( VLOOKUP(LEFT(E322, IFERROR(FIND(" ", E322, 1),1) - 1), lists!$A$31:$B$37, 2, FALSE),"")</f>
        <v>7</v>
      </c>
      <c r="M322" s="18" t="str">
        <f>IFERROR(__xludf.DUMMYFUNCTION("IFNA(VLOOKUP(IFNA(REGEXEXTRACT(E322, ""(Пасхи|50-ці|посту)""),""""),lists!$A$39:$B$41,2,FALSE),"""")"),"")</f>
        <v/>
      </c>
      <c r="N322" s="19" t="str">
        <f>IFERROR(__xludf.DUMMYFUNCTION("IFNA(REGEXEXTRACT(E322, ""\d{1,2}""),"""")"),"")</f>
        <v/>
      </c>
      <c r="O322" s="14" t="b">
        <f t="shared" si="3"/>
        <v>0</v>
      </c>
    </row>
    <row r="323">
      <c r="A323" s="13" t="s">
        <v>1302</v>
      </c>
      <c r="B323" s="9" t="str">
        <f t="shared" si="1"/>
        <v>Лк.</v>
      </c>
      <c r="C323" s="11" t="str">
        <f t="shared" si="2"/>
        <v>96</v>
      </c>
      <c r="D323" s="9"/>
      <c r="E323" s="13" t="s">
        <v>1303</v>
      </c>
      <c r="F323" s="14"/>
      <c r="G323" s="15" t="s">
        <v>913</v>
      </c>
      <c r="H323" s="16" t="s">
        <v>29</v>
      </c>
      <c r="I323" s="53">
        <v>36.0</v>
      </c>
      <c r="J323" s="55">
        <v>1.0</v>
      </c>
      <c r="K323" s="55">
        <v>1.0</v>
      </c>
      <c r="L323" s="18">
        <f>IFNA( VLOOKUP(LEFT(E323, IFERROR(FIND(" ", E323, 1),1) - 1), lists!$A$31:$B$37, 2, FALSE),"")</f>
        <v>1</v>
      </c>
      <c r="M323" s="18" t="str">
        <f>IFERROR(__xludf.DUMMYFUNCTION("IFNA(VLOOKUP(IFNA(REGEXEXTRACT(E323, ""(Пасхи|50-ці|посту)""),""""),lists!$A$39:$B$41,2,FALSE),"""")"),"")</f>
        <v/>
      </c>
      <c r="N323" s="19" t="str">
        <f>IFERROR(__xludf.DUMMYFUNCTION("IFNA(REGEXEXTRACT(E323, ""\d{1,2}""),"""")"),"")</f>
        <v/>
      </c>
      <c r="O323" s="14" t="b">
        <f t="shared" si="3"/>
        <v>0</v>
      </c>
    </row>
    <row r="324">
      <c r="A324" s="13" t="s">
        <v>1330</v>
      </c>
      <c r="B324" s="9" t="str">
        <f t="shared" si="1"/>
        <v>Лк.</v>
      </c>
      <c r="C324" s="11" t="str">
        <f t="shared" si="2"/>
        <v>109</v>
      </c>
      <c r="D324" s="9"/>
      <c r="E324" s="13" t="s">
        <v>1331</v>
      </c>
      <c r="F324" s="14"/>
      <c r="G324" s="15" t="s">
        <v>913</v>
      </c>
      <c r="H324" s="16" t="s">
        <v>29</v>
      </c>
      <c r="I324" s="53">
        <v>36.0</v>
      </c>
      <c r="J324" s="55">
        <v>1.0</v>
      </c>
      <c r="K324" s="55">
        <v>2.0</v>
      </c>
      <c r="L324" s="18">
        <f>IFNA( VLOOKUP(LEFT(E324, IFERROR(FIND(" ", E324, 1),1) - 1), lists!$A$31:$B$37, 2, FALSE),"")</f>
        <v>2</v>
      </c>
      <c r="M324" s="18" t="str">
        <f>IFERROR(__xludf.DUMMYFUNCTION("IFNA(VLOOKUP(IFNA(REGEXEXTRACT(E324, ""(Пасхи|50-ці|посту)""),""""),lists!$A$39:$B$41,2,FALSE),"""")"),"")</f>
        <v/>
      </c>
      <c r="N324" s="19" t="str">
        <f>IFERROR(__xludf.DUMMYFUNCTION("IFNA(REGEXEXTRACT(E324, ""\d{1,2}""),"""")"),"")</f>
        <v/>
      </c>
      <c r="O324" s="14" t="b">
        <f t="shared" si="3"/>
        <v>0</v>
      </c>
    </row>
    <row r="325">
      <c r="A325" s="13" t="s">
        <v>1332</v>
      </c>
      <c r="B325" s="9" t="str">
        <f t="shared" si="1"/>
        <v>Лк.</v>
      </c>
      <c r="C325" s="11" t="str">
        <f t="shared" si="2"/>
        <v>110</v>
      </c>
      <c r="D325" s="9"/>
      <c r="E325" s="13" t="s">
        <v>1333</v>
      </c>
      <c r="F325" s="14"/>
      <c r="G325" s="15" t="s">
        <v>913</v>
      </c>
      <c r="H325" s="16" t="s">
        <v>29</v>
      </c>
      <c r="I325" s="53">
        <v>36.0</v>
      </c>
      <c r="J325" s="55">
        <v>1.0</v>
      </c>
      <c r="K325" s="55">
        <v>4.0</v>
      </c>
      <c r="L325" s="18">
        <f>IFNA( VLOOKUP(LEFT(E325, IFERROR(FIND(" ", E325, 1),1) - 1), lists!$A$31:$B$37, 2, FALSE),"")</f>
        <v>4</v>
      </c>
      <c r="M325" s="18" t="str">
        <f>IFERROR(__xludf.DUMMYFUNCTION("IFNA(VLOOKUP(IFNA(REGEXEXTRACT(E325, ""(Пасхи|50-ці|посту)""),""""),lists!$A$39:$B$41,2,FALSE),"""")"),"")</f>
        <v/>
      </c>
      <c r="N325" s="19" t="str">
        <f>IFERROR(__xludf.DUMMYFUNCTION("IFNA(REGEXEXTRACT(E325, ""\d{1,2}""),"""")"),"")</f>
        <v/>
      </c>
      <c r="O325" s="14" t="b">
        <f t="shared" si="3"/>
        <v>0</v>
      </c>
    </row>
    <row r="326">
      <c r="A326" s="13" t="s">
        <v>1526</v>
      </c>
      <c r="B326" s="9" t="str">
        <f t="shared" si="1"/>
        <v>Мт.</v>
      </c>
      <c r="C326" s="11" t="str">
        <f t="shared" si="2"/>
        <v>16</v>
      </c>
      <c r="D326" s="9"/>
      <c r="E326" s="13" t="s">
        <v>319</v>
      </c>
      <c r="F326" s="14"/>
      <c r="G326" s="15" t="s">
        <v>913</v>
      </c>
      <c r="H326" s="16" t="s">
        <v>29</v>
      </c>
      <c r="I326" s="53">
        <v>36.0</v>
      </c>
      <c r="J326" s="55">
        <v>1.0</v>
      </c>
      <c r="K326" s="55">
        <v>6.0</v>
      </c>
      <c r="L326" s="18">
        <f>IFNA( VLOOKUP(LEFT(E326, IFERROR(FIND(" ", E326, 1),1) - 1), lists!$A$31:$B$37, 2, FALSE),"")</f>
        <v>6</v>
      </c>
      <c r="M326" s="18" t="str">
        <f>IFERROR(__xludf.DUMMYFUNCTION("IFNA(VLOOKUP(IFNA(REGEXEXTRACT(E326, ""(Пасхи|50-ці|посту)""),""""),lists!$A$39:$B$41,2,FALSE),"""")"),"")</f>
        <v/>
      </c>
      <c r="N326" s="19" t="str">
        <f>IFERROR(__xludf.DUMMYFUNCTION("IFNA(REGEXEXTRACT(E326, ""\d{1,2}""),"""")"),"")</f>
        <v/>
      </c>
      <c r="O326" s="14" t="b">
        <f t="shared" si="3"/>
        <v>0</v>
      </c>
    </row>
    <row r="327">
      <c r="A327" s="13" t="s">
        <v>1527</v>
      </c>
      <c r="B327" s="9" t="str">
        <f t="shared" si="1"/>
        <v>Мт.</v>
      </c>
      <c r="C327" s="11" t="str">
        <f t="shared" si="2"/>
        <v>17</v>
      </c>
      <c r="D327" s="9"/>
      <c r="E327" s="13" t="s">
        <v>1528</v>
      </c>
      <c r="F327" s="14"/>
      <c r="G327" s="15" t="s">
        <v>913</v>
      </c>
      <c r="H327" s="16" t="s">
        <v>29</v>
      </c>
      <c r="I327" s="53">
        <v>36.0</v>
      </c>
      <c r="J327" s="55">
        <v>1.0</v>
      </c>
      <c r="K327" s="55">
        <v>7.0</v>
      </c>
      <c r="L327" s="18">
        <f>IFNA( VLOOKUP(LEFT(E327, IFERROR(FIND(" ", E327, 1),1) - 1), lists!$A$31:$B$37, 2, FALSE),"")</f>
        <v>7</v>
      </c>
      <c r="M327" s="18" t="str">
        <f>IFERROR(__xludf.DUMMYFUNCTION("IFNA(VLOOKUP(IFNA(REGEXEXTRACT(E327, ""(Пасхи|50-ці|посту)""),""""),lists!$A$39:$B$41,2,FALSE),"""")"),"")</f>
        <v/>
      </c>
      <c r="N327" s="19" t="str">
        <f>IFERROR(__xludf.DUMMYFUNCTION("IFNA(REGEXEXTRACT(E327, ""\d{1,2}""),"""")"),"")</f>
        <v/>
      </c>
      <c r="O327" s="14" t="b">
        <f t="shared" si="3"/>
        <v>0</v>
      </c>
    </row>
    <row r="328" ht="15.75" customHeight="1">
      <c r="A328" s="49"/>
      <c r="C328" s="84"/>
      <c r="E328" s="49"/>
      <c r="G328" s="50"/>
      <c r="H328" s="51"/>
      <c r="I328" s="85"/>
      <c r="J328" s="85"/>
      <c r="K328" s="85"/>
      <c r="L328" s="52"/>
      <c r="M328" s="52"/>
      <c r="N328" s="52"/>
    </row>
    <row r="329" ht="15.75" customHeight="1">
      <c r="A329" s="49"/>
      <c r="C329" s="84"/>
      <c r="E329" s="49"/>
      <c r="G329" s="50"/>
      <c r="H329" s="51"/>
      <c r="I329" s="85"/>
      <c r="J329" s="85"/>
      <c r="K329" s="85"/>
      <c r="L329" s="52"/>
      <c r="M329" s="52"/>
      <c r="N329" s="52"/>
    </row>
    <row r="330" ht="15.75" customHeight="1">
      <c r="A330" s="49"/>
      <c r="C330" s="84"/>
      <c r="E330" s="49"/>
      <c r="G330" s="50"/>
      <c r="H330" s="51"/>
      <c r="I330" s="85"/>
      <c r="J330" s="85"/>
      <c r="K330" s="85"/>
      <c r="L330" s="52"/>
      <c r="M330" s="52"/>
      <c r="N330" s="52"/>
    </row>
    <row r="331" ht="15.75" customHeight="1">
      <c r="A331" s="49"/>
      <c r="C331" s="84"/>
      <c r="E331" s="49"/>
      <c r="G331" s="50"/>
      <c r="H331" s="51"/>
      <c r="I331" s="85"/>
      <c r="J331" s="85"/>
      <c r="K331" s="85"/>
      <c r="L331" s="52"/>
      <c r="M331" s="52"/>
      <c r="N331" s="52"/>
    </row>
    <row r="332" ht="15.75" customHeight="1">
      <c r="A332" s="49"/>
      <c r="C332" s="84"/>
      <c r="E332" s="49"/>
      <c r="G332" s="50"/>
      <c r="H332" s="51"/>
      <c r="I332" s="85"/>
      <c r="J332" s="85"/>
      <c r="K332" s="85"/>
      <c r="L332" s="52"/>
      <c r="M332" s="52"/>
      <c r="N332" s="52"/>
    </row>
    <row r="333" ht="15.75" customHeight="1">
      <c r="A333" s="49"/>
      <c r="C333" s="84"/>
      <c r="E333" s="49"/>
      <c r="G333" s="50"/>
      <c r="H333" s="51"/>
      <c r="I333" s="85"/>
      <c r="J333" s="85"/>
      <c r="K333" s="85"/>
      <c r="L333" s="52"/>
      <c r="M333" s="52"/>
      <c r="N333" s="52"/>
    </row>
    <row r="334" ht="15.75" customHeight="1">
      <c r="A334" s="49"/>
      <c r="C334" s="84"/>
      <c r="E334" s="49"/>
      <c r="G334" s="50"/>
      <c r="H334" s="51"/>
      <c r="I334" s="85"/>
      <c r="J334" s="85"/>
      <c r="K334" s="85"/>
      <c r="L334" s="52"/>
      <c r="M334" s="52"/>
      <c r="N334" s="52"/>
    </row>
    <row r="335" ht="15.75" customHeight="1">
      <c r="A335" s="49"/>
      <c r="C335" s="84"/>
      <c r="E335" s="49"/>
      <c r="G335" s="50"/>
      <c r="H335" s="51"/>
      <c r="I335" s="85"/>
      <c r="J335" s="85"/>
      <c r="K335" s="85"/>
      <c r="L335" s="52"/>
      <c r="M335" s="52"/>
      <c r="N335" s="52"/>
    </row>
    <row r="336" ht="15.75" customHeight="1">
      <c r="A336" s="49"/>
      <c r="C336" s="84"/>
      <c r="E336" s="49"/>
      <c r="G336" s="50"/>
      <c r="H336" s="51"/>
      <c r="I336" s="85"/>
      <c r="J336" s="85"/>
      <c r="K336" s="85"/>
      <c r="L336" s="52"/>
      <c r="M336" s="52"/>
      <c r="N336" s="52"/>
    </row>
    <row r="337" ht="15.75" customHeight="1">
      <c r="A337" s="49"/>
      <c r="C337" s="84"/>
      <c r="E337" s="49"/>
      <c r="G337" s="50"/>
      <c r="H337" s="51"/>
      <c r="I337" s="85"/>
      <c r="J337" s="85"/>
      <c r="K337" s="85"/>
      <c r="L337" s="52"/>
      <c r="M337" s="52"/>
      <c r="N337" s="52"/>
    </row>
    <row r="338" ht="15.75" customHeight="1">
      <c r="A338" s="49"/>
      <c r="C338" s="84"/>
      <c r="E338" s="49"/>
      <c r="G338" s="50"/>
      <c r="H338" s="51"/>
      <c r="I338" s="85"/>
      <c r="J338" s="85"/>
      <c r="K338" s="85"/>
      <c r="L338" s="52"/>
      <c r="M338" s="52"/>
      <c r="N338" s="52"/>
    </row>
    <row r="339" ht="15.75" customHeight="1">
      <c r="A339" s="49"/>
      <c r="C339" s="84"/>
      <c r="E339" s="49"/>
      <c r="G339" s="50"/>
      <c r="H339" s="51"/>
      <c r="I339" s="85"/>
      <c r="J339" s="85"/>
      <c r="K339" s="85"/>
      <c r="L339" s="52"/>
      <c r="M339" s="52"/>
      <c r="N339" s="52"/>
    </row>
    <row r="340" ht="15.75" customHeight="1">
      <c r="A340" s="49"/>
      <c r="C340" s="84"/>
      <c r="E340" s="49"/>
      <c r="G340" s="50"/>
      <c r="H340" s="51"/>
      <c r="I340" s="85"/>
      <c r="J340" s="85"/>
      <c r="K340" s="85"/>
      <c r="L340" s="52"/>
      <c r="M340" s="52"/>
      <c r="N340" s="52"/>
    </row>
    <row r="341" ht="15.75" customHeight="1">
      <c r="A341" s="49"/>
      <c r="C341" s="84"/>
      <c r="E341" s="49"/>
      <c r="G341" s="50"/>
      <c r="H341" s="51"/>
      <c r="I341" s="85"/>
      <c r="J341" s="85"/>
      <c r="K341" s="85"/>
      <c r="L341" s="52"/>
      <c r="M341" s="52"/>
      <c r="N341" s="52"/>
    </row>
    <row r="342" ht="15.75" customHeight="1">
      <c r="A342" s="49"/>
      <c r="C342" s="84"/>
      <c r="E342" s="49"/>
      <c r="G342" s="50"/>
      <c r="H342" s="51"/>
      <c r="I342" s="85"/>
      <c r="J342" s="85"/>
      <c r="K342" s="85"/>
      <c r="L342" s="52"/>
      <c r="M342" s="52"/>
      <c r="N342" s="52"/>
    </row>
    <row r="343" ht="15.75" customHeight="1">
      <c r="A343" s="49"/>
      <c r="C343" s="84"/>
      <c r="E343" s="49"/>
      <c r="G343" s="50"/>
      <c r="H343" s="51"/>
      <c r="I343" s="85"/>
      <c r="J343" s="85"/>
      <c r="K343" s="85"/>
      <c r="L343" s="52"/>
      <c r="M343" s="52"/>
      <c r="N343" s="52"/>
    </row>
    <row r="344" ht="15.75" customHeight="1">
      <c r="A344" s="49"/>
      <c r="C344" s="84"/>
      <c r="E344" s="49"/>
      <c r="G344" s="50"/>
      <c r="H344" s="51"/>
      <c r="I344" s="85"/>
      <c r="J344" s="85"/>
      <c r="K344" s="85"/>
      <c r="L344" s="52"/>
      <c r="M344" s="52"/>
      <c r="N344" s="52"/>
    </row>
    <row r="345" ht="15.75" customHeight="1">
      <c r="A345" s="49"/>
      <c r="C345" s="84"/>
      <c r="E345" s="49"/>
      <c r="G345" s="50"/>
      <c r="H345" s="51"/>
      <c r="I345" s="85"/>
      <c r="J345" s="85"/>
      <c r="K345" s="85"/>
      <c r="L345" s="52"/>
      <c r="M345" s="52"/>
      <c r="N345" s="52"/>
    </row>
    <row r="346" ht="15.75" customHeight="1">
      <c r="A346" s="49"/>
      <c r="C346" s="84"/>
      <c r="E346" s="49"/>
      <c r="G346" s="50"/>
      <c r="H346" s="51"/>
      <c r="I346" s="85"/>
      <c r="J346" s="85"/>
      <c r="K346" s="85"/>
      <c r="L346" s="52"/>
      <c r="M346" s="52"/>
      <c r="N346" s="52"/>
    </row>
    <row r="347" ht="15.75" customHeight="1">
      <c r="A347" s="49"/>
      <c r="C347" s="84"/>
      <c r="E347" s="49"/>
      <c r="G347" s="50"/>
      <c r="H347" s="51"/>
      <c r="I347" s="85"/>
      <c r="J347" s="85"/>
      <c r="K347" s="85"/>
      <c r="L347" s="52"/>
      <c r="M347" s="52"/>
      <c r="N347" s="52"/>
    </row>
    <row r="348" ht="15.75" customHeight="1">
      <c r="A348" s="49"/>
      <c r="C348" s="84"/>
      <c r="E348" s="49"/>
      <c r="G348" s="50"/>
      <c r="H348" s="51"/>
      <c r="I348" s="85"/>
      <c r="J348" s="85"/>
      <c r="K348" s="85"/>
      <c r="L348" s="52"/>
      <c r="M348" s="52"/>
      <c r="N348" s="52"/>
    </row>
    <row r="349" ht="15.75" customHeight="1">
      <c r="A349" s="49"/>
      <c r="C349" s="84"/>
      <c r="E349" s="49"/>
      <c r="G349" s="50"/>
      <c r="H349" s="51"/>
      <c r="I349" s="85"/>
      <c r="J349" s="85"/>
      <c r="K349" s="85"/>
      <c r="L349" s="52"/>
      <c r="M349" s="52"/>
      <c r="N349" s="52"/>
    </row>
    <row r="350" ht="15.75" customHeight="1">
      <c r="A350" s="49"/>
      <c r="C350" s="84"/>
      <c r="E350" s="49"/>
      <c r="G350" s="50"/>
      <c r="H350" s="51"/>
      <c r="I350" s="85"/>
      <c r="J350" s="85"/>
      <c r="K350" s="85"/>
      <c r="L350" s="52"/>
      <c r="M350" s="52"/>
      <c r="N350" s="52"/>
    </row>
    <row r="351" ht="15.75" customHeight="1">
      <c r="A351" s="49"/>
      <c r="C351" s="84"/>
      <c r="E351" s="49"/>
      <c r="G351" s="50"/>
      <c r="H351" s="51"/>
      <c r="I351" s="85"/>
      <c r="J351" s="85"/>
      <c r="K351" s="85"/>
      <c r="L351" s="52"/>
      <c r="M351" s="52"/>
      <c r="N351" s="52"/>
    </row>
    <row r="352" ht="15.75" customHeight="1">
      <c r="A352" s="49"/>
      <c r="C352" s="84"/>
      <c r="E352" s="49"/>
      <c r="G352" s="50"/>
      <c r="H352" s="51"/>
      <c r="I352" s="85"/>
      <c r="J352" s="85"/>
      <c r="K352" s="85"/>
      <c r="L352" s="52"/>
      <c r="M352" s="52"/>
      <c r="N352" s="52"/>
    </row>
    <row r="353" ht="15.75" customHeight="1">
      <c r="A353" s="49"/>
      <c r="C353" s="84"/>
      <c r="E353" s="49"/>
      <c r="G353" s="50"/>
      <c r="H353" s="51"/>
      <c r="I353" s="85"/>
      <c r="J353" s="85"/>
      <c r="K353" s="85"/>
      <c r="L353" s="52"/>
      <c r="M353" s="52"/>
      <c r="N353" s="52"/>
    </row>
    <row r="354" ht="15.75" customHeight="1">
      <c r="A354" s="49"/>
      <c r="C354" s="84"/>
      <c r="E354" s="49"/>
      <c r="G354" s="50"/>
      <c r="H354" s="51"/>
      <c r="I354" s="85"/>
      <c r="J354" s="85"/>
      <c r="K354" s="85"/>
      <c r="L354" s="52"/>
      <c r="M354" s="52"/>
      <c r="N354" s="52"/>
    </row>
    <row r="355" ht="15.75" customHeight="1">
      <c r="A355" s="49"/>
      <c r="C355" s="84"/>
      <c r="E355" s="49"/>
      <c r="G355" s="50"/>
      <c r="H355" s="51"/>
      <c r="I355" s="85"/>
      <c r="J355" s="85"/>
      <c r="K355" s="85"/>
      <c r="L355" s="52"/>
      <c r="M355" s="52"/>
      <c r="N355" s="52"/>
    </row>
    <row r="356" ht="15.75" customHeight="1">
      <c r="A356" s="49"/>
      <c r="C356" s="84"/>
      <c r="E356" s="49"/>
      <c r="G356" s="50"/>
      <c r="H356" s="51"/>
      <c r="I356" s="85"/>
      <c r="J356" s="85"/>
      <c r="K356" s="85"/>
      <c r="L356" s="52"/>
      <c r="M356" s="52"/>
      <c r="N356" s="52"/>
    </row>
    <row r="357" ht="15.75" customHeight="1">
      <c r="A357" s="49"/>
      <c r="C357" s="84"/>
      <c r="E357" s="49"/>
      <c r="G357" s="50"/>
      <c r="H357" s="51"/>
      <c r="I357" s="85"/>
      <c r="J357" s="85"/>
      <c r="K357" s="85"/>
      <c r="L357" s="52"/>
      <c r="M357" s="52"/>
      <c r="N357" s="52"/>
    </row>
    <row r="358" ht="15.75" customHeight="1">
      <c r="A358" s="49"/>
      <c r="C358" s="84"/>
      <c r="E358" s="49"/>
      <c r="G358" s="50"/>
      <c r="H358" s="51"/>
      <c r="I358" s="85"/>
      <c r="J358" s="85"/>
      <c r="K358" s="85"/>
      <c r="L358" s="52"/>
      <c r="M358" s="52"/>
      <c r="N358" s="52"/>
    </row>
    <row r="359" ht="15.75" customHeight="1">
      <c r="A359" s="49"/>
      <c r="C359" s="84"/>
      <c r="E359" s="49"/>
      <c r="G359" s="50"/>
      <c r="H359" s="51"/>
      <c r="I359" s="85"/>
      <c r="J359" s="85"/>
      <c r="K359" s="85"/>
      <c r="L359" s="52"/>
      <c r="M359" s="52"/>
      <c r="N359" s="52"/>
    </row>
    <row r="360" ht="15.75" customHeight="1">
      <c r="A360" s="49"/>
      <c r="C360" s="84"/>
      <c r="E360" s="49"/>
      <c r="G360" s="50"/>
      <c r="H360" s="51"/>
      <c r="I360" s="85"/>
      <c r="J360" s="85"/>
      <c r="K360" s="85"/>
      <c r="L360" s="52"/>
      <c r="M360" s="52"/>
      <c r="N360" s="52"/>
    </row>
    <row r="361" ht="15.75" customHeight="1">
      <c r="A361" s="49"/>
      <c r="C361" s="84"/>
      <c r="E361" s="49"/>
      <c r="G361" s="50"/>
      <c r="H361" s="51"/>
      <c r="I361" s="85"/>
      <c r="J361" s="85"/>
      <c r="K361" s="85"/>
      <c r="L361" s="52"/>
      <c r="M361" s="52"/>
      <c r="N361" s="52"/>
    </row>
    <row r="362" ht="15.75" customHeight="1">
      <c r="A362" s="49"/>
      <c r="C362" s="84"/>
      <c r="E362" s="49"/>
      <c r="G362" s="50"/>
      <c r="H362" s="51"/>
      <c r="I362" s="85"/>
      <c r="J362" s="85"/>
      <c r="K362" s="85"/>
      <c r="L362" s="52"/>
      <c r="M362" s="52"/>
      <c r="N362" s="52"/>
    </row>
    <row r="363" ht="15.75" customHeight="1">
      <c r="A363" s="49"/>
      <c r="C363" s="84"/>
      <c r="E363" s="49"/>
      <c r="G363" s="50"/>
      <c r="H363" s="51"/>
      <c r="I363" s="85"/>
      <c r="J363" s="85"/>
      <c r="K363" s="85"/>
      <c r="L363" s="52"/>
      <c r="M363" s="52"/>
      <c r="N363" s="52"/>
    </row>
    <row r="364" ht="15.75" customHeight="1">
      <c r="A364" s="49"/>
      <c r="C364" s="84"/>
      <c r="E364" s="49"/>
      <c r="G364" s="50"/>
      <c r="H364" s="51"/>
      <c r="I364" s="85"/>
      <c r="J364" s="85"/>
      <c r="K364" s="85"/>
      <c r="L364" s="52"/>
      <c r="M364" s="52"/>
      <c r="N364" s="52"/>
    </row>
    <row r="365" ht="15.75" customHeight="1">
      <c r="A365" s="49"/>
      <c r="C365" s="84"/>
      <c r="E365" s="49"/>
      <c r="G365" s="50"/>
      <c r="H365" s="51"/>
      <c r="I365" s="85"/>
      <c r="J365" s="85"/>
      <c r="K365" s="85"/>
      <c r="L365" s="52"/>
      <c r="M365" s="52"/>
      <c r="N365" s="52"/>
    </row>
    <row r="366" ht="15.75" customHeight="1">
      <c r="A366" s="49"/>
      <c r="C366" s="84"/>
      <c r="E366" s="49"/>
      <c r="G366" s="50"/>
      <c r="H366" s="51"/>
      <c r="I366" s="85"/>
      <c r="J366" s="85"/>
      <c r="K366" s="85"/>
      <c r="L366" s="52"/>
      <c r="M366" s="52"/>
      <c r="N366" s="52"/>
    </row>
    <row r="367" ht="15.75" customHeight="1">
      <c r="A367" s="49"/>
      <c r="C367" s="84"/>
      <c r="E367" s="49"/>
      <c r="G367" s="50"/>
      <c r="H367" s="51"/>
      <c r="I367" s="85"/>
      <c r="J367" s="85"/>
      <c r="K367" s="85"/>
      <c r="L367" s="52"/>
      <c r="M367" s="52"/>
      <c r="N367" s="52"/>
    </row>
    <row r="368" ht="15.75" customHeight="1">
      <c r="A368" s="49"/>
      <c r="C368" s="84"/>
      <c r="E368" s="49"/>
      <c r="G368" s="50"/>
      <c r="H368" s="51"/>
      <c r="I368" s="85"/>
      <c r="J368" s="85"/>
      <c r="K368" s="85"/>
      <c r="L368" s="52"/>
      <c r="M368" s="52"/>
      <c r="N368" s="52"/>
    </row>
    <row r="369" ht="15.75" customHeight="1">
      <c r="A369" s="49"/>
      <c r="C369" s="84"/>
      <c r="E369" s="49"/>
      <c r="G369" s="50"/>
      <c r="H369" s="51"/>
      <c r="I369" s="85"/>
      <c r="J369" s="85"/>
      <c r="K369" s="85"/>
      <c r="L369" s="52"/>
      <c r="M369" s="52"/>
      <c r="N369" s="52"/>
    </row>
    <row r="370" ht="15.75" customHeight="1">
      <c r="A370" s="49"/>
      <c r="C370" s="84"/>
      <c r="E370" s="49"/>
      <c r="G370" s="50"/>
      <c r="H370" s="51"/>
      <c r="I370" s="85"/>
      <c r="J370" s="85"/>
      <c r="K370" s="85"/>
      <c r="L370" s="52"/>
      <c r="M370" s="52"/>
      <c r="N370" s="52"/>
    </row>
    <row r="371" ht="15.75" customHeight="1">
      <c r="A371" s="49"/>
      <c r="C371" s="84"/>
      <c r="E371" s="49"/>
      <c r="G371" s="50"/>
      <c r="H371" s="51"/>
      <c r="I371" s="85"/>
      <c r="J371" s="85"/>
      <c r="K371" s="85"/>
      <c r="L371" s="52"/>
      <c r="M371" s="52"/>
      <c r="N371" s="52"/>
    </row>
    <row r="372" ht="15.75" customHeight="1">
      <c r="A372" s="49"/>
      <c r="C372" s="84"/>
      <c r="E372" s="49"/>
      <c r="G372" s="50"/>
      <c r="H372" s="51"/>
      <c r="I372" s="85"/>
      <c r="J372" s="85"/>
      <c r="K372" s="85"/>
      <c r="L372" s="52"/>
      <c r="M372" s="52"/>
      <c r="N372" s="52"/>
    </row>
    <row r="373" ht="15.75" customHeight="1">
      <c r="A373" s="49"/>
      <c r="C373" s="84"/>
      <c r="E373" s="49"/>
      <c r="G373" s="50"/>
      <c r="H373" s="51"/>
      <c r="I373" s="85"/>
      <c r="J373" s="85"/>
      <c r="K373" s="85"/>
      <c r="L373" s="52"/>
      <c r="M373" s="52"/>
      <c r="N373" s="52"/>
    </row>
    <row r="374" ht="15.75" customHeight="1">
      <c r="A374" s="49"/>
      <c r="C374" s="84"/>
      <c r="E374" s="49"/>
      <c r="G374" s="50"/>
      <c r="H374" s="51"/>
      <c r="I374" s="85"/>
      <c r="J374" s="85"/>
      <c r="K374" s="85"/>
      <c r="L374" s="52"/>
      <c r="M374" s="52"/>
      <c r="N374" s="52"/>
    </row>
    <row r="375" ht="15.75" customHeight="1">
      <c r="A375" s="49"/>
      <c r="C375" s="84"/>
      <c r="E375" s="49"/>
      <c r="G375" s="50"/>
      <c r="H375" s="51"/>
      <c r="I375" s="85"/>
      <c r="J375" s="85"/>
      <c r="K375" s="85"/>
      <c r="L375" s="52"/>
      <c r="M375" s="52"/>
      <c r="N375" s="52"/>
    </row>
    <row r="376" ht="15.75" customHeight="1">
      <c r="A376" s="49"/>
      <c r="C376" s="84"/>
      <c r="E376" s="49"/>
      <c r="G376" s="50"/>
      <c r="H376" s="51"/>
      <c r="I376" s="85"/>
      <c r="J376" s="85"/>
      <c r="K376" s="85"/>
      <c r="L376" s="52"/>
      <c r="M376" s="52"/>
      <c r="N376" s="52"/>
    </row>
    <row r="377" ht="15.75" customHeight="1">
      <c r="A377" s="49"/>
      <c r="C377" s="84"/>
      <c r="E377" s="49"/>
      <c r="G377" s="50"/>
      <c r="H377" s="51"/>
      <c r="I377" s="85"/>
      <c r="J377" s="85"/>
      <c r="K377" s="85"/>
      <c r="L377" s="52"/>
      <c r="M377" s="52"/>
      <c r="N377" s="52"/>
    </row>
    <row r="378" ht="15.75" customHeight="1">
      <c r="A378" s="49"/>
      <c r="C378" s="84"/>
      <c r="E378" s="49"/>
      <c r="G378" s="50"/>
      <c r="H378" s="51"/>
      <c r="I378" s="85"/>
      <c r="J378" s="85"/>
      <c r="K378" s="85"/>
      <c r="L378" s="52"/>
      <c r="M378" s="52"/>
      <c r="N378" s="52"/>
    </row>
    <row r="379" ht="15.75" customHeight="1">
      <c r="A379" s="49"/>
      <c r="C379" s="84"/>
      <c r="E379" s="49"/>
      <c r="G379" s="50"/>
      <c r="H379" s="51"/>
      <c r="I379" s="85"/>
      <c r="J379" s="85"/>
      <c r="K379" s="85"/>
      <c r="L379" s="52"/>
      <c r="M379" s="52"/>
      <c r="N379" s="52"/>
    </row>
    <row r="380" ht="15.75" customHeight="1">
      <c r="A380" s="49"/>
      <c r="C380" s="84"/>
      <c r="E380" s="49"/>
      <c r="G380" s="50"/>
      <c r="H380" s="51"/>
      <c r="I380" s="85"/>
      <c r="J380" s="85"/>
      <c r="K380" s="85"/>
      <c r="L380" s="52"/>
      <c r="M380" s="52"/>
      <c r="N380" s="52"/>
    </row>
    <row r="381" ht="15.75" customHeight="1">
      <c r="A381" s="49"/>
      <c r="C381" s="84"/>
      <c r="E381" s="49"/>
      <c r="G381" s="50"/>
      <c r="H381" s="51"/>
      <c r="I381" s="85"/>
      <c r="J381" s="85"/>
      <c r="K381" s="85"/>
      <c r="L381" s="52"/>
      <c r="M381" s="52"/>
      <c r="N381" s="52"/>
    </row>
    <row r="382" ht="15.75" customHeight="1">
      <c r="A382" s="49"/>
      <c r="C382" s="84"/>
      <c r="E382" s="49"/>
      <c r="G382" s="50"/>
      <c r="H382" s="51"/>
      <c r="I382" s="85"/>
      <c r="J382" s="85"/>
      <c r="K382" s="85"/>
      <c r="L382" s="52"/>
      <c r="M382" s="52"/>
      <c r="N382" s="52"/>
    </row>
    <row r="383" ht="15.75" customHeight="1">
      <c r="A383" s="49"/>
      <c r="C383" s="84"/>
      <c r="E383" s="49"/>
      <c r="G383" s="50"/>
      <c r="H383" s="51"/>
      <c r="I383" s="85"/>
      <c r="J383" s="85"/>
      <c r="K383" s="85"/>
      <c r="L383" s="52"/>
      <c r="M383" s="52"/>
      <c r="N383" s="52"/>
    </row>
    <row r="384" ht="15.75" customHeight="1">
      <c r="A384" s="49"/>
      <c r="C384" s="84"/>
      <c r="E384" s="49"/>
      <c r="G384" s="50"/>
      <c r="H384" s="51"/>
      <c r="I384" s="85"/>
      <c r="J384" s="85"/>
      <c r="K384" s="85"/>
      <c r="L384" s="52"/>
      <c r="M384" s="52"/>
      <c r="N384" s="52"/>
    </row>
    <row r="385" ht="15.75" customHeight="1">
      <c r="A385" s="49"/>
      <c r="C385" s="84"/>
      <c r="E385" s="49"/>
      <c r="G385" s="50"/>
      <c r="H385" s="51"/>
      <c r="I385" s="85"/>
      <c r="J385" s="85"/>
      <c r="K385" s="85"/>
      <c r="L385" s="52"/>
      <c r="M385" s="52"/>
      <c r="N385" s="52"/>
    </row>
    <row r="386" ht="15.75" customHeight="1">
      <c r="A386" s="49"/>
      <c r="C386" s="84"/>
      <c r="E386" s="49"/>
      <c r="G386" s="50"/>
      <c r="H386" s="51"/>
      <c r="I386" s="85"/>
      <c r="J386" s="85"/>
      <c r="K386" s="85"/>
      <c r="L386" s="52"/>
      <c r="M386" s="52"/>
      <c r="N386" s="52"/>
    </row>
    <row r="387" ht="15.75" customHeight="1">
      <c r="A387" s="49"/>
      <c r="C387" s="84"/>
      <c r="E387" s="49"/>
      <c r="G387" s="50"/>
      <c r="H387" s="51"/>
      <c r="I387" s="85"/>
      <c r="J387" s="85"/>
      <c r="K387" s="85"/>
      <c r="L387" s="52"/>
      <c r="M387" s="52"/>
      <c r="N387" s="52"/>
    </row>
    <row r="388" ht="15.75" customHeight="1">
      <c r="A388" s="49"/>
      <c r="C388" s="84"/>
      <c r="E388" s="49"/>
      <c r="G388" s="50"/>
      <c r="H388" s="51"/>
      <c r="I388" s="85"/>
      <c r="J388" s="85"/>
      <c r="K388" s="85"/>
      <c r="L388" s="52"/>
      <c r="M388" s="52"/>
      <c r="N388" s="52"/>
    </row>
    <row r="389" ht="15.75" customHeight="1">
      <c r="A389" s="49"/>
      <c r="C389" s="84"/>
      <c r="E389" s="49"/>
      <c r="G389" s="50"/>
      <c r="H389" s="51"/>
      <c r="I389" s="85"/>
      <c r="J389" s="85"/>
      <c r="K389" s="85"/>
      <c r="L389" s="52"/>
      <c r="M389" s="52"/>
      <c r="N389" s="52"/>
    </row>
    <row r="390" ht="15.75" customHeight="1">
      <c r="A390" s="49"/>
      <c r="C390" s="84"/>
      <c r="E390" s="49"/>
      <c r="G390" s="50"/>
      <c r="H390" s="51"/>
      <c r="I390" s="85"/>
      <c r="J390" s="85"/>
      <c r="K390" s="85"/>
      <c r="L390" s="52"/>
      <c r="M390" s="52"/>
      <c r="N390" s="52"/>
    </row>
    <row r="391" ht="15.75" customHeight="1">
      <c r="A391" s="49"/>
      <c r="C391" s="84"/>
      <c r="E391" s="49"/>
      <c r="G391" s="50"/>
      <c r="H391" s="51"/>
      <c r="I391" s="85"/>
      <c r="J391" s="85"/>
      <c r="K391" s="85"/>
      <c r="L391" s="52"/>
      <c r="M391" s="52"/>
      <c r="N391" s="52"/>
    </row>
    <row r="392" ht="15.75" customHeight="1">
      <c r="A392" s="49"/>
      <c r="C392" s="84"/>
      <c r="E392" s="49"/>
      <c r="G392" s="50"/>
      <c r="H392" s="51"/>
      <c r="I392" s="85"/>
      <c r="J392" s="85"/>
      <c r="K392" s="85"/>
      <c r="L392" s="52"/>
      <c r="M392" s="52"/>
      <c r="N392" s="52"/>
    </row>
    <row r="393" ht="15.75" customHeight="1">
      <c r="A393" s="49"/>
      <c r="C393" s="84"/>
      <c r="E393" s="49"/>
      <c r="G393" s="50"/>
      <c r="H393" s="51"/>
      <c r="I393" s="85"/>
      <c r="J393" s="85"/>
      <c r="K393" s="85"/>
      <c r="L393" s="52"/>
      <c r="M393" s="52"/>
      <c r="N393" s="52"/>
    </row>
    <row r="394" ht="15.75" customHeight="1">
      <c r="A394" s="49"/>
      <c r="C394" s="84"/>
      <c r="E394" s="49"/>
      <c r="G394" s="50"/>
      <c r="H394" s="51"/>
      <c r="I394" s="85"/>
      <c r="J394" s="85"/>
      <c r="K394" s="85"/>
      <c r="L394" s="52"/>
      <c r="M394" s="52"/>
      <c r="N394" s="52"/>
    </row>
    <row r="395" ht="15.75" customHeight="1">
      <c r="A395" s="49"/>
      <c r="C395" s="84"/>
      <c r="E395" s="49"/>
      <c r="G395" s="50"/>
      <c r="H395" s="51"/>
      <c r="I395" s="85"/>
      <c r="J395" s="85"/>
      <c r="K395" s="85"/>
      <c r="L395" s="52"/>
      <c r="M395" s="52"/>
      <c r="N395" s="52"/>
    </row>
    <row r="396" ht="15.75" customHeight="1">
      <c r="A396" s="49"/>
      <c r="C396" s="84"/>
      <c r="E396" s="49"/>
      <c r="G396" s="50"/>
      <c r="H396" s="51"/>
      <c r="I396" s="85"/>
      <c r="J396" s="85"/>
      <c r="K396" s="85"/>
      <c r="L396" s="52"/>
      <c r="M396" s="52"/>
      <c r="N396" s="52"/>
    </row>
    <row r="397" ht="15.75" customHeight="1">
      <c r="A397" s="49"/>
      <c r="C397" s="84"/>
      <c r="E397" s="49"/>
      <c r="G397" s="50"/>
      <c r="H397" s="51"/>
      <c r="I397" s="85"/>
      <c r="J397" s="85"/>
      <c r="K397" s="85"/>
      <c r="L397" s="52"/>
      <c r="M397" s="52"/>
      <c r="N397" s="52"/>
    </row>
    <row r="398" ht="15.75" customHeight="1">
      <c r="A398" s="49"/>
      <c r="C398" s="84"/>
      <c r="E398" s="49"/>
      <c r="G398" s="50"/>
      <c r="H398" s="51"/>
      <c r="I398" s="85"/>
      <c r="J398" s="85"/>
      <c r="K398" s="85"/>
      <c r="L398" s="52"/>
      <c r="M398" s="52"/>
      <c r="N398" s="52"/>
    </row>
    <row r="399" ht="15.75" customHeight="1">
      <c r="A399" s="49"/>
      <c r="C399" s="84"/>
      <c r="E399" s="49"/>
      <c r="G399" s="50"/>
      <c r="H399" s="51"/>
      <c r="I399" s="85"/>
      <c r="J399" s="85"/>
      <c r="K399" s="85"/>
      <c r="L399" s="52"/>
      <c r="M399" s="52"/>
      <c r="N399" s="52"/>
    </row>
    <row r="400" ht="15.75" customHeight="1">
      <c r="A400" s="49"/>
      <c r="C400" s="84"/>
      <c r="E400" s="49"/>
      <c r="G400" s="50"/>
      <c r="H400" s="51"/>
      <c r="I400" s="85"/>
      <c r="J400" s="85"/>
      <c r="K400" s="85"/>
      <c r="L400" s="52"/>
      <c r="M400" s="52"/>
      <c r="N400" s="52"/>
    </row>
    <row r="401" ht="15.75" customHeight="1">
      <c r="A401" s="49"/>
      <c r="C401" s="84"/>
      <c r="E401" s="49"/>
      <c r="G401" s="50"/>
      <c r="H401" s="51"/>
      <c r="I401" s="85"/>
      <c r="J401" s="85"/>
      <c r="K401" s="85"/>
      <c r="L401" s="52"/>
      <c r="M401" s="52"/>
      <c r="N401" s="52"/>
    </row>
    <row r="402" ht="15.75" customHeight="1">
      <c r="A402" s="49"/>
      <c r="C402" s="84"/>
      <c r="E402" s="49"/>
      <c r="G402" s="50"/>
      <c r="H402" s="51"/>
      <c r="I402" s="85"/>
      <c r="J402" s="85"/>
      <c r="K402" s="85"/>
      <c r="L402" s="52"/>
      <c r="M402" s="52"/>
      <c r="N402" s="52"/>
    </row>
    <row r="403" ht="15.75" customHeight="1">
      <c r="A403" s="49"/>
      <c r="C403" s="84"/>
      <c r="E403" s="49"/>
      <c r="G403" s="50"/>
      <c r="H403" s="51"/>
      <c r="I403" s="85"/>
      <c r="J403" s="85"/>
      <c r="K403" s="85"/>
      <c r="L403" s="52"/>
      <c r="M403" s="52"/>
      <c r="N403" s="52"/>
    </row>
    <row r="404" ht="15.75" customHeight="1">
      <c r="A404" s="49"/>
      <c r="C404" s="84"/>
      <c r="E404" s="49"/>
      <c r="G404" s="50"/>
      <c r="H404" s="51"/>
      <c r="I404" s="85"/>
      <c r="J404" s="85"/>
      <c r="K404" s="85"/>
      <c r="L404" s="52"/>
      <c r="M404" s="52"/>
      <c r="N404" s="52"/>
    </row>
    <row r="405" ht="15.75" customHeight="1">
      <c r="A405" s="49"/>
      <c r="C405" s="84"/>
      <c r="E405" s="49"/>
      <c r="G405" s="50"/>
      <c r="H405" s="51"/>
      <c r="I405" s="85"/>
      <c r="J405" s="85"/>
      <c r="K405" s="85"/>
      <c r="L405" s="52"/>
      <c r="M405" s="52"/>
      <c r="N405" s="52"/>
    </row>
    <row r="406" ht="15.75" customHeight="1">
      <c r="A406" s="49"/>
      <c r="C406" s="84"/>
      <c r="E406" s="49"/>
      <c r="G406" s="50"/>
      <c r="H406" s="51"/>
      <c r="I406" s="85"/>
      <c r="J406" s="85"/>
      <c r="K406" s="85"/>
      <c r="L406" s="52"/>
      <c r="M406" s="52"/>
      <c r="N406" s="52"/>
    </row>
    <row r="407" ht="15.75" customHeight="1">
      <c r="A407" s="49"/>
      <c r="C407" s="84"/>
      <c r="E407" s="49"/>
      <c r="G407" s="50"/>
      <c r="H407" s="51"/>
      <c r="I407" s="85"/>
      <c r="J407" s="85"/>
      <c r="K407" s="85"/>
      <c r="L407" s="52"/>
      <c r="M407" s="52"/>
      <c r="N407" s="52"/>
    </row>
    <row r="408" ht="15.75" customHeight="1">
      <c r="A408" s="49"/>
      <c r="C408" s="84"/>
      <c r="E408" s="49"/>
      <c r="G408" s="50"/>
      <c r="H408" s="51"/>
      <c r="I408" s="85"/>
      <c r="J408" s="85"/>
      <c r="K408" s="85"/>
      <c r="L408" s="52"/>
      <c r="M408" s="52"/>
      <c r="N408" s="52"/>
    </row>
    <row r="409" ht="15.75" customHeight="1">
      <c r="A409" s="49"/>
      <c r="C409" s="84"/>
      <c r="E409" s="49"/>
      <c r="G409" s="50"/>
      <c r="H409" s="51"/>
      <c r="I409" s="85"/>
      <c r="J409" s="85"/>
      <c r="K409" s="85"/>
      <c r="L409" s="52"/>
      <c r="M409" s="52"/>
      <c r="N409" s="52"/>
    </row>
    <row r="410" ht="15.75" customHeight="1">
      <c r="A410" s="49"/>
      <c r="C410" s="84"/>
      <c r="E410" s="49"/>
      <c r="G410" s="50"/>
      <c r="H410" s="51"/>
      <c r="I410" s="85"/>
      <c r="J410" s="85"/>
      <c r="K410" s="85"/>
      <c r="L410" s="52"/>
      <c r="M410" s="52"/>
      <c r="N410" s="52"/>
    </row>
    <row r="411" ht="15.75" customHeight="1">
      <c r="A411" s="49"/>
      <c r="C411" s="84"/>
      <c r="E411" s="49"/>
      <c r="G411" s="50"/>
      <c r="H411" s="51"/>
      <c r="I411" s="85"/>
      <c r="J411" s="85"/>
      <c r="K411" s="85"/>
      <c r="L411" s="52"/>
      <c r="M411" s="52"/>
      <c r="N411" s="52"/>
    </row>
    <row r="412" ht="15.75" customHeight="1">
      <c r="A412" s="49"/>
      <c r="C412" s="84"/>
      <c r="E412" s="49"/>
      <c r="G412" s="50"/>
      <c r="H412" s="51"/>
      <c r="I412" s="85"/>
      <c r="J412" s="85"/>
      <c r="K412" s="85"/>
      <c r="L412" s="52"/>
      <c r="M412" s="52"/>
      <c r="N412" s="52"/>
    </row>
    <row r="413" ht="15.75" customHeight="1">
      <c r="A413" s="49"/>
      <c r="C413" s="84"/>
      <c r="E413" s="49"/>
      <c r="G413" s="50"/>
      <c r="H413" s="51"/>
      <c r="I413" s="85"/>
      <c r="J413" s="85"/>
      <c r="K413" s="85"/>
      <c r="L413" s="52"/>
      <c r="M413" s="52"/>
      <c r="N413" s="52"/>
    </row>
    <row r="414" ht="15.75" customHeight="1">
      <c r="A414" s="49"/>
      <c r="C414" s="84"/>
      <c r="E414" s="49"/>
      <c r="G414" s="50"/>
      <c r="H414" s="51"/>
      <c r="I414" s="85"/>
      <c r="J414" s="85"/>
      <c r="K414" s="85"/>
      <c r="L414" s="52"/>
      <c r="M414" s="52"/>
      <c r="N414" s="52"/>
    </row>
    <row r="415" ht="15.75" customHeight="1">
      <c r="A415" s="49"/>
      <c r="C415" s="84"/>
      <c r="E415" s="49"/>
      <c r="G415" s="50"/>
      <c r="H415" s="51"/>
      <c r="I415" s="85"/>
      <c r="J415" s="85"/>
      <c r="K415" s="85"/>
      <c r="L415" s="52"/>
      <c r="M415" s="52"/>
      <c r="N415" s="52"/>
    </row>
    <row r="416" ht="15.75" customHeight="1">
      <c r="A416" s="49"/>
      <c r="C416" s="84"/>
      <c r="E416" s="49"/>
      <c r="G416" s="50"/>
      <c r="H416" s="51"/>
      <c r="I416" s="85"/>
      <c r="J416" s="85"/>
      <c r="K416" s="85"/>
      <c r="L416" s="52"/>
      <c r="M416" s="52"/>
      <c r="N416" s="52"/>
    </row>
    <row r="417" ht="15.75" customHeight="1">
      <c r="A417" s="49"/>
      <c r="C417" s="84"/>
      <c r="E417" s="49"/>
      <c r="G417" s="50"/>
      <c r="H417" s="51"/>
      <c r="I417" s="85"/>
      <c r="J417" s="85"/>
      <c r="K417" s="85"/>
      <c r="L417" s="52"/>
      <c r="M417" s="52"/>
      <c r="N417" s="52"/>
    </row>
    <row r="418" ht="15.75" customHeight="1">
      <c r="A418" s="49"/>
      <c r="C418" s="84"/>
      <c r="E418" s="49"/>
      <c r="G418" s="50"/>
      <c r="H418" s="51"/>
      <c r="I418" s="85"/>
      <c r="J418" s="85"/>
      <c r="K418" s="85"/>
      <c r="L418" s="52"/>
      <c r="M418" s="52"/>
      <c r="N418" s="52"/>
    </row>
    <row r="419" ht="15.75" customHeight="1">
      <c r="A419" s="49"/>
      <c r="C419" s="84"/>
      <c r="E419" s="49"/>
      <c r="G419" s="50"/>
      <c r="H419" s="51"/>
      <c r="I419" s="85"/>
      <c r="J419" s="85"/>
      <c r="K419" s="85"/>
      <c r="L419" s="52"/>
      <c r="M419" s="52"/>
      <c r="N419" s="52"/>
    </row>
    <row r="420" ht="15.75" customHeight="1">
      <c r="A420" s="49"/>
      <c r="C420" s="84"/>
      <c r="E420" s="49"/>
      <c r="G420" s="50"/>
      <c r="H420" s="51"/>
      <c r="I420" s="85"/>
      <c r="J420" s="85"/>
      <c r="K420" s="85"/>
      <c r="L420" s="52"/>
      <c r="M420" s="52"/>
      <c r="N420" s="52"/>
    </row>
    <row r="421" ht="15.75" customHeight="1">
      <c r="A421" s="49"/>
      <c r="C421" s="84"/>
      <c r="E421" s="49"/>
      <c r="G421" s="50"/>
      <c r="H421" s="51"/>
      <c r="I421" s="85"/>
      <c r="J421" s="85"/>
      <c r="K421" s="85"/>
      <c r="L421" s="52"/>
      <c r="M421" s="52"/>
      <c r="N421" s="52"/>
    </row>
    <row r="422" ht="15.75" customHeight="1">
      <c r="A422" s="49"/>
      <c r="C422" s="84"/>
      <c r="E422" s="49"/>
      <c r="G422" s="50"/>
      <c r="H422" s="51"/>
      <c r="I422" s="85"/>
      <c r="J422" s="85"/>
      <c r="K422" s="85"/>
      <c r="L422" s="52"/>
      <c r="M422" s="52"/>
      <c r="N422" s="52"/>
    </row>
    <row r="423" ht="15.75" customHeight="1">
      <c r="A423" s="49"/>
      <c r="C423" s="84"/>
      <c r="E423" s="49"/>
      <c r="G423" s="50"/>
      <c r="H423" s="51"/>
      <c r="I423" s="85"/>
      <c r="J423" s="85"/>
      <c r="K423" s="85"/>
      <c r="L423" s="52"/>
      <c r="M423" s="52"/>
      <c r="N423" s="52"/>
    </row>
    <row r="424" ht="15.75" customHeight="1">
      <c r="A424" s="49"/>
      <c r="C424" s="84"/>
      <c r="E424" s="49"/>
      <c r="G424" s="50"/>
      <c r="H424" s="51"/>
      <c r="I424" s="85"/>
      <c r="J424" s="85"/>
      <c r="K424" s="85"/>
      <c r="L424" s="52"/>
      <c r="M424" s="52"/>
      <c r="N424" s="52"/>
    </row>
    <row r="425" ht="15.75" customHeight="1">
      <c r="A425" s="49"/>
      <c r="C425" s="84"/>
      <c r="E425" s="49"/>
      <c r="G425" s="50"/>
      <c r="H425" s="51"/>
      <c r="I425" s="85"/>
      <c r="J425" s="85"/>
      <c r="K425" s="85"/>
      <c r="L425" s="52"/>
      <c r="M425" s="52"/>
      <c r="N425" s="52"/>
    </row>
    <row r="426" ht="15.75" customHeight="1">
      <c r="A426" s="49"/>
      <c r="C426" s="84"/>
      <c r="E426" s="49"/>
      <c r="G426" s="50"/>
      <c r="H426" s="51"/>
      <c r="I426" s="85"/>
      <c r="J426" s="85"/>
      <c r="K426" s="85"/>
      <c r="L426" s="52"/>
      <c r="M426" s="52"/>
      <c r="N426" s="52"/>
    </row>
    <row r="427" ht="15.75" customHeight="1">
      <c r="A427" s="49"/>
      <c r="C427" s="84"/>
      <c r="E427" s="49"/>
      <c r="G427" s="50"/>
      <c r="H427" s="51"/>
      <c r="I427" s="85"/>
      <c r="J427" s="85"/>
      <c r="K427" s="85"/>
      <c r="L427" s="52"/>
      <c r="M427" s="52"/>
      <c r="N427" s="52"/>
    </row>
    <row r="428" ht="15.75" customHeight="1">
      <c r="A428" s="49"/>
      <c r="C428" s="84"/>
      <c r="E428" s="49"/>
      <c r="G428" s="50"/>
      <c r="H428" s="51"/>
      <c r="I428" s="85"/>
      <c r="J428" s="85"/>
      <c r="K428" s="85"/>
      <c r="L428" s="52"/>
      <c r="M428" s="52"/>
      <c r="N428" s="52"/>
    </row>
    <row r="429" ht="15.75" customHeight="1">
      <c r="A429" s="49"/>
      <c r="C429" s="84"/>
      <c r="E429" s="49"/>
      <c r="G429" s="50"/>
      <c r="H429" s="51"/>
      <c r="I429" s="85"/>
      <c r="J429" s="85"/>
      <c r="K429" s="85"/>
      <c r="L429" s="52"/>
      <c r="M429" s="52"/>
      <c r="N429" s="52"/>
    </row>
    <row r="430" ht="15.75" customHeight="1">
      <c r="A430" s="49"/>
      <c r="C430" s="84"/>
      <c r="E430" s="49"/>
      <c r="G430" s="50"/>
      <c r="H430" s="51"/>
      <c r="I430" s="85"/>
      <c r="J430" s="85"/>
      <c r="K430" s="85"/>
      <c r="L430" s="52"/>
      <c r="M430" s="52"/>
      <c r="N430" s="52"/>
    </row>
    <row r="431" ht="15.75" customHeight="1">
      <c r="A431" s="49"/>
      <c r="C431" s="84"/>
      <c r="E431" s="49"/>
      <c r="G431" s="50"/>
      <c r="H431" s="51"/>
      <c r="I431" s="85"/>
      <c r="J431" s="85"/>
      <c r="K431" s="85"/>
      <c r="L431" s="52"/>
      <c r="M431" s="52"/>
      <c r="N431" s="52"/>
    </row>
    <row r="432" ht="15.75" customHeight="1">
      <c r="A432" s="49"/>
      <c r="C432" s="84"/>
      <c r="E432" s="49"/>
      <c r="G432" s="50"/>
      <c r="H432" s="51"/>
      <c r="I432" s="85"/>
      <c r="J432" s="85"/>
      <c r="K432" s="85"/>
      <c r="L432" s="52"/>
      <c r="M432" s="52"/>
      <c r="N432" s="52"/>
    </row>
    <row r="433" ht="15.75" customHeight="1">
      <c r="A433" s="49"/>
      <c r="C433" s="84"/>
      <c r="E433" s="49"/>
      <c r="G433" s="50"/>
      <c r="H433" s="51"/>
      <c r="I433" s="85"/>
      <c r="J433" s="85"/>
      <c r="K433" s="85"/>
      <c r="L433" s="52"/>
      <c r="M433" s="52"/>
      <c r="N433" s="52"/>
    </row>
    <row r="434" ht="15.75" customHeight="1">
      <c r="A434" s="49"/>
      <c r="C434" s="84"/>
      <c r="E434" s="49"/>
      <c r="G434" s="50"/>
      <c r="H434" s="51"/>
      <c r="I434" s="85"/>
      <c r="J434" s="85"/>
      <c r="K434" s="85"/>
      <c r="L434" s="52"/>
      <c r="M434" s="52"/>
      <c r="N434" s="52"/>
    </row>
    <row r="435" ht="15.75" customHeight="1">
      <c r="A435" s="49"/>
      <c r="C435" s="84"/>
      <c r="E435" s="49"/>
      <c r="G435" s="50"/>
      <c r="H435" s="51"/>
      <c r="I435" s="85"/>
      <c r="J435" s="85"/>
      <c r="K435" s="85"/>
      <c r="L435" s="52"/>
      <c r="M435" s="52"/>
      <c r="N435" s="52"/>
    </row>
    <row r="436" ht="15.75" customHeight="1">
      <c r="A436" s="49"/>
      <c r="C436" s="84"/>
      <c r="E436" s="49"/>
      <c r="G436" s="50"/>
      <c r="H436" s="51"/>
      <c r="I436" s="85"/>
      <c r="J436" s="85"/>
      <c r="K436" s="85"/>
      <c r="L436" s="52"/>
      <c r="M436" s="52"/>
      <c r="N436" s="52"/>
    </row>
    <row r="437" ht="15.75" customHeight="1">
      <c r="A437" s="49"/>
      <c r="C437" s="84"/>
      <c r="E437" s="49"/>
      <c r="G437" s="50"/>
      <c r="H437" s="51"/>
      <c r="I437" s="85"/>
      <c r="J437" s="85"/>
      <c r="K437" s="85"/>
      <c r="L437" s="52"/>
      <c r="M437" s="52"/>
      <c r="N437" s="52"/>
    </row>
    <row r="438" ht="15.75" customHeight="1">
      <c r="A438" s="49"/>
      <c r="C438" s="84"/>
      <c r="E438" s="49"/>
      <c r="G438" s="50"/>
      <c r="H438" s="51"/>
      <c r="I438" s="85"/>
      <c r="J438" s="85"/>
      <c r="K438" s="85"/>
      <c r="L438" s="52"/>
      <c r="M438" s="52"/>
      <c r="N438" s="52"/>
    </row>
    <row r="439" ht="15.75" customHeight="1">
      <c r="A439" s="49"/>
      <c r="C439" s="84"/>
      <c r="E439" s="49"/>
      <c r="G439" s="50"/>
      <c r="H439" s="51"/>
      <c r="I439" s="85"/>
      <c r="J439" s="85"/>
      <c r="K439" s="85"/>
      <c r="L439" s="52"/>
      <c r="M439" s="52"/>
      <c r="N439" s="52"/>
    </row>
    <row r="440" ht="15.75" customHeight="1">
      <c r="A440" s="49"/>
      <c r="C440" s="84"/>
      <c r="E440" s="49"/>
      <c r="G440" s="50"/>
      <c r="H440" s="51"/>
      <c r="I440" s="85"/>
      <c r="J440" s="85"/>
      <c r="K440" s="85"/>
      <c r="L440" s="52"/>
      <c r="M440" s="52"/>
      <c r="N440" s="52"/>
    </row>
    <row r="441" ht="15.75" customHeight="1">
      <c r="A441" s="49"/>
      <c r="C441" s="84"/>
      <c r="E441" s="49"/>
      <c r="G441" s="50"/>
      <c r="H441" s="51"/>
      <c r="I441" s="85"/>
      <c r="J441" s="85"/>
      <c r="K441" s="85"/>
      <c r="L441" s="52"/>
      <c r="M441" s="52"/>
      <c r="N441" s="52"/>
    </row>
    <row r="442" ht="15.75" customHeight="1">
      <c r="A442" s="49"/>
      <c r="C442" s="84"/>
      <c r="E442" s="49"/>
      <c r="G442" s="50"/>
      <c r="H442" s="51"/>
      <c r="I442" s="85"/>
      <c r="J442" s="85"/>
      <c r="K442" s="85"/>
      <c r="L442" s="52"/>
      <c r="M442" s="52"/>
      <c r="N442" s="52"/>
    </row>
    <row r="443" ht="15.75" customHeight="1">
      <c r="A443" s="49"/>
      <c r="C443" s="84"/>
      <c r="E443" s="49"/>
      <c r="G443" s="50"/>
      <c r="H443" s="51"/>
      <c r="I443" s="85"/>
      <c r="J443" s="85"/>
      <c r="K443" s="85"/>
      <c r="L443" s="52"/>
      <c r="M443" s="52"/>
      <c r="N443" s="52"/>
    </row>
    <row r="444" ht="15.75" customHeight="1">
      <c r="A444" s="49"/>
      <c r="C444" s="84"/>
      <c r="E444" s="49"/>
      <c r="G444" s="50"/>
      <c r="H444" s="51"/>
      <c r="I444" s="85"/>
      <c r="J444" s="85"/>
      <c r="K444" s="85"/>
      <c r="L444" s="52"/>
      <c r="M444" s="52"/>
      <c r="N444" s="52"/>
    </row>
    <row r="445" ht="15.75" customHeight="1">
      <c r="A445" s="49"/>
      <c r="C445" s="84"/>
      <c r="E445" s="49"/>
      <c r="G445" s="50"/>
      <c r="H445" s="51"/>
      <c r="I445" s="85"/>
      <c r="J445" s="85"/>
      <c r="K445" s="85"/>
      <c r="L445" s="52"/>
      <c r="M445" s="52"/>
      <c r="N445" s="52"/>
    </row>
    <row r="446" ht="15.75" customHeight="1">
      <c r="A446" s="49"/>
      <c r="C446" s="84"/>
      <c r="E446" s="49"/>
      <c r="G446" s="50"/>
      <c r="H446" s="51"/>
      <c r="I446" s="85"/>
      <c r="J446" s="85"/>
      <c r="K446" s="85"/>
      <c r="L446" s="52"/>
      <c r="M446" s="52"/>
      <c r="N446" s="52"/>
    </row>
    <row r="447" ht="15.75" customHeight="1">
      <c r="A447" s="49"/>
      <c r="C447" s="84"/>
      <c r="E447" s="49"/>
      <c r="G447" s="50"/>
      <c r="H447" s="51"/>
      <c r="I447" s="85"/>
      <c r="J447" s="85"/>
      <c r="K447" s="85"/>
      <c r="L447" s="52"/>
      <c r="M447" s="52"/>
      <c r="N447" s="52"/>
    </row>
    <row r="448" ht="15.75" customHeight="1">
      <c r="A448" s="49"/>
      <c r="C448" s="84"/>
      <c r="E448" s="49"/>
      <c r="G448" s="50"/>
      <c r="H448" s="51"/>
      <c r="I448" s="85"/>
      <c r="J448" s="85"/>
      <c r="K448" s="85"/>
      <c r="L448" s="52"/>
      <c r="M448" s="52"/>
      <c r="N448" s="52"/>
    </row>
    <row r="449" ht="15.75" customHeight="1">
      <c r="A449" s="49"/>
      <c r="C449" s="84"/>
      <c r="E449" s="49"/>
      <c r="G449" s="50"/>
      <c r="H449" s="51"/>
      <c r="I449" s="85"/>
      <c r="J449" s="85"/>
      <c r="K449" s="85"/>
      <c r="L449" s="52"/>
      <c r="M449" s="52"/>
      <c r="N449" s="52"/>
    </row>
    <row r="450" ht="15.75" customHeight="1">
      <c r="A450" s="49"/>
      <c r="C450" s="84"/>
      <c r="E450" s="49"/>
      <c r="G450" s="50"/>
      <c r="H450" s="51"/>
      <c r="I450" s="85"/>
      <c r="J450" s="85"/>
      <c r="K450" s="85"/>
      <c r="L450" s="52"/>
      <c r="M450" s="52"/>
      <c r="N450" s="52"/>
    </row>
    <row r="451" ht="15.75" customHeight="1">
      <c r="A451" s="49"/>
      <c r="C451" s="84"/>
      <c r="E451" s="49"/>
      <c r="G451" s="50"/>
      <c r="H451" s="51"/>
      <c r="I451" s="85"/>
      <c r="J451" s="85"/>
      <c r="K451" s="85"/>
      <c r="L451" s="52"/>
      <c r="M451" s="52"/>
      <c r="N451" s="52"/>
    </row>
    <row r="452" ht="15.75" customHeight="1">
      <c r="A452" s="49"/>
      <c r="C452" s="84"/>
      <c r="E452" s="49"/>
      <c r="G452" s="50"/>
      <c r="H452" s="51"/>
      <c r="I452" s="85"/>
      <c r="J452" s="85"/>
      <c r="K452" s="85"/>
      <c r="L452" s="52"/>
      <c r="M452" s="52"/>
      <c r="N452" s="52"/>
    </row>
    <row r="453" ht="15.75" customHeight="1">
      <c r="A453" s="49"/>
      <c r="C453" s="84"/>
      <c r="E453" s="49"/>
      <c r="G453" s="50"/>
      <c r="H453" s="51"/>
      <c r="I453" s="85"/>
      <c r="J453" s="85"/>
      <c r="K453" s="85"/>
      <c r="L453" s="52"/>
      <c r="M453" s="52"/>
      <c r="N453" s="52"/>
    </row>
    <row r="454" ht="15.75" customHeight="1">
      <c r="A454" s="49"/>
      <c r="C454" s="84"/>
      <c r="E454" s="49"/>
      <c r="G454" s="50"/>
      <c r="H454" s="51"/>
      <c r="I454" s="85"/>
      <c r="J454" s="85"/>
      <c r="K454" s="85"/>
      <c r="L454" s="52"/>
      <c r="M454" s="52"/>
      <c r="N454" s="52"/>
    </row>
    <row r="455" ht="15.75" customHeight="1">
      <c r="A455" s="49"/>
      <c r="C455" s="84"/>
      <c r="E455" s="49"/>
      <c r="G455" s="50"/>
      <c r="H455" s="51"/>
      <c r="I455" s="85"/>
      <c r="J455" s="85"/>
      <c r="K455" s="85"/>
      <c r="L455" s="52"/>
      <c r="M455" s="52"/>
      <c r="N455" s="52"/>
    </row>
    <row r="456" ht="15.75" customHeight="1">
      <c r="A456" s="49"/>
      <c r="C456" s="84"/>
      <c r="E456" s="49"/>
      <c r="G456" s="50"/>
      <c r="H456" s="51"/>
      <c r="I456" s="85"/>
      <c r="J456" s="85"/>
      <c r="K456" s="85"/>
      <c r="L456" s="52"/>
      <c r="M456" s="52"/>
      <c r="N456" s="52"/>
    </row>
    <row r="457" ht="15.75" customHeight="1">
      <c r="A457" s="49"/>
      <c r="C457" s="84"/>
      <c r="E457" s="49"/>
      <c r="G457" s="50"/>
      <c r="H457" s="51"/>
      <c r="I457" s="85"/>
      <c r="J457" s="85"/>
      <c r="K457" s="85"/>
      <c r="L457" s="52"/>
      <c r="M457" s="52"/>
      <c r="N457" s="52"/>
    </row>
    <row r="458" ht="15.75" customHeight="1">
      <c r="A458" s="49"/>
      <c r="C458" s="84"/>
      <c r="E458" s="49"/>
      <c r="G458" s="50"/>
      <c r="H458" s="51"/>
      <c r="I458" s="85"/>
      <c r="J458" s="85"/>
      <c r="K458" s="85"/>
      <c r="L458" s="52"/>
      <c r="M458" s="52"/>
      <c r="N458" s="52"/>
    </row>
    <row r="459" ht="15.75" customHeight="1">
      <c r="A459" s="49"/>
      <c r="C459" s="84"/>
      <c r="E459" s="49"/>
      <c r="G459" s="50"/>
      <c r="H459" s="51"/>
      <c r="I459" s="85"/>
      <c r="J459" s="85"/>
      <c r="K459" s="85"/>
      <c r="L459" s="52"/>
      <c r="M459" s="52"/>
      <c r="N459" s="52"/>
    </row>
    <row r="460" ht="15.75" customHeight="1">
      <c r="A460" s="49"/>
      <c r="C460" s="84"/>
      <c r="E460" s="49"/>
      <c r="G460" s="50"/>
      <c r="H460" s="51"/>
      <c r="I460" s="85"/>
      <c r="J460" s="85"/>
      <c r="K460" s="85"/>
      <c r="L460" s="52"/>
      <c r="M460" s="52"/>
      <c r="N460" s="52"/>
    </row>
    <row r="461" ht="15.75" customHeight="1">
      <c r="A461" s="49"/>
      <c r="C461" s="84"/>
      <c r="E461" s="49"/>
      <c r="G461" s="50"/>
      <c r="H461" s="51"/>
      <c r="I461" s="85"/>
      <c r="J461" s="85"/>
      <c r="K461" s="85"/>
      <c r="L461" s="52"/>
      <c r="M461" s="52"/>
      <c r="N461" s="52"/>
    </row>
    <row r="462" ht="15.75" customHeight="1">
      <c r="A462" s="49"/>
      <c r="C462" s="84"/>
      <c r="E462" s="49"/>
      <c r="G462" s="50"/>
      <c r="H462" s="51"/>
      <c r="I462" s="85"/>
      <c r="J462" s="85"/>
      <c r="K462" s="85"/>
      <c r="L462" s="52"/>
      <c r="M462" s="52"/>
      <c r="N462" s="52"/>
    </row>
    <row r="463" ht="15.75" customHeight="1">
      <c r="A463" s="49"/>
      <c r="C463" s="84"/>
      <c r="E463" s="49"/>
      <c r="G463" s="50"/>
      <c r="H463" s="51"/>
      <c r="I463" s="85"/>
      <c r="J463" s="85"/>
      <c r="K463" s="85"/>
      <c r="L463" s="52"/>
      <c r="M463" s="52"/>
      <c r="N463" s="52"/>
    </row>
    <row r="464" ht="15.75" customHeight="1">
      <c r="A464" s="49"/>
      <c r="C464" s="84"/>
      <c r="E464" s="49"/>
      <c r="G464" s="50"/>
      <c r="H464" s="51"/>
      <c r="I464" s="85"/>
      <c r="J464" s="85"/>
      <c r="K464" s="85"/>
      <c r="L464" s="52"/>
      <c r="M464" s="52"/>
      <c r="N464" s="52"/>
    </row>
    <row r="465" ht="15.75" customHeight="1">
      <c r="A465" s="49"/>
      <c r="C465" s="84"/>
      <c r="E465" s="49"/>
      <c r="G465" s="50"/>
      <c r="H465" s="51"/>
      <c r="I465" s="85"/>
      <c r="J465" s="85"/>
      <c r="K465" s="85"/>
      <c r="L465" s="52"/>
      <c r="M465" s="52"/>
      <c r="N465" s="52"/>
    </row>
    <row r="466" ht="15.75" customHeight="1">
      <c r="A466" s="49"/>
      <c r="C466" s="84"/>
      <c r="E466" s="49"/>
      <c r="G466" s="50"/>
      <c r="H466" s="51"/>
      <c r="I466" s="85"/>
      <c r="J466" s="85"/>
      <c r="K466" s="85"/>
      <c r="L466" s="52"/>
      <c r="M466" s="52"/>
      <c r="N466" s="52"/>
    </row>
    <row r="467" ht="15.75" customHeight="1">
      <c r="A467" s="49"/>
      <c r="C467" s="84"/>
      <c r="E467" s="49"/>
      <c r="G467" s="50"/>
      <c r="H467" s="51"/>
      <c r="I467" s="85"/>
      <c r="J467" s="85"/>
      <c r="K467" s="85"/>
      <c r="L467" s="52"/>
      <c r="M467" s="52"/>
      <c r="N467" s="52"/>
    </row>
    <row r="468" ht="15.75" customHeight="1">
      <c r="A468" s="49"/>
      <c r="C468" s="84"/>
      <c r="E468" s="49"/>
      <c r="G468" s="50"/>
      <c r="H468" s="51"/>
      <c r="I468" s="85"/>
      <c r="J468" s="85"/>
      <c r="K468" s="85"/>
      <c r="L468" s="52"/>
      <c r="M468" s="52"/>
      <c r="N468" s="52"/>
    </row>
    <row r="469" ht="15.75" customHeight="1">
      <c r="A469" s="49"/>
      <c r="C469" s="84"/>
      <c r="E469" s="49"/>
      <c r="G469" s="50"/>
      <c r="H469" s="51"/>
      <c r="I469" s="85"/>
      <c r="J469" s="85"/>
      <c r="K469" s="85"/>
      <c r="L469" s="52"/>
      <c r="M469" s="52"/>
      <c r="N469" s="52"/>
    </row>
    <row r="470" ht="15.75" customHeight="1">
      <c r="A470" s="49"/>
      <c r="C470" s="84"/>
      <c r="E470" s="49"/>
      <c r="G470" s="50"/>
      <c r="H470" s="51"/>
      <c r="I470" s="85"/>
      <c r="J470" s="85"/>
      <c r="K470" s="85"/>
      <c r="L470" s="52"/>
      <c r="M470" s="52"/>
      <c r="N470" s="52"/>
    </row>
    <row r="471" ht="15.75" customHeight="1">
      <c r="A471" s="49"/>
      <c r="C471" s="84"/>
      <c r="E471" s="49"/>
      <c r="G471" s="50"/>
      <c r="H471" s="51"/>
      <c r="I471" s="85"/>
      <c r="J471" s="85"/>
      <c r="K471" s="85"/>
      <c r="L471" s="52"/>
      <c r="M471" s="52"/>
      <c r="N471" s="52"/>
    </row>
    <row r="472" ht="15.75" customHeight="1">
      <c r="A472" s="49"/>
      <c r="C472" s="84"/>
      <c r="E472" s="49"/>
      <c r="G472" s="50"/>
      <c r="H472" s="51"/>
      <c r="I472" s="85"/>
      <c r="J472" s="85"/>
      <c r="K472" s="85"/>
      <c r="L472" s="52"/>
      <c r="M472" s="52"/>
      <c r="N472" s="52"/>
    </row>
    <row r="473" ht="15.75" customHeight="1">
      <c r="A473" s="49"/>
      <c r="C473" s="84"/>
      <c r="E473" s="49"/>
      <c r="G473" s="50"/>
      <c r="H473" s="51"/>
      <c r="I473" s="85"/>
      <c r="J473" s="85"/>
      <c r="K473" s="85"/>
      <c r="L473" s="52"/>
      <c r="M473" s="52"/>
      <c r="N473" s="52"/>
    </row>
    <row r="474" ht="15.75" customHeight="1">
      <c r="A474" s="49"/>
      <c r="C474" s="84"/>
      <c r="E474" s="49"/>
      <c r="G474" s="50"/>
      <c r="H474" s="51"/>
      <c r="I474" s="85"/>
      <c r="J474" s="85"/>
      <c r="K474" s="85"/>
      <c r="L474" s="52"/>
      <c r="M474" s="52"/>
      <c r="N474" s="52"/>
    </row>
    <row r="475" ht="15.75" customHeight="1">
      <c r="A475" s="49"/>
      <c r="C475" s="84"/>
      <c r="E475" s="49"/>
      <c r="G475" s="50"/>
      <c r="H475" s="51"/>
      <c r="I475" s="85"/>
      <c r="J475" s="85"/>
      <c r="K475" s="85"/>
      <c r="L475" s="52"/>
      <c r="M475" s="52"/>
      <c r="N475" s="52"/>
    </row>
    <row r="476" ht="15.75" customHeight="1">
      <c r="A476" s="49"/>
      <c r="C476" s="84"/>
      <c r="E476" s="49"/>
      <c r="G476" s="50"/>
      <c r="H476" s="51"/>
      <c r="I476" s="85"/>
      <c r="J476" s="85"/>
      <c r="K476" s="85"/>
      <c r="L476" s="52"/>
      <c r="M476" s="52"/>
      <c r="N476" s="52"/>
    </row>
    <row r="477" ht="15.75" customHeight="1">
      <c r="A477" s="49"/>
      <c r="C477" s="84"/>
      <c r="E477" s="49"/>
      <c r="G477" s="50"/>
      <c r="H477" s="51"/>
      <c r="I477" s="85"/>
      <c r="J477" s="85"/>
      <c r="K477" s="85"/>
      <c r="L477" s="52"/>
      <c r="M477" s="52"/>
      <c r="N477" s="52"/>
    </row>
    <row r="478" ht="15.75" customHeight="1">
      <c r="A478" s="49"/>
      <c r="C478" s="84"/>
      <c r="E478" s="49"/>
      <c r="G478" s="50"/>
      <c r="H478" s="51"/>
      <c r="I478" s="85"/>
      <c r="J478" s="85"/>
      <c r="K478" s="85"/>
      <c r="L478" s="52"/>
      <c r="M478" s="52"/>
      <c r="N478" s="52"/>
    </row>
    <row r="479" ht="15.75" customHeight="1">
      <c r="A479" s="49"/>
      <c r="C479" s="84"/>
      <c r="E479" s="49"/>
      <c r="G479" s="50"/>
      <c r="H479" s="51"/>
      <c r="I479" s="85"/>
      <c r="J479" s="85"/>
      <c r="K479" s="85"/>
      <c r="L479" s="52"/>
      <c r="M479" s="52"/>
      <c r="N479" s="52"/>
    </row>
    <row r="480" ht="15.75" customHeight="1">
      <c r="A480" s="49"/>
      <c r="C480" s="84"/>
      <c r="E480" s="49"/>
      <c r="G480" s="50"/>
      <c r="H480" s="51"/>
      <c r="I480" s="85"/>
      <c r="J480" s="85"/>
      <c r="K480" s="85"/>
      <c r="L480" s="52"/>
      <c r="M480" s="52"/>
      <c r="N480" s="52"/>
    </row>
    <row r="481" ht="15.75" customHeight="1">
      <c r="A481" s="49"/>
      <c r="C481" s="84"/>
      <c r="E481" s="49"/>
      <c r="G481" s="50"/>
      <c r="H481" s="51"/>
      <c r="I481" s="85"/>
      <c r="J481" s="85"/>
      <c r="K481" s="85"/>
      <c r="L481" s="52"/>
      <c r="M481" s="52"/>
      <c r="N481" s="52"/>
    </row>
    <row r="482" ht="15.75" customHeight="1">
      <c r="A482" s="49"/>
      <c r="C482" s="84"/>
      <c r="E482" s="49"/>
      <c r="G482" s="50"/>
      <c r="H482" s="51"/>
      <c r="I482" s="85"/>
      <c r="J482" s="85"/>
      <c r="K482" s="85"/>
      <c r="L482" s="52"/>
      <c r="M482" s="52"/>
      <c r="N482" s="52"/>
    </row>
    <row r="483" ht="15.75" customHeight="1">
      <c r="A483" s="49"/>
      <c r="C483" s="84"/>
      <c r="E483" s="49"/>
      <c r="G483" s="50"/>
      <c r="H483" s="51"/>
      <c r="I483" s="85"/>
      <c r="J483" s="85"/>
      <c r="K483" s="85"/>
      <c r="L483" s="52"/>
      <c r="M483" s="52"/>
      <c r="N483" s="52"/>
    </row>
    <row r="484" ht="15.75" customHeight="1">
      <c r="A484" s="49"/>
      <c r="C484" s="84"/>
      <c r="E484" s="49"/>
      <c r="G484" s="50"/>
      <c r="H484" s="51"/>
      <c r="I484" s="85"/>
      <c r="J484" s="85"/>
      <c r="K484" s="85"/>
      <c r="L484" s="52"/>
      <c r="M484" s="52"/>
      <c r="N484" s="52"/>
    </row>
    <row r="485" ht="15.75" customHeight="1">
      <c r="A485" s="49"/>
      <c r="C485" s="84"/>
      <c r="E485" s="49"/>
      <c r="G485" s="50"/>
      <c r="H485" s="51"/>
      <c r="I485" s="85"/>
      <c r="J485" s="85"/>
      <c r="K485" s="85"/>
      <c r="L485" s="52"/>
      <c r="M485" s="52"/>
      <c r="N485" s="52"/>
    </row>
    <row r="486" ht="15.75" customHeight="1">
      <c r="A486" s="49"/>
      <c r="C486" s="84"/>
      <c r="E486" s="49"/>
      <c r="G486" s="50"/>
      <c r="H486" s="51"/>
      <c r="I486" s="85"/>
      <c r="J486" s="85"/>
      <c r="K486" s="85"/>
      <c r="L486" s="52"/>
      <c r="M486" s="52"/>
      <c r="N486" s="52"/>
    </row>
    <row r="487" ht="15.75" customHeight="1">
      <c r="A487" s="49"/>
      <c r="C487" s="84"/>
      <c r="E487" s="49"/>
      <c r="G487" s="50"/>
      <c r="H487" s="51"/>
      <c r="I487" s="85"/>
      <c r="J487" s="85"/>
      <c r="K487" s="85"/>
      <c r="L487" s="52"/>
      <c r="M487" s="52"/>
      <c r="N487" s="52"/>
    </row>
    <row r="488" ht="15.75" customHeight="1">
      <c r="A488" s="49"/>
      <c r="C488" s="84"/>
      <c r="E488" s="49"/>
      <c r="G488" s="50"/>
      <c r="H488" s="51"/>
      <c r="I488" s="85"/>
      <c r="J488" s="85"/>
      <c r="K488" s="85"/>
      <c r="L488" s="52"/>
      <c r="M488" s="52"/>
      <c r="N488" s="52"/>
    </row>
    <row r="489" ht="15.75" customHeight="1">
      <c r="A489" s="49"/>
      <c r="C489" s="84"/>
      <c r="E489" s="49"/>
      <c r="G489" s="50"/>
      <c r="H489" s="51"/>
      <c r="I489" s="85"/>
      <c r="J489" s="85"/>
      <c r="K489" s="85"/>
      <c r="L489" s="52"/>
      <c r="M489" s="52"/>
      <c r="N489" s="52"/>
    </row>
    <row r="490" ht="15.75" customHeight="1">
      <c r="A490" s="49"/>
      <c r="C490" s="84"/>
      <c r="E490" s="49"/>
      <c r="G490" s="50"/>
      <c r="H490" s="51"/>
      <c r="I490" s="85"/>
      <c r="J490" s="85"/>
      <c r="K490" s="85"/>
      <c r="L490" s="52"/>
      <c r="M490" s="52"/>
      <c r="N490" s="52"/>
    </row>
    <row r="491" ht="15.75" customHeight="1">
      <c r="A491" s="49"/>
      <c r="C491" s="84"/>
      <c r="E491" s="49"/>
      <c r="G491" s="50"/>
      <c r="H491" s="51"/>
      <c r="I491" s="85"/>
      <c r="J491" s="85"/>
      <c r="K491" s="85"/>
      <c r="L491" s="52"/>
      <c r="M491" s="52"/>
      <c r="N491" s="52"/>
    </row>
    <row r="492" ht="15.75" customHeight="1">
      <c r="A492" s="49"/>
      <c r="C492" s="84"/>
      <c r="E492" s="49"/>
      <c r="G492" s="50"/>
      <c r="H492" s="51"/>
      <c r="I492" s="85"/>
      <c r="J492" s="85"/>
      <c r="K492" s="85"/>
      <c r="L492" s="52"/>
      <c r="M492" s="52"/>
      <c r="N492" s="52"/>
    </row>
    <row r="493" ht="15.75" customHeight="1">
      <c r="A493" s="49"/>
      <c r="C493" s="84"/>
      <c r="E493" s="49"/>
      <c r="G493" s="50"/>
      <c r="H493" s="51"/>
      <c r="I493" s="85"/>
      <c r="J493" s="85"/>
      <c r="K493" s="85"/>
      <c r="L493" s="52"/>
      <c r="M493" s="52"/>
      <c r="N493" s="52"/>
    </row>
    <row r="494" ht="15.75" customHeight="1">
      <c r="A494" s="49"/>
      <c r="C494" s="84"/>
      <c r="E494" s="49"/>
      <c r="G494" s="50"/>
      <c r="H494" s="51"/>
      <c r="I494" s="85"/>
      <c r="J494" s="85"/>
      <c r="K494" s="85"/>
      <c r="L494" s="52"/>
      <c r="M494" s="52"/>
      <c r="N494" s="52"/>
    </row>
    <row r="495" ht="15.75" customHeight="1">
      <c r="A495" s="49"/>
      <c r="C495" s="84"/>
      <c r="E495" s="49"/>
      <c r="G495" s="50"/>
      <c r="H495" s="51"/>
      <c r="I495" s="85"/>
      <c r="J495" s="85"/>
      <c r="K495" s="85"/>
      <c r="L495" s="52"/>
      <c r="M495" s="52"/>
      <c r="N495" s="52"/>
    </row>
    <row r="496" ht="15.75" customHeight="1">
      <c r="A496" s="49"/>
      <c r="C496" s="84"/>
      <c r="E496" s="49"/>
      <c r="G496" s="50"/>
      <c r="H496" s="51"/>
      <c r="I496" s="85"/>
      <c r="J496" s="85"/>
      <c r="K496" s="85"/>
      <c r="L496" s="52"/>
      <c r="M496" s="52"/>
      <c r="N496" s="52"/>
    </row>
    <row r="497" ht="15.75" customHeight="1">
      <c r="A497" s="49"/>
      <c r="C497" s="84"/>
      <c r="E497" s="49"/>
      <c r="G497" s="50"/>
      <c r="H497" s="51"/>
      <c r="I497" s="85"/>
      <c r="J497" s="85"/>
      <c r="K497" s="85"/>
      <c r="L497" s="52"/>
      <c r="M497" s="52"/>
      <c r="N497" s="52"/>
    </row>
    <row r="498" ht="15.75" customHeight="1">
      <c r="A498" s="49"/>
      <c r="C498" s="84"/>
      <c r="E498" s="49"/>
      <c r="G498" s="50"/>
      <c r="H498" s="51"/>
      <c r="I498" s="85"/>
      <c r="J498" s="85"/>
      <c r="K498" s="85"/>
      <c r="L498" s="52"/>
      <c r="M498" s="52"/>
      <c r="N498" s="52"/>
    </row>
    <row r="499" ht="15.75" customHeight="1">
      <c r="A499" s="49"/>
      <c r="C499" s="84"/>
      <c r="E499" s="49"/>
      <c r="G499" s="50"/>
      <c r="H499" s="51"/>
      <c r="I499" s="85"/>
      <c r="J499" s="85"/>
      <c r="K499" s="85"/>
      <c r="L499" s="52"/>
      <c r="M499" s="52"/>
      <c r="N499" s="52"/>
    </row>
    <row r="500" ht="15.75" customHeight="1">
      <c r="A500" s="49"/>
      <c r="C500" s="84"/>
      <c r="E500" s="49"/>
      <c r="G500" s="50"/>
      <c r="H500" s="51"/>
      <c r="I500" s="85"/>
      <c r="J500" s="85"/>
      <c r="K500" s="85"/>
      <c r="L500" s="52"/>
      <c r="M500" s="52"/>
      <c r="N500" s="52"/>
    </row>
    <row r="501" ht="15.75" customHeight="1">
      <c r="A501" s="49"/>
      <c r="C501" s="84"/>
      <c r="E501" s="49"/>
      <c r="G501" s="50"/>
      <c r="H501" s="51"/>
      <c r="I501" s="85"/>
      <c r="J501" s="85"/>
      <c r="K501" s="85"/>
      <c r="L501" s="52"/>
      <c r="M501" s="52"/>
      <c r="N501" s="52"/>
    </row>
    <row r="502" ht="15.75" customHeight="1">
      <c r="A502" s="49"/>
      <c r="C502" s="84"/>
      <c r="E502" s="49"/>
      <c r="G502" s="50"/>
      <c r="H502" s="51"/>
      <c r="I502" s="85"/>
      <c r="J502" s="85"/>
      <c r="K502" s="85"/>
      <c r="L502" s="52"/>
      <c r="M502" s="52"/>
      <c r="N502" s="52"/>
    </row>
    <row r="503" ht="15.75" customHeight="1">
      <c r="A503" s="49"/>
      <c r="C503" s="84"/>
      <c r="E503" s="49"/>
      <c r="G503" s="50"/>
      <c r="H503" s="51"/>
      <c r="I503" s="85"/>
      <c r="J503" s="85"/>
      <c r="K503" s="85"/>
      <c r="L503" s="52"/>
      <c r="M503" s="52"/>
      <c r="N503" s="52"/>
    </row>
    <row r="504" ht="15.75" customHeight="1">
      <c r="A504" s="49"/>
      <c r="C504" s="84"/>
      <c r="E504" s="49"/>
      <c r="G504" s="50"/>
      <c r="H504" s="51"/>
      <c r="I504" s="85"/>
      <c r="J504" s="85"/>
      <c r="K504" s="85"/>
      <c r="L504" s="52"/>
      <c r="M504" s="52"/>
      <c r="N504" s="52"/>
    </row>
    <row r="505" ht="15.75" customHeight="1">
      <c r="A505" s="49"/>
      <c r="C505" s="84"/>
      <c r="E505" s="49"/>
      <c r="G505" s="50"/>
      <c r="H505" s="51"/>
      <c r="I505" s="85"/>
      <c r="J505" s="85"/>
      <c r="K505" s="85"/>
      <c r="L505" s="52"/>
      <c r="M505" s="52"/>
      <c r="N505" s="52"/>
    </row>
    <row r="506" ht="15.75" customHeight="1">
      <c r="A506" s="49"/>
      <c r="C506" s="84"/>
      <c r="E506" s="49"/>
      <c r="G506" s="50"/>
      <c r="H506" s="51"/>
      <c r="I506" s="85"/>
      <c r="J506" s="85"/>
      <c r="K506" s="85"/>
      <c r="L506" s="52"/>
      <c r="M506" s="52"/>
      <c r="N506" s="52"/>
    </row>
    <row r="507" ht="15.75" customHeight="1">
      <c r="A507" s="49"/>
      <c r="C507" s="84"/>
      <c r="E507" s="49"/>
      <c r="G507" s="50"/>
      <c r="H507" s="51"/>
      <c r="I507" s="85"/>
      <c r="J507" s="85"/>
      <c r="K507" s="85"/>
      <c r="L507" s="52"/>
      <c r="M507" s="52"/>
      <c r="N507" s="52"/>
    </row>
    <row r="508" ht="15.75" customHeight="1">
      <c r="A508" s="49"/>
      <c r="C508" s="84"/>
      <c r="E508" s="49"/>
      <c r="G508" s="50"/>
      <c r="H508" s="51"/>
      <c r="I508" s="85"/>
      <c r="J508" s="85"/>
      <c r="K508" s="85"/>
      <c r="L508" s="52"/>
      <c r="M508" s="52"/>
      <c r="N508" s="52"/>
    </row>
    <row r="509" ht="15.75" customHeight="1">
      <c r="A509" s="49"/>
      <c r="C509" s="84"/>
      <c r="E509" s="49"/>
      <c r="G509" s="50"/>
      <c r="H509" s="51"/>
      <c r="I509" s="85"/>
      <c r="J509" s="85"/>
      <c r="K509" s="85"/>
      <c r="L509" s="52"/>
      <c r="M509" s="52"/>
      <c r="N509" s="52"/>
    </row>
    <row r="510" ht="15.75" customHeight="1">
      <c r="A510" s="49"/>
      <c r="C510" s="84"/>
      <c r="E510" s="49"/>
      <c r="G510" s="50"/>
      <c r="H510" s="51"/>
      <c r="I510" s="85"/>
      <c r="J510" s="85"/>
      <c r="K510" s="85"/>
      <c r="L510" s="52"/>
      <c r="M510" s="52"/>
      <c r="N510" s="52"/>
    </row>
    <row r="511" ht="15.75" customHeight="1">
      <c r="A511" s="49"/>
      <c r="C511" s="84"/>
      <c r="E511" s="49"/>
      <c r="G511" s="50"/>
      <c r="H511" s="51"/>
      <c r="I511" s="85"/>
      <c r="J511" s="85"/>
      <c r="K511" s="85"/>
      <c r="L511" s="52"/>
      <c r="M511" s="52"/>
      <c r="N511" s="52"/>
    </row>
    <row r="512" ht="15.75" customHeight="1">
      <c r="A512" s="49"/>
      <c r="C512" s="84"/>
      <c r="E512" s="49"/>
      <c r="G512" s="50"/>
      <c r="H512" s="51"/>
      <c r="I512" s="85"/>
      <c r="J512" s="85"/>
      <c r="K512" s="85"/>
      <c r="L512" s="52"/>
      <c r="M512" s="52"/>
      <c r="N512" s="52"/>
    </row>
    <row r="513" ht="15.75" customHeight="1">
      <c r="A513" s="49"/>
      <c r="C513" s="84"/>
      <c r="E513" s="49"/>
      <c r="G513" s="50"/>
      <c r="H513" s="51"/>
      <c r="I513" s="85"/>
      <c r="J513" s="85"/>
      <c r="K513" s="85"/>
      <c r="L513" s="52"/>
      <c r="M513" s="52"/>
      <c r="N513" s="52"/>
    </row>
    <row r="514" ht="15.75" customHeight="1">
      <c r="A514" s="49"/>
      <c r="C514" s="84"/>
      <c r="E514" s="49"/>
      <c r="G514" s="50"/>
      <c r="H514" s="51"/>
      <c r="I514" s="85"/>
      <c r="J514" s="85"/>
      <c r="K514" s="85"/>
      <c r="L514" s="52"/>
      <c r="M514" s="52"/>
      <c r="N514" s="52"/>
    </row>
    <row r="515" ht="15.75" customHeight="1">
      <c r="A515" s="49"/>
      <c r="C515" s="84"/>
      <c r="E515" s="49"/>
      <c r="G515" s="50"/>
      <c r="H515" s="51"/>
      <c r="I515" s="85"/>
      <c r="J515" s="85"/>
      <c r="K515" s="85"/>
      <c r="L515" s="52"/>
      <c r="M515" s="52"/>
      <c r="N515" s="52"/>
    </row>
    <row r="516" ht="15.75" customHeight="1">
      <c r="A516" s="49"/>
      <c r="C516" s="84"/>
      <c r="E516" s="49"/>
      <c r="G516" s="50"/>
      <c r="H516" s="51"/>
      <c r="I516" s="85"/>
      <c r="J516" s="85"/>
      <c r="K516" s="85"/>
      <c r="L516" s="52"/>
      <c r="M516" s="52"/>
      <c r="N516" s="52"/>
    </row>
    <row r="517" ht="15.75" customHeight="1">
      <c r="A517" s="49"/>
      <c r="C517" s="84"/>
      <c r="E517" s="49"/>
      <c r="G517" s="50"/>
      <c r="H517" s="51"/>
      <c r="I517" s="85"/>
      <c r="J517" s="85"/>
      <c r="K517" s="85"/>
      <c r="L517" s="52"/>
      <c r="M517" s="52"/>
      <c r="N517" s="52"/>
    </row>
    <row r="518" ht="15.75" customHeight="1">
      <c r="A518" s="49"/>
      <c r="C518" s="84"/>
      <c r="E518" s="49"/>
      <c r="G518" s="50"/>
      <c r="H518" s="51"/>
      <c r="I518" s="85"/>
      <c r="J518" s="85"/>
      <c r="K518" s="85"/>
      <c r="L518" s="52"/>
      <c r="M518" s="52"/>
      <c r="N518" s="52"/>
    </row>
    <row r="519" ht="15.75" customHeight="1">
      <c r="A519" s="49"/>
      <c r="C519" s="84"/>
      <c r="E519" s="49"/>
      <c r="G519" s="50"/>
      <c r="H519" s="51"/>
      <c r="I519" s="85"/>
      <c r="J519" s="85"/>
      <c r="K519" s="85"/>
      <c r="L519" s="52"/>
      <c r="M519" s="52"/>
      <c r="N519" s="52"/>
    </row>
    <row r="520" ht="15.75" customHeight="1">
      <c r="A520" s="49"/>
      <c r="C520" s="84"/>
      <c r="E520" s="49"/>
      <c r="G520" s="50"/>
      <c r="H520" s="51"/>
      <c r="I520" s="85"/>
      <c r="J520" s="85"/>
      <c r="K520" s="85"/>
      <c r="L520" s="52"/>
      <c r="M520" s="52"/>
      <c r="N520" s="52"/>
    </row>
    <row r="521" ht="15.75" customHeight="1">
      <c r="A521" s="49"/>
      <c r="C521" s="84"/>
      <c r="E521" s="49"/>
      <c r="G521" s="50"/>
      <c r="H521" s="51"/>
      <c r="I521" s="85"/>
      <c r="J521" s="85"/>
      <c r="K521" s="85"/>
      <c r="L521" s="52"/>
      <c r="M521" s="52"/>
      <c r="N521" s="52"/>
    </row>
    <row r="522" ht="15.75" customHeight="1">
      <c r="A522" s="49"/>
      <c r="C522" s="84"/>
      <c r="E522" s="49"/>
      <c r="G522" s="50"/>
      <c r="H522" s="51"/>
      <c r="I522" s="85"/>
      <c r="J522" s="85"/>
      <c r="K522" s="85"/>
      <c r="L522" s="52"/>
      <c r="M522" s="52"/>
      <c r="N522" s="52"/>
    </row>
    <row r="523" ht="15.75" customHeight="1">
      <c r="A523" s="49"/>
      <c r="C523" s="84"/>
      <c r="E523" s="49"/>
      <c r="G523" s="50"/>
      <c r="H523" s="51"/>
      <c r="I523" s="85"/>
      <c r="J523" s="85"/>
      <c r="K523" s="85"/>
      <c r="L523" s="52"/>
      <c r="M523" s="52"/>
      <c r="N523" s="52"/>
    </row>
    <row r="524" ht="15.75" customHeight="1">
      <c r="A524" s="49"/>
      <c r="C524" s="84"/>
      <c r="E524" s="49"/>
      <c r="G524" s="50"/>
      <c r="H524" s="51"/>
      <c r="I524" s="85"/>
      <c r="J524" s="85"/>
      <c r="K524" s="85"/>
      <c r="L524" s="52"/>
      <c r="M524" s="52"/>
      <c r="N524" s="52"/>
    </row>
    <row r="525" ht="15.75" customHeight="1">
      <c r="A525" s="49"/>
      <c r="C525" s="84"/>
      <c r="E525" s="49"/>
      <c r="G525" s="50"/>
      <c r="H525" s="51"/>
      <c r="I525" s="85"/>
      <c r="J525" s="85"/>
      <c r="K525" s="85"/>
      <c r="L525" s="52"/>
      <c r="M525" s="52"/>
      <c r="N525" s="52"/>
    </row>
    <row r="526" ht="15.75" customHeight="1">
      <c r="A526" s="49"/>
      <c r="C526" s="84"/>
      <c r="E526" s="49"/>
      <c r="G526" s="50"/>
      <c r="H526" s="51"/>
      <c r="I526" s="85"/>
      <c r="J526" s="85"/>
      <c r="K526" s="85"/>
      <c r="L526" s="52"/>
      <c r="M526" s="52"/>
      <c r="N526" s="52"/>
    </row>
    <row r="527" ht="15.75" customHeight="1">
      <c r="A527" s="49"/>
      <c r="C527" s="84"/>
      <c r="E527" s="49"/>
      <c r="G527" s="50"/>
      <c r="H527" s="51"/>
      <c r="I527" s="85"/>
      <c r="J527" s="85"/>
      <c r="K527" s="85"/>
      <c r="L527" s="52"/>
      <c r="M527" s="52"/>
      <c r="N527" s="52"/>
    </row>
    <row r="528" ht="15.75" customHeight="1">
      <c r="A528" s="49"/>
      <c r="C528" s="84"/>
      <c r="E528" s="49"/>
      <c r="G528" s="50"/>
      <c r="H528" s="51"/>
      <c r="I528" s="85"/>
      <c r="J528" s="85"/>
      <c r="K528" s="85"/>
      <c r="L528" s="52"/>
      <c r="M528" s="52"/>
      <c r="N528" s="52"/>
    </row>
    <row r="529" ht="15.75" customHeight="1">
      <c r="A529" s="49"/>
      <c r="C529" s="84"/>
      <c r="E529" s="49"/>
      <c r="G529" s="50"/>
      <c r="H529" s="51"/>
      <c r="I529" s="85"/>
      <c r="J529" s="85"/>
      <c r="K529" s="85"/>
      <c r="L529" s="52"/>
      <c r="M529" s="52"/>
      <c r="N529" s="52"/>
    </row>
    <row r="530" ht="15.75" customHeight="1">
      <c r="A530" s="49"/>
      <c r="C530" s="84"/>
      <c r="E530" s="49"/>
      <c r="G530" s="50"/>
      <c r="H530" s="51"/>
      <c r="I530" s="85"/>
      <c r="J530" s="85"/>
      <c r="K530" s="85"/>
      <c r="L530" s="52"/>
      <c r="M530" s="52"/>
      <c r="N530" s="52"/>
    </row>
    <row r="531" ht="15.75" customHeight="1">
      <c r="A531" s="49"/>
      <c r="C531" s="84"/>
      <c r="E531" s="49"/>
      <c r="G531" s="50"/>
      <c r="H531" s="51"/>
      <c r="I531" s="85"/>
      <c r="J531" s="85"/>
      <c r="K531" s="85"/>
      <c r="L531" s="52"/>
      <c r="M531" s="52"/>
      <c r="N531" s="52"/>
    </row>
    <row r="532" ht="15.75" customHeight="1">
      <c r="A532" s="49"/>
      <c r="C532" s="84"/>
      <c r="E532" s="49"/>
      <c r="G532" s="50"/>
      <c r="H532" s="51"/>
      <c r="I532" s="85"/>
      <c r="J532" s="85"/>
      <c r="K532" s="85"/>
      <c r="L532" s="52"/>
      <c r="M532" s="52"/>
      <c r="N532" s="52"/>
    </row>
    <row r="533" ht="15.75" customHeight="1">
      <c r="A533" s="49"/>
      <c r="C533" s="84"/>
      <c r="E533" s="49"/>
      <c r="G533" s="50"/>
      <c r="H533" s="51"/>
      <c r="I533" s="85"/>
      <c r="J533" s="85"/>
      <c r="K533" s="85"/>
      <c r="L533" s="52"/>
      <c r="M533" s="52"/>
      <c r="N533" s="52"/>
    </row>
    <row r="534" ht="15.75" customHeight="1">
      <c r="A534" s="49"/>
      <c r="C534" s="84"/>
      <c r="E534" s="49"/>
      <c r="G534" s="50"/>
      <c r="H534" s="51"/>
      <c r="I534" s="85"/>
      <c r="J534" s="85"/>
      <c r="K534" s="85"/>
      <c r="L534" s="52"/>
      <c r="M534" s="52"/>
      <c r="N534" s="52"/>
    </row>
    <row r="535" ht="15.75" customHeight="1">
      <c r="A535" s="49"/>
      <c r="C535" s="84"/>
      <c r="E535" s="49"/>
      <c r="G535" s="50"/>
      <c r="H535" s="51"/>
      <c r="I535" s="85"/>
      <c r="J535" s="85"/>
      <c r="K535" s="85"/>
      <c r="L535" s="52"/>
      <c r="M535" s="52"/>
      <c r="N535" s="52"/>
    </row>
    <row r="536" ht="15.75" customHeight="1">
      <c r="A536" s="49"/>
      <c r="C536" s="84"/>
      <c r="E536" s="49"/>
      <c r="G536" s="50"/>
      <c r="H536" s="51"/>
      <c r="I536" s="85"/>
      <c r="J536" s="85"/>
      <c r="K536" s="85"/>
      <c r="L536" s="52"/>
      <c r="M536" s="52"/>
      <c r="N536" s="52"/>
    </row>
    <row r="537" ht="15.75" customHeight="1">
      <c r="A537" s="49"/>
      <c r="C537" s="84"/>
      <c r="E537" s="49"/>
      <c r="G537" s="50"/>
      <c r="H537" s="51"/>
      <c r="I537" s="85"/>
      <c r="J537" s="85"/>
      <c r="K537" s="85"/>
      <c r="L537" s="52"/>
      <c r="M537" s="52"/>
      <c r="N537" s="52"/>
    </row>
    <row r="538" ht="15.75" customHeight="1">
      <c r="A538" s="49"/>
      <c r="C538" s="84"/>
      <c r="E538" s="49"/>
      <c r="G538" s="50"/>
      <c r="H538" s="51"/>
      <c r="I538" s="85"/>
      <c r="J538" s="85"/>
      <c r="K538" s="85"/>
      <c r="L538" s="52"/>
      <c r="M538" s="52"/>
      <c r="N538" s="52"/>
    </row>
    <row r="539" ht="15.75" customHeight="1">
      <c r="A539" s="49"/>
      <c r="C539" s="84"/>
      <c r="E539" s="49"/>
      <c r="G539" s="50"/>
      <c r="H539" s="51"/>
      <c r="I539" s="85"/>
      <c r="J539" s="85"/>
      <c r="K539" s="85"/>
      <c r="L539" s="52"/>
      <c r="M539" s="52"/>
      <c r="N539" s="52"/>
    </row>
    <row r="540" ht="15.75" customHeight="1">
      <c r="A540" s="49"/>
      <c r="C540" s="84"/>
      <c r="E540" s="49"/>
      <c r="G540" s="50"/>
      <c r="H540" s="51"/>
      <c r="I540" s="85"/>
      <c r="J540" s="85"/>
      <c r="K540" s="85"/>
      <c r="L540" s="52"/>
      <c r="M540" s="52"/>
      <c r="N540" s="52"/>
    </row>
    <row r="541" ht="15.75" customHeight="1">
      <c r="A541" s="49"/>
      <c r="C541" s="84"/>
      <c r="E541" s="49"/>
      <c r="G541" s="50"/>
      <c r="H541" s="51"/>
      <c r="I541" s="85"/>
      <c r="J541" s="85"/>
      <c r="K541" s="85"/>
      <c r="L541" s="52"/>
      <c r="M541" s="52"/>
      <c r="N541" s="52"/>
    </row>
    <row r="542" ht="15.75" customHeight="1">
      <c r="A542" s="49"/>
      <c r="C542" s="84"/>
      <c r="E542" s="49"/>
      <c r="G542" s="50"/>
      <c r="H542" s="51"/>
      <c r="I542" s="85"/>
      <c r="J542" s="85"/>
      <c r="K542" s="85"/>
      <c r="L542" s="52"/>
      <c r="M542" s="52"/>
      <c r="N542" s="52"/>
    </row>
    <row r="543" ht="15.75" customHeight="1">
      <c r="A543" s="49"/>
      <c r="C543" s="84"/>
      <c r="E543" s="49"/>
      <c r="G543" s="50"/>
      <c r="H543" s="51"/>
      <c r="I543" s="85"/>
      <c r="J543" s="85"/>
      <c r="K543" s="85"/>
      <c r="L543" s="52"/>
      <c r="M543" s="52"/>
      <c r="N543" s="52"/>
    </row>
    <row r="544" ht="15.75" customHeight="1">
      <c r="A544" s="49"/>
      <c r="C544" s="84"/>
      <c r="E544" s="49"/>
      <c r="G544" s="50"/>
      <c r="H544" s="51"/>
      <c r="I544" s="85"/>
      <c r="J544" s="85"/>
      <c r="K544" s="85"/>
      <c r="L544" s="52"/>
      <c r="M544" s="52"/>
      <c r="N544" s="52"/>
    </row>
    <row r="545" ht="15.75" customHeight="1">
      <c r="A545" s="49"/>
      <c r="C545" s="84"/>
      <c r="E545" s="49"/>
      <c r="G545" s="50"/>
      <c r="H545" s="51"/>
      <c r="I545" s="85"/>
      <c r="J545" s="85"/>
      <c r="K545" s="85"/>
      <c r="L545" s="52"/>
      <c r="M545" s="52"/>
      <c r="N545" s="52"/>
    </row>
    <row r="546" ht="15.75" customHeight="1">
      <c r="A546" s="49"/>
      <c r="C546" s="84"/>
      <c r="E546" s="49"/>
      <c r="G546" s="50"/>
      <c r="H546" s="51"/>
      <c r="I546" s="85"/>
      <c r="J546" s="85"/>
      <c r="K546" s="85"/>
      <c r="L546" s="52"/>
      <c r="M546" s="52"/>
      <c r="N546" s="52"/>
    </row>
    <row r="547" ht="15.75" customHeight="1">
      <c r="A547" s="49"/>
      <c r="C547" s="84"/>
      <c r="E547" s="49"/>
      <c r="G547" s="50"/>
      <c r="H547" s="51"/>
      <c r="I547" s="85"/>
      <c r="J547" s="85"/>
      <c r="K547" s="85"/>
      <c r="L547" s="52"/>
      <c r="M547" s="52"/>
      <c r="N547" s="52"/>
    </row>
    <row r="548" ht="15.75" customHeight="1">
      <c r="A548" s="49"/>
      <c r="C548" s="84"/>
      <c r="E548" s="49"/>
      <c r="G548" s="50"/>
      <c r="H548" s="51"/>
      <c r="I548" s="85"/>
      <c r="J548" s="85"/>
      <c r="K548" s="85"/>
      <c r="L548" s="52"/>
      <c r="M548" s="52"/>
      <c r="N548" s="52"/>
    </row>
    <row r="549" ht="15.75" customHeight="1">
      <c r="A549" s="49"/>
      <c r="C549" s="84"/>
      <c r="E549" s="49"/>
      <c r="G549" s="50"/>
      <c r="H549" s="51"/>
      <c r="I549" s="85"/>
      <c r="J549" s="85"/>
      <c r="K549" s="85"/>
      <c r="L549" s="52"/>
      <c r="M549" s="52"/>
      <c r="N549" s="52"/>
    </row>
    <row r="550" ht="15.75" customHeight="1">
      <c r="A550" s="49"/>
      <c r="C550" s="84"/>
      <c r="E550" s="49"/>
      <c r="G550" s="50"/>
      <c r="H550" s="51"/>
      <c r="I550" s="85"/>
      <c r="J550" s="85"/>
      <c r="K550" s="85"/>
      <c r="L550" s="52"/>
      <c r="M550" s="52"/>
      <c r="N550" s="52"/>
    </row>
    <row r="551" ht="15.75" customHeight="1">
      <c r="A551" s="49"/>
      <c r="C551" s="84"/>
      <c r="E551" s="49"/>
      <c r="G551" s="50"/>
      <c r="H551" s="51"/>
      <c r="I551" s="85"/>
      <c r="J551" s="85"/>
      <c r="K551" s="85"/>
      <c r="L551" s="52"/>
      <c r="M551" s="52"/>
      <c r="N551" s="52"/>
    </row>
    <row r="552" ht="15.75" customHeight="1">
      <c r="A552" s="49"/>
      <c r="C552" s="84"/>
      <c r="E552" s="49"/>
      <c r="G552" s="50"/>
      <c r="H552" s="51"/>
      <c r="I552" s="85"/>
      <c r="J552" s="85"/>
      <c r="K552" s="85"/>
      <c r="L552" s="52"/>
      <c r="M552" s="52"/>
      <c r="N552" s="52"/>
    </row>
    <row r="553" ht="15.75" customHeight="1">
      <c r="A553" s="49"/>
      <c r="C553" s="84"/>
      <c r="E553" s="49"/>
      <c r="G553" s="50"/>
      <c r="H553" s="51"/>
      <c r="I553" s="85"/>
      <c r="J553" s="85"/>
      <c r="K553" s="85"/>
      <c r="L553" s="52"/>
      <c r="M553" s="52"/>
      <c r="N553" s="52"/>
    </row>
    <row r="554" ht="15.75" customHeight="1">
      <c r="A554" s="49"/>
      <c r="C554" s="84"/>
      <c r="E554" s="49"/>
      <c r="G554" s="50"/>
      <c r="H554" s="51"/>
      <c r="I554" s="85"/>
      <c r="J554" s="85"/>
      <c r="K554" s="85"/>
      <c r="L554" s="52"/>
      <c r="M554" s="52"/>
      <c r="N554" s="52"/>
    </row>
    <row r="555" ht="15.75" customHeight="1">
      <c r="A555" s="49"/>
      <c r="C555" s="84"/>
      <c r="E555" s="49"/>
      <c r="G555" s="50"/>
      <c r="H555" s="51"/>
      <c r="I555" s="85"/>
      <c r="J555" s="85"/>
      <c r="K555" s="85"/>
      <c r="L555" s="52"/>
      <c r="M555" s="52"/>
      <c r="N555" s="52"/>
    </row>
    <row r="556" ht="15.75" customHeight="1">
      <c r="A556" s="49"/>
      <c r="C556" s="84"/>
      <c r="E556" s="49"/>
      <c r="G556" s="50"/>
      <c r="H556" s="51"/>
      <c r="I556" s="85"/>
      <c r="J556" s="85"/>
      <c r="K556" s="85"/>
      <c r="L556" s="52"/>
      <c r="M556" s="52"/>
      <c r="N556" s="52"/>
    </row>
    <row r="557" ht="15.75" customHeight="1">
      <c r="A557" s="49"/>
      <c r="C557" s="84"/>
      <c r="E557" s="49"/>
      <c r="G557" s="50"/>
      <c r="H557" s="51"/>
      <c r="I557" s="85"/>
      <c r="J557" s="85"/>
      <c r="K557" s="85"/>
      <c r="L557" s="52"/>
      <c r="M557" s="52"/>
      <c r="N557" s="52"/>
    </row>
    <row r="558" ht="15.75" customHeight="1">
      <c r="A558" s="49"/>
      <c r="C558" s="84"/>
      <c r="E558" s="49"/>
      <c r="G558" s="50"/>
      <c r="H558" s="51"/>
      <c r="I558" s="85"/>
      <c r="J558" s="85"/>
      <c r="K558" s="85"/>
      <c r="L558" s="52"/>
      <c r="M558" s="52"/>
      <c r="N558" s="52"/>
    </row>
    <row r="559" ht="15.75" customHeight="1">
      <c r="A559" s="49"/>
      <c r="C559" s="84"/>
      <c r="E559" s="49"/>
      <c r="G559" s="50"/>
      <c r="H559" s="51"/>
      <c r="I559" s="85"/>
      <c r="J559" s="85"/>
      <c r="K559" s="85"/>
      <c r="L559" s="52"/>
      <c r="M559" s="52"/>
      <c r="N559" s="52"/>
    </row>
    <row r="560" ht="15.75" customHeight="1">
      <c r="A560" s="49"/>
      <c r="C560" s="84"/>
      <c r="E560" s="49"/>
      <c r="G560" s="50"/>
      <c r="H560" s="51"/>
      <c r="I560" s="85"/>
      <c r="J560" s="85"/>
      <c r="K560" s="85"/>
      <c r="L560" s="52"/>
      <c r="M560" s="52"/>
      <c r="N560" s="52"/>
    </row>
    <row r="561" ht="15.75" customHeight="1">
      <c r="A561" s="49"/>
      <c r="C561" s="84"/>
      <c r="E561" s="49"/>
      <c r="G561" s="50"/>
      <c r="H561" s="51"/>
      <c r="I561" s="85"/>
      <c r="J561" s="85"/>
      <c r="K561" s="85"/>
      <c r="L561" s="52"/>
      <c r="M561" s="52"/>
      <c r="N561" s="52"/>
    </row>
    <row r="562" ht="15.75" customHeight="1">
      <c r="A562" s="49"/>
      <c r="C562" s="84"/>
      <c r="E562" s="49"/>
      <c r="G562" s="50"/>
      <c r="H562" s="51"/>
      <c r="I562" s="85"/>
      <c r="J562" s="85"/>
      <c r="K562" s="85"/>
      <c r="L562" s="52"/>
      <c r="M562" s="52"/>
      <c r="N562" s="52"/>
    </row>
    <row r="563" ht="15.75" customHeight="1">
      <c r="A563" s="49"/>
      <c r="C563" s="84"/>
      <c r="E563" s="49"/>
      <c r="G563" s="50"/>
      <c r="H563" s="51"/>
      <c r="I563" s="85"/>
      <c r="J563" s="85"/>
      <c r="K563" s="85"/>
      <c r="L563" s="52"/>
      <c r="M563" s="52"/>
      <c r="N563" s="52"/>
    </row>
    <row r="564" ht="15.75" customHeight="1">
      <c r="A564" s="49"/>
      <c r="C564" s="84"/>
      <c r="E564" s="49"/>
      <c r="G564" s="50"/>
      <c r="H564" s="51"/>
      <c r="I564" s="85"/>
      <c r="J564" s="85"/>
      <c r="K564" s="85"/>
      <c r="L564" s="52"/>
      <c r="M564" s="52"/>
      <c r="N564" s="52"/>
    </row>
    <row r="565" ht="15.75" customHeight="1">
      <c r="A565" s="49"/>
      <c r="C565" s="84"/>
      <c r="E565" s="49"/>
      <c r="G565" s="50"/>
      <c r="H565" s="51"/>
      <c r="I565" s="85"/>
      <c r="J565" s="85"/>
      <c r="K565" s="85"/>
      <c r="L565" s="52"/>
      <c r="M565" s="52"/>
      <c r="N565" s="52"/>
    </row>
    <row r="566" ht="15.75" customHeight="1">
      <c r="A566" s="49"/>
      <c r="C566" s="84"/>
      <c r="E566" s="49"/>
      <c r="G566" s="50"/>
      <c r="H566" s="51"/>
      <c r="I566" s="85"/>
      <c r="J566" s="85"/>
      <c r="K566" s="85"/>
      <c r="L566" s="52"/>
      <c r="M566" s="52"/>
      <c r="N566" s="52"/>
    </row>
    <row r="567" ht="15.75" customHeight="1">
      <c r="A567" s="49"/>
      <c r="C567" s="84"/>
      <c r="E567" s="49"/>
      <c r="G567" s="50"/>
      <c r="H567" s="51"/>
      <c r="I567" s="85"/>
      <c r="J567" s="85"/>
      <c r="K567" s="85"/>
      <c r="L567" s="52"/>
      <c r="M567" s="52"/>
      <c r="N567" s="52"/>
    </row>
    <row r="568" ht="15.75" customHeight="1">
      <c r="A568" s="49"/>
      <c r="C568" s="84"/>
      <c r="E568" s="49"/>
      <c r="G568" s="50"/>
      <c r="H568" s="51"/>
      <c r="I568" s="85"/>
      <c r="J568" s="85"/>
      <c r="K568" s="85"/>
      <c r="L568" s="52"/>
      <c r="M568" s="52"/>
      <c r="N568" s="52"/>
    </row>
    <row r="569" ht="15.75" customHeight="1">
      <c r="A569" s="49"/>
      <c r="C569" s="84"/>
      <c r="E569" s="49"/>
      <c r="G569" s="50"/>
      <c r="H569" s="51"/>
      <c r="I569" s="85"/>
      <c r="J569" s="85"/>
      <c r="K569" s="85"/>
      <c r="L569" s="52"/>
      <c r="M569" s="52"/>
      <c r="N569" s="52"/>
    </row>
    <row r="570" ht="15.75" customHeight="1">
      <c r="A570" s="49"/>
      <c r="C570" s="84"/>
      <c r="E570" s="49"/>
      <c r="G570" s="50"/>
      <c r="H570" s="51"/>
      <c r="I570" s="85"/>
      <c r="J570" s="85"/>
      <c r="K570" s="85"/>
      <c r="L570" s="52"/>
      <c r="M570" s="52"/>
      <c r="N570" s="52"/>
    </row>
    <row r="571" ht="15.75" customHeight="1">
      <c r="A571" s="49"/>
      <c r="C571" s="84"/>
      <c r="E571" s="49"/>
      <c r="G571" s="50"/>
      <c r="H571" s="51"/>
      <c r="I571" s="85"/>
      <c r="J571" s="85"/>
      <c r="K571" s="85"/>
      <c r="L571" s="52"/>
      <c r="M571" s="52"/>
      <c r="N571" s="52"/>
    </row>
    <row r="572" ht="15.75" customHeight="1">
      <c r="A572" s="49"/>
      <c r="C572" s="84"/>
      <c r="E572" s="49"/>
      <c r="G572" s="50"/>
      <c r="H572" s="51"/>
      <c r="I572" s="85"/>
      <c r="J572" s="85"/>
      <c r="K572" s="85"/>
      <c r="L572" s="52"/>
      <c r="M572" s="52"/>
      <c r="N572" s="52"/>
    </row>
    <row r="573" ht="15.75" customHeight="1">
      <c r="A573" s="49"/>
      <c r="C573" s="84"/>
      <c r="E573" s="49"/>
      <c r="G573" s="50"/>
      <c r="H573" s="51"/>
      <c r="I573" s="85"/>
      <c r="J573" s="85"/>
      <c r="K573" s="85"/>
      <c r="L573" s="52"/>
      <c r="M573" s="52"/>
      <c r="N573" s="52"/>
    </row>
    <row r="574" ht="15.75" customHeight="1">
      <c r="A574" s="49"/>
      <c r="C574" s="84"/>
      <c r="E574" s="49"/>
      <c r="G574" s="50"/>
      <c r="H574" s="51"/>
      <c r="I574" s="85"/>
      <c r="J574" s="85"/>
      <c r="K574" s="85"/>
      <c r="L574" s="52"/>
      <c r="M574" s="52"/>
      <c r="N574" s="52"/>
    </row>
    <row r="575" ht="15.75" customHeight="1">
      <c r="A575" s="49"/>
      <c r="C575" s="84"/>
      <c r="E575" s="49"/>
      <c r="G575" s="50"/>
      <c r="H575" s="51"/>
      <c r="I575" s="85"/>
      <c r="J575" s="85"/>
      <c r="K575" s="85"/>
      <c r="L575" s="52"/>
      <c r="M575" s="52"/>
      <c r="N575" s="52"/>
    </row>
    <row r="576" ht="15.75" customHeight="1">
      <c r="A576" s="49"/>
      <c r="C576" s="84"/>
      <c r="E576" s="49"/>
      <c r="G576" s="50"/>
      <c r="H576" s="51"/>
      <c r="I576" s="85"/>
      <c r="J576" s="85"/>
      <c r="K576" s="85"/>
      <c r="L576" s="52"/>
      <c r="M576" s="52"/>
      <c r="N576" s="52"/>
    </row>
    <row r="577" ht="15.75" customHeight="1">
      <c r="A577" s="49"/>
      <c r="C577" s="84"/>
      <c r="E577" s="49"/>
      <c r="G577" s="50"/>
      <c r="H577" s="51"/>
      <c r="I577" s="85"/>
      <c r="J577" s="85"/>
      <c r="K577" s="85"/>
      <c r="L577" s="52"/>
      <c r="M577" s="52"/>
      <c r="N577" s="52"/>
    </row>
    <row r="578" ht="15.75" customHeight="1">
      <c r="A578" s="49"/>
      <c r="C578" s="84"/>
      <c r="E578" s="49"/>
      <c r="G578" s="50"/>
      <c r="H578" s="51"/>
      <c r="I578" s="85"/>
      <c r="J578" s="85"/>
      <c r="K578" s="85"/>
      <c r="L578" s="52"/>
      <c r="M578" s="52"/>
      <c r="N578" s="52"/>
    </row>
    <row r="579" ht="15.75" customHeight="1">
      <c r="A579" s="49"/>
      <c r="C579" s="84"/>
      <c r="E579" s="49"/>
      <c r="G579" s="50"/>
      <c r="H579" s="51"/>
      <c r="I579" s="85"/>
      <c r="J579" s="85"/>
      <c r="K579" s="85"/>
      <c r="L579" s="52"/>
      <c r="M579" s="52"/>
      <c r="N579" s="52"/>
    </row>
    <row r="580" ht="15.75" customHeight="1">
      <c r="A580" s="49"/>
      <c r="C580" s="84"/>
      <c r="E580" s="49"/>
      <c r="G580" s="50"/>
      <c r="H580" s="51"/>
      <c r="I580" s="85"/>
      <c r="J580" s="85"/>
      <c r="K580" s="85"/>
      <c r="L580" s="52"/>
      <c r="M580" s="52"/>
      <c r="N580" s="52"/>
    </row>
    <row r="581" ht="15.75" customHeight="1">
      <c r="A581" s="49"/>
      <c r="C581" s="84"/>
      <c r="E581" s="49"/>
      <c r="G581" s="50"/>
      <c r="H581" s="51"/>
      <c r="I581" s="85"/>
      <c r="J581" s="85"/>
      <c r="K581" s="85"/>
      <c r="L581" s="52"/>
      <c r="M581" s="52"/>
      <c r="N581" s="52"/>
    </row>
    <row r="582" ht="15.75" customHeight="1">
      <c r="A582" s="49"/>
      <c r="C582" s="84"/>
      <c r="E582" s="49"/>
      <c r="G582" s="50"/>
      <c r="H582" s="51"/>
      <c r="I582" s="85"/>
      <c r="J582" s="85"/>
      <c r="K582" s="85"/>
      <c r="L582" s="52"/>
      <c r="M582" s="52"/>
      <c r="N582" s="52"/>
    </row>
    <row r="583" ht="15.75" customHeight="1">
      <c r="A583" s="49"/>
      <c r="C583" s="84"/>
      <c r="E583" s="49"/>
      <c r="G583" s="50"/>
      <c r="H583" s="51"/>
      <c r="I583" s="85"/>
      <c r="J583" s="85"/>
      <c r="K583" s="85"/>
      <c r="L583" s="52"/>
      <c r="M583" s="52"/>
      <c r="N583" s="52"/>
    </row>
    <row r="584" ht="15.75" customHeight="1">
      <c r="A584" s="49"/>
      <c r="C584" s="84"/>
      <c r="E584" s="49"/>
      <c r="G584" s="50"/>
      <c r="H584" s="51"/>
      <c r="I584" s="85"/>
      <c r="J584" s="85"/>
      <c r="K584" s="85"/>
      <c r="L584" s="52"/>
      <c r="M584" s="52"/>
      <c r="N584" s="52"/>
    </row>
    <row r="585" ht="15.75" customHeight="1">
      <c r="A585" s="49"/>
      <c r="C585" s="84"/>
      <c r="E585" s="49"/>
      <c r="G585" s="50"/>
      <c r="H585" s="51"/>
      <c r="I585" s="85"/>
      <c r="J585" s="85"/>
      <c r="K585" s="85"/>
      <c r="L585" s="52"/>
      <c r="M585" s="52"/>
      <c r="N585" s="52"/>
    </row>
    <row r="586" ht="15.75" customHeight="1">
      <c r="A586" s="49"/>
      <c r="C586" s="84"/>
      <c r="E586" s="49"/>
      <c r="G586" s="50"/>
      <c r="H586" s="51"/>
      <c r="I586" s="85"/>
      <c r="J586" s="85"/>
      <c r="K586" s="85"/>
      <c r="L586" s="52"/>
      <c r="M586" s="52"/>
      <c r="N586" s="52"/>
    </row>
    <row r="587" ht="15.75" customHeight="1">
      <c r="A587" s="49"/>
      <c r="C587" s="84"/>
      <c r="E587" s="49"/>
      <c r="G587" s="50"/>
      <c r="H587" s="51"/>
      <c r="I587" s="85"/>
      <c r="J587" s="85"/>
      <c r="K587" s="85"/>
      <c r="L587" s="52"/>
      <c r="M587" s="52"/>
      <c r="N587" s="52"/>
    </row>
    <row r="588" ht="15.75" customHeight="1">
      <c r="A588" s="49"/>
      <c r="C588" s="84"/>
      <c r="E588" s="49"/>
      <c r="G588" s="50"/>
      <c r="H588" s="51"/>
      <c r="I588" s="85"/>
      <c r="J588" s="85"/>
      <c r="K588" s="85"/>
      <c r="L588" s="52"/>
      <c r="M588" s="52"/>
      <c r="N588" s="52"/>
    </row>
    <row r="589" ht="15.75" customHeight="1">
      <c r="A589" s="49"/>
      <c r="C589" s="84"/>
      <c r="E589" s="49"/>
      <c r="G589" s="50"/>
      <c r="H589" s="51"/>
      <c r="I589" s="85"/>
      <c r="J589" s="85"/>
      <c r="K589" s="85"/>
      <c r="L589" s="52"/>
      <c r="M589" s="52"/>
      <c r="N589" s="52"/>
    </row>
    <row r="590" ht="15.75" customHeight="1">
      <c r="A590" s="49"/>
      <c r="C590" s="84"/>
      <c r="E590" s="49"/>
      <c r="G590" s="50"/>
      <c r="H590" s="51"/>
      <c r="I590" s="85"/>
      <c r="J590" s="85"/>
      <c r="K590" s="85"/>
      <c r="L590" s="52"/>
      <c r="M590" s="52"/>
      <c r="N590" s="52"/>
    </row>
    <row r="591" ht="15.75" customHeight="1">
      <c r="A591" s="49"/>
      <c r="C591" s="84"/>
      <c r="E591" s="49"/>
      <c r="G591" s="50"/>
      <c r="H591" s="51"/>
      <c r="I591" s="85"/>
      <c r="J591" s="85"/>
      <c r="K591" s="85"/>
      <c r="L591" s="52"/>
      <c r="M591" s="52"/>
      <c r="N591" s="52"/>
    </row>
    <row r="592" ht="15.75" customHeight="1">
      <c r="A592" s="49"/>
      <c r="C592" s="84"/>
      <c r="E592" s="49"/>
      <c r="G592" s="50"/>
      <c r="H592" s="51"/>
      <c r="I592" s="85"/>
      <c r="J592" s="85"/>
      <c r="K592" s="85"/>
      <c r="L592" s="52"/>
      <c r="M592" s="52"/>
      <c r="N592" s="52"/>
    </row>
    <row r="593" ht="15.75" customHeight="1">
      <c r="A593" s="49"/>
      <c r="C593" s="84"/>
      <c r="E593" s="49"/>
      <c r="G593" s="50"/>
      <c r="H593" s="51"/>
      <c r="I593" s="85"/>
      <c r="J593" s="85"/>
      <c r="K593" s="85"/>
      <c r="L593" s="52"/>
      <c r="M593" s="52"/>
      <c r="N593" s="52"/>
    </row>
    <row r="594" ht="15.75" customHeight="1">
      <c r="A594" s="49"/>
      <c r="C594" s="84"/>
      <c r="E594" s="49"/>
      <c r="G594" s="50"/>
      <c r="H594" s="51"/>
      <c r="I594" s="85"/>
      <c r="J594" s="85"/>
      <c r="K594" s="85"/>
      <c r="L594" s="52"/>
      <c r="M594" s="52"/>
      <c r="N594" s="52"/>
    </row>
    <row r="595" ht="15.75" customHeight="1">
      <c r="A595" s="49"/>
      <c r="C595" s="84"/>
      <c r="E595" s="49"/>
      <c r="G595" s="50"/>
      <c r="H595" s="51"/>
      <c r="I595" s="85"/>
      <c r="J595" s="85"/>
      <c r="K595" s="85"/>
      <c r="L595" s="52"/>
      <c r="M595" s="52"/>
      <c r="N595" s="52"/>
    </row>
    <row r="596" ht="15.75" customHeight="1">
      <c r="A596" s="49"/>
      <c r="C596" s="84"/>
      <c r="E596" s="49"/>
      <c r="G596" s="50"/>
      <c r="H596" s="51"/>
      <c r="I596" s="85"/>
      <c r="J596" s="85"/>
      <c r="K596" s="85"/>
      <c r="L596" s="52"/>
      <c r="M596" s="52"/>
      <c r="N596" s="52"/>
    </row>
    <row r="597" ht="15.75" customHeight="1">
      <c r="A597" s="49"/>
      <c r="C597" s="84"/>
      <c r="E597" s="49"/>
      <c r="G597" s="50"/>
      <c r="H597" s="51"/>
      <c r="I597" s="85"/>
      <c r="J597" s="85"/>
      <c r="K597" s="85"/>
      <c r="L597" s="52"/>
      <c r="M597" s="52"/>
      <c r="N597" s="52"/>
    </row>
    <row r="598" ht="15.75" customHeight="1">
      <c r="A598" s="49"/>
      <c r="C598" s="84"/>
      <c r="E598" s="49"/>
      <c r="G598" s="50"/>
      <c r="H598" s="51"/>
      <c r="I598" s="85"/>
      <c r="J598" s="85"/>
      <c r="K598" s="85"/>
      <c r="L598" s="52"/>
      <c r="M598" s="52"/>
      <c r="N598" s="52"/>
    </row>
    <row r="599" ht="15.75" customHeight="1">
      <c r="A599" s="49"/>
      <c r="C599" s="84"/>
      <c r="E599" s="49"/>
      <c r="G599" s="50"/>
      <c r="H599" s="51"/>
      <c r="I599" s="85"/>
      <c r="J599" s="85"/>
      <c r="K599" s="85"/>
      <c r="L599" s="52"/>
      <c r="M599" s="52"/>
      <c r="N599" s="52"/>
    </row>
    <row r="600" ht="15.75" customHeight="1">
      <c r="A600" s="49"/>
      <c r="C600" s="84"/>
      <c r="E600" s="49"/>
      <c r="G600" s="50"/>
      <c r="H600" s="51"/>
      <c r="I600" s="85"/>
      <c r="J600" s="85"/>
      <c r="K600" s="85"/>
      <c r="L600" s="52"/>
      <c r="M600" s="52"/>
      <c r="N600" s="52"/>
    </row>
    <row r="601" ht="15.75" customHeight="1">
      <c r="A601" s="49"/>
      <c r="C601" s="84"/>
      <c r="E601" s="49"/>
      <c r="G601" s="50"/>
      <c r="H601" s="51"/>
      <c r="I601" s="85"/>
      <c r="J601" s="85"/>
      <c r="K601" s="85"/>
      <c r="L601" s="52"/>
      <c r="M601" s="52"/>
      <c r="N601" s="52"/>
    </row>
    <row r="602" ht="15.75" customHeight="1">
      <c r="A602" s="49"/>
      <c r="C602" s="84"/>
      <c r="E602" s="49"/>
      <c r="G602" s="50"/>
      <c r="H602" s="51"/>
      <c r="I602" s="85"/>
      <c r="J602" s="85"/>
      <c r="K602" s="85"/>
      <c r="L602" s="52"/>
      <c r="M602" s="52"/>
      <c r="N602" s="52"/>
    </row>
    <row r="603" ht="15.75" customHeight="1">
      <c r="A603" s="49"/>
      <c r="C603" s="84"/>
      <c r="E603" s="49"/>
      <c r="G603" s="50"/>
      <c r="H603" s="51"/>
      <c r="I603" s="85"/>
      <c r="J603" s="85"/>
      <c r="K603" s="85"/>
      <c r="L603" s="52"/>
      <c r="M603" s="52"/>
      <c r="N603" s="52"/>
    </row>
    <row r="604" ht="15.75" customHeight="1">
      <c r="A604" s="49"/>
      <c r="C604" s="84"/>
      <c r="E604" s="49"/>
      <c r="G604" s="50"/>
      <c r="H604" s="51"/>
      <c r="I604" s="85"/>
      <c r="J604" s="85"/>
      <c r="K604" s="85"/>
      <c r="L604" s="52"/>
      <c r="M604" s="52"/>
      <c r="N604" s="52"/>
    </row>
    <row r="605" ht="15.75" customHeight="1">
      <c r="A605" s="49"/>
      <c r="C605" s="84"/>
      <c r="E605" s="49"/>
      <c r="G605" s="50"/>
      <c r="H605" s="51"/>
      <c r="I605" s="85"/>
      <c r="J605" s="85"/>
      <c r="K605" s="85"/>
      <c r="L605" s="52"/>
      <c r="M605" s="52"/>
      <c r="N605" s="52"/>
    </row>
    <row r="606" ht="15.75" customHeight="1">
      <c r="A606" s="49"/>
      <c r="C606" s="84"/>
      <c r="E606" s="49"/>
      <c r="G606" s="50"/>
      <c r="H606" s="51"/>
      <c r="I606" s="85"/>
      <c r="J606" s="85"/>
      <c r="K606" s="85"/>
      <c r="L606" s="52"/>
      <c r="M606" s="52"/>
      <c r="N606" s="52"/>
    </row>
    <row r="607" ht="15.75" customHeight="1">
      <c r="A607" s="49"/>
      <c r="C607" s="84"/>
      <c r="E607" s="49"/>
      <c r="G607" s="50"/>
      <c r="H607" s="51"/>
      <c r="I607" s="85"/>
      <c r="J607" s="85"/>
      <c r="K607" s="85"/>
      <c r="L607" s="52"/>
      <c r="M607" s="52"/>
      <c r="N607" s="52"/>
    </row>
    <row r="608" ht="15.75" customHeight="1">
      <c r="A608" s="49"/>
      <c r="C608" s="84"/>
      <c r="E608" s="49"/>
      <c r="G608" s="50"/>
      <c r="H608" s="51"/>
      <c r="I608" s="85"/>
      <c r="J608" s="85"/>
      <c r="K608" s="85"/>
      <c r="L608" s="52"/>
      <c r="M608" s="52"/>
      <c r="N608" s="52"/>
    </row>
    <row r="609" ht="15.75" customHeight="1">
      <c r="A609" s="49"/>
      <c r="C609" s="84"/>
      <c r="E609" s="49"/>
      <c r="G609" s="50"/>
      <c r="H609" s="51"/>
      <c r="I609" s="85"/>
      <c r="J609" s="85"/>
      <c r="K609" s="85"/>
      <c r="L609" s="52"/>
      <c r="M609" s="52"/>
      <c r="N609" s="52"/>
    </row>
    <row r="610" ht="15.75" customHeight="1">
      <c r="A610" s="49"/>
      <c r="C610" s="84"/>
      <c r="E610" s="49"/>
      <c r="G610" s="50"/>
      <c r="H610" s="51"/>
      <c r="I610" s="85"/>
      <c r="J610" s="85"/>
      <c r="K610" s="85"/>
      <c r="L610" s="52"/>
      <c r="M610" s="52"/>
      <c r="N610" s="52"/>
    </row>
    <row r="611" ht="15.75" customHeight="1">
      <c r="A611" s="49"/>
      <c r="C611" s="84"/>
      <c r="E611" s="49"/>
      <c r="G611" s="50"/>
      <c r="H611" s="51"/>
      <c r="I611" s="85"/>
      <c r="J611" s="85"/>
      <c r="K611" s="85"/>
      <c r="L611" s="52"/>
      <c r="M611" s="52"/>
      <c r="N611" s="52"/>
    </row>
    <row r="612" ht="15.75" customHeight="1">
      <c r="A612" s="49"/>
      <c r="C612" s="84"/>
      <c r="E612" s="49"/>
      <c r="G612" s="50"/>
      <c r="H612" s="51"/>
      <c r="I612" s="85"/>
      <c r="J612" s="85"/>
      <c r="K612" s="85"/>
      <c r="L612" s="52"/>
      <c r="M612" s="52"/>
      <c r="N612" s="52"/>
    </row>
    <row r="613" ht="15.75" customHeight="1">
      <c r="A613" s="49"/>
      <c r="C613" s="84"/>
      <c r="E613" s="49"/>
      <c r="G613" s="50"/>
      <c r="H613" s="51"/>
      <c r="I613" s="85"/>
      <c r="J613" s="85"/>
      <c r="K613" s="85"/>
      <c r="L613" s="52"/>
      <c r="M613" s="52"/>
      <c r="N613" s="52"/>
    </row>
    <row r="614" ht="15.75" customHeight="1">
      <c r="A614" s="49"/>
      <c r="C614" s="84"/>
      <c r="E614" s="49"/>
      <c r="G614" s="50"/>
      <c r="H614" s="51"/>
      <c r="I614" s="85"/>
      <c r="J614" s="85"/>
      <c r="K614" s="85"/>
      <c r="L614" s="52"/>
      <c r="M614" s="52"/>
      <c r="N614" s="52"/>
    </row>
    <row r="615" ht="15.75" customHeight="1">
      <c r="A615" s="49"/>
      <c r="C615" s="84"/>
      <c r="E615" s="49"/>
      <c r="G615" s="50"/>
      <c r="H615" s="51"/>
      <c r="I615" s="85"/>
      <c r="J615" s="85"/>
      <c r="K615" s="85"/>
      <c r="L615" s="52"/>
      <c r="M615" s="52"/>
      <c r="N615" s="52"/>
    </row>
    <row r="616" ht="15.75" customHeight="1">
      <c r="A616" s="49"/>
      <c r="C616" s="84"/>
      <c r="E616" s="49"/>
      <c r="G616" s="50"/>
      <c r="H616" s="51"/>
      <c r="I616" s="85"/>
      <c r="J616" s="85"/>
      <c r="K616" s="85"/>
      <c r="L616" s="52"/>
      <c r="M616" s="52"/>
      <c r="N616" s="52"/>
    </row>
    <row r="617" ht="15.75" customHeight="1">
      <c r="A617" s="49"/>
      <c r="C617" s="84"/>
      <c r="E617" s="49"/>
      <c r="G617" s="50"/>
      <c r="H617" s="51"/>
      <c r="I617" s="85"/>
      <c r="J617" s="85"/>
      <c r="K617" s="85"/>
      <c r="L617" s="52"/>
      <c r="M617" s="52"/>
      <c r="N617" s="52"/>
    </row>
    <row r="618" ht="15.75" customHeight="1">
      <c r="A618" s="49"/>
      <c r="C618" s="84"/>
      <c r="E618" s="49"/>
      <c r="G618" s="50"/>
      <c r="H618" s="51"/>
      <c r="I618" s="85"/>
      <c r="J618" s="85"/>
      <c r="K618" s="85"/>
      <c r="L618" s="52"/>
      <c r="M618" s="52"/>
      <c r="N618" s="52"/>
    </row>
    <row r="619" ht="15.75" customHeight="1">
      <c r="A619" s="49"/>
      <c r="C619" s="84"/>
      <c r="E619" s="49"/>
      <c r="G619" s="50"/>
      <c r="H619" s="51"/>
      <c r="I619" s="85"/>
      <c r="J619" s="85"/>
      <c r="K619" s="85"/>
      <c r="L619" s="52"/>
      <c r="M619" s="52"/>
      <c r="N619" s="52"/>
    </row>
    <row r="620" ht="15.75" customHeight="1">
      <c r="A620" s="49"/>
      <c r="C620" s="84"/>
      <c r="E620" s="49"/>
      <c r="G620" s="50"/>
      <c r="H620" s="51"/>
      <c r="I620" s="85"/>
      <c r="J620" s="85"/>
      <c r="K620" s="85"/>
      <c r="L620" s="52"/>
      <c r="M620" s="52"/>
      <c r="N620" s="52"/>
    </row>
    <row r="621" ht="15.75" customHeight="1">
      <c r="A621" s="49"/>
      <c r="C621" s="84"/>
      <c r="E621" s="49"/>
      <c r="G621" s="50"/>
      <c r="H621" s="51"/>
      <c r="I621" s="85"/>
      <c r="J621" s="85"/>
      <c r="K621" s="85"/>
      <c r="L621" s="52"/>
      <c r="M621" s="52"/>
      <c r="N621" s="52"/>
    </row>
    <row r="622" ht="15.75" customHeight="1">
      <c r="A622" s="49"/>
      <c r="C622" s="84"/>
      <c r="E622" s="49"/>
      <c r="G622" s="50"/>
      <c r="H622" s="51"/>
      <c r="I622" s="85"/>
      <c r="J622" s="85"/>
      <c r="K622" s="85"/>
      <c r="L622" s="52"/>
      <c r="M622" s="52"/>
      <c r="N622" s="52"/>
    </row>
    <row r="623" ht="15.75" customHeight="1">
      <c r="A623" s="49"/>
      <c r="C623" s="84"/>
      <c r="E623" s="49"/>
      <c r="G623" s="50"/>
      <c r="H623" s="51"/>
      <c r="I623" s="85"/>
      <c r="J623" s="85"/>
      <c r="K623" s="85"/>
      <c r="L623" s="52"/>
      <c r="M623" s="52"/>
      <c r="N623" s="52"/>
    </row>
    <row r="624" ht="15.75" customHeight="1">
      <c r="A624" s="49"/>
      <c r="C624" s="84"/>
      <c r="E624" s="49"/>
      <c r="G624" s="50"/>
      <c r="H624" s="51"/>
      <c r="I624" s="85"/>
      <c r="J624" s="85"/>
      <c r="K624" s="85"/>
      <c r="L624" s="52"/>
      <c r="M624" s="52"/>
      <c r="N624" s="52"/>
    </row>
    <row r="625" ht="15.75" customHeight="1">
      <c r="A625" s="49"/>
      <c r="C625" s="84"/>
      <c r="E625" s="49"/>
      <c r="G625" s="50"/>
      <c r="H625" s="51"/>
      <c r="I625" s="85"/>
      <c r="J625" s="85"/>
      <c r="K625" s="85"/>
      <c r="L625" s="52"/>
      <c r="M625" s="52"/>
      <c r="N625" s="52"/>
    </row>
    <row r="626" ht="15.75" customHeight="1">
      <c r="A626" s="49"/>
      <c r="C626" s="84"/>
      <c r="E626" s="49"/>
      <c r="G626" s="50"/>
      <c r="H626" s="51"/>
      <c r="I626" s="85"/>
      <c r="J626" s="85"/>
      <c r="K626" s="85"/>
      <c r="L626" s="52"/>
      <c r="M626" s="52"/>
      <c r="N626" s="52"/>
    </row>
    <row r="627" ht="15.75" customHeight="1">
      <c r="A627" s="49"/>
      <c r="C627" s="84"/>
      <c r="E627" s="49"/>
      <c r="G627" s="50"/>
      <c r="H627" s="51"/>
      <c r="I627" s="85"/>
      <c r="J627" s="85"/>
      <c r="K627" s="85"/>
      <c r="L627" s="52"/>
      <c r="M627" s="52"/>
      <c r="N627" s="52"/>
    </row>
    <row r="628" ht="15.75" customHeight="1">
      <c r="A628" s="49"/>
      <c r="C628" s="84"/>
      <c r="E628" s="49"/>
      <c r="G628" s="50"/>
      <c r="H628" s="51"/>
      <c r="I628" s="85"/>
      <c r="J628" s="85"/>
      <c r="K628" s="85"/>
      <c r="L628" s="52"/>
      <c r="M628" s="52"/>
      <c r="N628" s="52"/>
    </row>
    <row r="629" ht="15.75" customHeight="1">
      <c r="A629" s="49"/>
      <c r="C629" s="84"/>
      <c r="E629" s="49"/>
      <c r="G629" s="50"/>
      <c r="H629" s="51"/>
      <c r="I629" s="85"/>
      <c r="J629" s="85"/>
      <c r="K629" s="85"/>
      <c r="L629" s="52"/>
      <c r="M629" s="52"/>
      <c r="N629" s="52"/>
    </row>
    <row r="630" ht="15.75" customHeight="1">
      <c r="A630" s="49"/>
      <c r="C630" s="84"/>
      <c r="E630" s="49"/>
      <c r="G630" s="50"/>
      <c r="H630" s="51"/>
      <c r="I630" s="85"/>
      <c r="J630" s="85"/>
      <c r="K630" s="85"/>
      <c r="L630" s="52"/>
      <c r="M630" s="52"/>
      <c r="N630" s="52"/>
    </row>
    <row r="631" ht="15.75" customHeight="1">
      <c r="A631" s="49"/>
      <c r="C631" s="84"/>
      <c r="E631" s="49"/>
      <c r="G631" s="50"/>
      <c r="H631" s="51"/>
      <c r="I631" s="85"/>
      <c r="J631" s="85"/>
      <c r="K631" s="85"/>
      <c r="L631" s="52"/>
      <c r="M631" s="52"/>
      <c r="N631" s="52"/>
    </row>
    <row r="632" ht="15.75" customHeight="1">
      <c r="A632" s="49"/>
      <c r="C632" s="84"/>
      <c r="E632" s="49"/>
      <c r="G632" s="50"/>
      <c r="H632" s="51"/>
      <c r="I632" s="85"/>
      <c r="J632" s="85"/>
      <c r="K632" s="85"/>
      <c r="L632" s="52"/>
      <c r="M632" s="52"/>
      <c r="N632" s="52"/>
    </row>
    <row r="633" ht="15.75" customHeight="1">
      <c r="A633" s="49"/>
      <c r="C633" s="84"/>
      <c r="E633" s="49"/>
      <c r="G633" s="50"/>
      <c r="H633" s="51"/>
      <c r="I633" s="85"/>
      <c r="J633" s="85"/>
      <c r="K633" s="85"/>
      <c r="L633" s="52"/>
      <c r="M633" s="52"/>
      <c r="N633" s="52"/>
    </row>
    <row r="634" ht="15.75" customHeight="1">
      <c r="A634" s="49"/>
      <c r="C634" s="84"/>
      <c r="E634" s="49"/>
      <c r="G634" s="50"/>
      <c r="H634" s="51"/>
      <c r="I634" s="85"/>
      <c r="J634" s="85"/>
      <c r="K634" s="85"/>
      <c r="L634" s="52"/>
      <c r="M634" s="52"/>
      <c r="N634" s="52"/>
    </row>
    <row r="635" ht="15.75" customHeight="1">
      <c r="A635" s="49"/>
      <c r="C635" s="84"/>
      <c r="E635" s="49"/>
      <c r="G635" s="50"/>
      <c r="H635" s="51"/>
      <c r="I635" s="85"/>
      <c r="J635" s="85"/>
      <c r="K635" s="85"/>
      <c r="L635" s="52"/>
      <c r="M635" s="52"/>
      <c r="N635" s="52"/>
    </row>
    <row r="636" ht="15.75" customHeight="1">
      <c r="A636" s="49"/>
      <c r="C636" s="84"/>
      <c r="E636" s="49"/>
      <c r="G636" s="50"/>
      <c r="H636" s="51"/>
      <c r="I636" s="85"/>
      <c r="J636" s="85"/>
      <c r="K636" s="85"/>
      <c r="L636" s="52"/>
      <c r="M636" s="52"/>
      <c r="N636" s="52"/>
    </row>
    <row r="637" ht="15.75" customHeight="1">
      <c r="A637" s="49"/>
      <c r="C637" s="84"/>
      <c r="E637" s="49"/>
      <c r="G637" s="50"/>
      <c r="H637" s="51"/>
      <c r="I637" s="85"/>
      <c r="J637" s="85"/>
      <c r="K637" s="85"/>
      <c r="L637" s="52"/>
      <c r="M637" s="52"/>
      <c r="N637" s="52"/>
    </row>
    <row r="638" ht="15.75" customHeight="1">
      <c r="A638" s="49"/>
      <c r="C638" s="84"/>
      <c r="E638" s="49"/>
      <c r="G638" s="50"/>
      <c r="H638" s="51"/>
      <c r="I638" s="85"/>
      <c r="J638" s="85"/>
      <c r="K638" s="85"/>
      <c r="L638" s="52"/>
      <c r="M638" s="52"/>
      <c r="N638" s="52"/>
    </row>
    <row r="639" ht="15.75" customHeight="1">
      <c r="A639" s="49"/>
      <c r="C639" s="84"/>
      <c r="E639" s="49"/>
      <c r="G639" s="50"/>
      <c r="H639" s="51"/>
      <c r="I639" s="85"/>
      <c r="J639" s="85"/>
      <c r="K639" s="85"/>
      <c r="L639" s="52"/>
      <c r="M639" s="52"/>
      <c r="N639" s="52"/>
    </row>
    <row r="640" ht="15.75" customHeight="1">
      <c r="A640" s="49"/>
      <c r="C640" s="84"/>
      <c r="E640" s="49"/>
      <c r="G640" s="50"/>
      <c r="H640" s="51"/>
      <c r="I640" s="85"/>
      <c r="J640" s="85"/>
      <c r="K640" s="85"/>
      <c r="L640" s="52"/>
      <c r="M640" s="52"/>
      <c r="N640" s="52"/>
    </row>
    <row r="641" ht="15.75" customHeight="1">
      <c r="A641" s="49"/>
      <c r="C641" s="84"/>
      <c r="E641" s="49"/>
      <c r="G641" s="50"/>
      <c r="H641" s="51"/>
      <c r="I641" s="85"/>
      <c r="J641" s="85"/>
      <c r="K641" s="85"/>
      <c r="L641" s="52"/>
      <c r="M641" s="52"/>
      <c r="N641" s="52"/>
    </row>
    <row r="642" ht="15.75" customHeight="1">
      <c r="A642" s="49"/>
      <c r="C642" s="84"/>
      <c r="E642" s="49"/>
      <c r="G642" s="50"/>
      <c r="H642" s="51"/>
      <c r="I642" s="85"/>
      <c r="J642" s="85"/>
      <c r="K642" s="85"/>
      <c r="L642" s="52"/>
      <c r="M642" s="52"/>
      <c r="N642" s="52"/>
    </row>
    <row r="643" ht="15.75" customHeight="1">
      <c r="A643" s="49"/>
      <c r="C643" s="84"/>
      <c r="E643" s="49"/>
      <c r="G643" s="50"/>
      <c r="H643" s="51"/>
      <c r="I643" s="85"/>
      <c r="J643" s="85"/>
      <c r="K643" s="85"/>
      <c r="L643" s="52"/>
      <c r="M643" s="52"/>
      <c r="N643" s="52"/>
    </row>
    <row r="644" ht="15.75" customHeight="1">
      <c r="A644" s="49"/>
      <c r="C644" s="84"/>
      <c r="E644" s="49"/>
      <c r="G644" s="50"/>
      <c r="H644" s="51"/>
      <c r="I644" s="85"/>
      <c r="J644" s="85"/>
      <c r="K644" s="85"/>
      <c r="L644" s="52"/>
      <c r="M644" s="52"/>
      <c r="N644" s="52"/>
    </row>
    <row r="645" ht="15.75" customHeight="1">
      <c r="A645" s="49"/>
      <c r="C645" s="84"/>
      <c r="E645" s="49"/>
      <c r="G645" s="50"/>
      <c r="H645" s="51"/>
      <c r="I645" s="85"/>
      <c r="J645" s="85"/>
      <c r="K645" s="85"/>
      <c r="L645" s="52"/>
      <c r="M645" s="52"/>
      <c r="N645" s="52"/>
    </row>
    <row r="646" ht="15.75" customHeight="1">
      <c r="A646" s="49"/>
      <c r="C646" s="84"/>
      <c r="E646" s="49"/>
      <c r="G646" s="50"/>
      <c r="H646" s="51"/>
      <c r="I646" s="85"/>
      <c r="J646" s="85"/>
      <c r="K646" s="85"/>
      <c r="L646" s="52"/>
      <c r="M646" s="52"/>
      <c r="N646" s="52"/>
    </row>
    <row r="647" ht="15.75" customHeight="1">
      <c r="A647" s="49"/>
      <c r="C647" s="84"/>
      <c r="E647" s="49"/>
      <c r="G647" s="50"/>
      <c r="H647" s="51"/>
      <c r="I647" s="85"/>
      <c r="J647" s="85"/>
      <c r="K647" s="85"/>
      <c r="L647" s="52"/>
      <c r="M647" s="52"/>
      <c r="N647" s="52"/>
    </row>
    <row r="648" ht="15.75" customHeight="1">
      <c r="A648" s="49"/>
      <c r="C648" s="84"/>
      <c r="E648" s="49"/>
      <c r="G648" s="50"/>
      <c r="H648" s="51"/>
      <c r="I648" s="85"/>
      <c r="J648" s="85"/>
      <c r="K648" s="85"/>
      <c r="L648" s="52"/>
      <c r="M648" s="52"/>
      <c r="N648" s="52"/>
    </row>
    <row r="649" ht="15.75" customHeight="1">
      <c r="A649" s="49"/>
      <c r="C649" s="84"/>
      <c r="E649" s="49"/>
      <c r="G649" s="50"/>
      <c r="H649" s="51"/>
      <c r="I649" s="85"/>
      <c r="J649" s="85"/>
      <c r="K649" s="85"/>
      <c r="L649" s="52"/>
      <c r="M649" s="52"/>
      <c r="N649" s="52"/>
    </row>
    <row r="650" ht="15.75" customHeight="1">
      <c r="A650" s="49"/>
      <c r="C650" s="84"/>
      <c r="E650" s="49"/>
      <c r="G650" s="50"/>
      <c r="H650" s="51"/>
      <c r="I650" s="85"/>
      <c r="J650" s="85"/>
      <c r="K650" s="85"/>
      <c r="L650" s="52"/>
      <c r="M650" s="52"/>
      <c r="N650" s="52"/>
    </row>
    <row r="651" ht="15.75" customHeight="1">
      <c r="A651" s="49"/>
      <c r="C651" s="84"/>
      <c r="E651" s="49"/>
      <c r="G651" s="50"/>
      <c r="H651" s="51"/>
      <c r="I651" s="85"/>
      <c r="J651" s="85"/>
      <c r="K651" s="85"/>
      <c r="L651" s="52"/>
      <c r="M651" s="52"/>
      <c r="N651" s="52"/>
    </row>
    <row r="652" ht="15.75" customHeight="1">
      <c r="A652" s="49"/>
      <c r="C652" s="84"/>
      <c r="E652" s="49"/>
      <c r="G652" s="50"/>
      <c r="H652" s="51"/>
      <c r="I652" s="85"/>
      <c r="J652" s="85"/>
      <c r="K652" s="85"/>
      <c r="L652" s="52"/>
      <c r="M652" s="52"/>
      <c r="N652" s="52"/>
    </row>
    <row r="653" ht="15.75" customHeight="1">
      <c r="A653" s="49"/>
      <c r="C653" s="84"/>
      <c r="E653" s="49"/>
      <c r="G653" s="50"/>
      <c r="H653" s="51"/>
      <c r="I653" s="85"/>
      <c r="J653" s="85"/>
      <c r="K653" s="85"/>
      <c r="L653" s="52"/>
      <c r="M653" s="52"/>
      <c r="N653" s="52"/>
    </row>
    <row r="654" ht="15.75" customHeight="1">
      <c r="A654" s="49"/>
      <c r="C654" s="84"/>
      <c r="E654" s="49"/>
      <c r="G654" s="50"/>
      <c r="H654" s="51"/>
      <c r="I654" s="85"/>
      <c r="J654" s="85"/>
      <c r="K654" s="85"/>
      <c r="L654" s="52"/>
      <c r="M654" s="52"/>
      <c r="N654" s="52"/>
    </row>
    <row r="655" ht="15.75" customHeight="1">
      <c r="A655" s="49"/>
      <c r="C655" s="84"/>
      <c r="E655" s="49"/>
      <c r="G655" s="50"/>
      <c r="H655" s="51"/>
      <c r="I655" s="85"/>
      <c r="J655" s="85"/>
      <c r="K655" s="85"/>
      <c r="L655" s="52"/>
      <c r="M655" s="52"/>
      <c r="N655" s="52"/>
    </row>
    <row r="656" ht="15.75" customHeight="1">
      <c r="A656" s="49"/>
      <c r="C656" s="84"/>
      <c r="E656" s="49"/>
      <c r="G656" s="50"/>
      <c r="H656" s="51"/>
      <c r="I656" s="85"/>
      <c r="J656" s="85"/>
      <c r="K656" s="85"/>
      <c r="L656" s="52"/>
      <c r="M656" s="52"/>
      <c r="N656" s="52"/>
    </row>
    <row r="657" ht="15.75" customHeight="1">
      <c r="A657" s="49"/>
      <c r="C657" s="84"/>
      <c r="E657" s="49"/>
      <c r="G657" s="50"/>
      <c r="H657" s="51"/>
      <c r="I657" s="85"/>
      <c r="J657" s="85"/>
      <c r="K657" s="85"/>
      <c r="L657" s="52"/>
      <c r="M657" s="52"/>
      <c r="N657" s="52"/>
    </row>
    <row r="658" ht="15.75" customHeight="1">
      <c r="A658" s="49"/>
      <c r="C658" s="84"/>
      <c r="E658" s="49"/>
      <c r="G658" s="50"/>
      <c r="H658" s="51"/>
      <c r="I658" s="85"/>
      <c r="J658" s="85"/>
      <c r="K658" s="85"/>
      <c r="L658" s="52"/>
      <c r="M658" s="52"/>
      <c r="N658" s="52"/>
    </row>
    <row r="659" ht="15.75" customHeight="1">
      <c r="A659" s="49"/>
      <c r="C659" s="84"/>
      <c r="E659" s="49"/>
      <c r="G659" s="50"/>
      <c r="H659" s="51"/>
      <c r="I659" s="85"/>
      <c r="J659" s="85"/>
      <c r="K659" s="85"/>
      <c r="L659" s="52"/>
      <c r="M659" s="52"/>
      <c r="N659" s="52"/>
    </row>
    <row r="660" ht="15.75" customHeight="1">
      <c r="A660" s="49"/>
      <c r="C660" s="84"/>
      <c r="E660" s="49"/>
      <c r="G660" s="50"/>
      <c r="H660" s="51"/>
      <c r="I660" s="85"/>
      <c r="J660" s="85"/>
      <c r="K660" s="85"/>
      <c r="L660" s="52"/>
      <c r="M660" s="52"/>
      <c r="N660" s="52"/>
    </row>
    <row r="661" ht="15.75" customHeight="1">
      <c r="A661" s="49"/>
      <c r="C661" s="84"/>
      <c r="E661" s="49"/>
      <c r="G661" s="50"/>
      <c r="H661" s="51"/>
      <c r="I661" s="85"/>
      <c r="J661" s="85"/>
      <c r="K661" s="85"/>
      <c r="L661" s="52"/>
      <c r="M661" s="52"/>
      <c r="N661" s="52"/>
    </row>
    <row r="662" ht="15.75" customHeight="1">
      <c r="A662" s="49"/>
      <c r="C662" s="84"/>
      <c r="E662" s="49"/>
      <c r="G662" s="50"/>
      <c r="H662" s="51"/>
      <c r="I662" s="85"/>
      <c r="J662" s="85"/>
      <c r="K662" s="85"/>
      <c r="L662" s="52"/>
      <c r="M662" s="52"/>
      <c r="N662" s="52"/>
    </row>
    <row r="663" ht="15.75" customHeight="1">
      <c r="A663" s="49"/>
      <c r="C663" s="84"/>
      <c r="E663" s="49"/>
      <c r="G663" s="50"/>
      <c r="H663" s="51"/>
      <c r="I663" s="85"/>
      <c r="J663" s="85"/>
      <c r="K663" s="85"/>
      <c r="L663" s="52"/>
      <c r="M663" s="52"/>
      <c r="N663" s="52"/>
    </row>
    <row r="664" ht="15.75" customHeight="1">
      <c r="A664" s="49"/>
      <c r="C664" s="84"/>
      <c r="E664" s="49"/>
      <c r="G664" s="50"/>
      <c r="H664" s="51"/>
      <c r="I664" s="85"/>
      <c r="J664" s="85"/>
      <c r="K664" s="85"/>
      <c r="L664" s="52"/>
      <c r="M664" s="52"/>
      <c r="N664" s="52"/>
    </row>
    <row r="665" ht="15.75" customHeight="1">
      <c r="A665" s="49"/>
      <c r="C665" s="84"/>
      <c r="E665" s="49"/>
      <c r="G665" s="50"/>
      <c r="H665" s="51"/>
      <c r="I665" s="85"/>
      <c r="J665" s="85"/>
      <c r="K665" s="85"/>
      <c r="L665" s="52"/>
      <c r="M665" s="52"/>
      <c r="N665" s="52"/>
    </row>
    <row r="666" ht="15.75" customHeight="1">
      <c r="A666" s="49"/>
      <c r="C666" s="84"/>
      <c r="E666" s="49"/>
      <c r="G666" s="50"/>
      <c r="H666" s="51"/>
      <c r="I666" s="85"/>
      <c r="J666" s="85"/>
      <c r="K666" s="85"/>
      <c r="L666" s="52"/>
      <c r="M666" s="52"/>
      <c r="N666" s="52"/>
    </row>
    <row r="667" ht="15.75" customHeight="1">
      <c r="A667" s="49"/>
      <c r="C667" s="84"/>
      <c r="E667" s="49"/>
      <c r="G667" s="50"/>
      <c r="H667" s="51"/>
      <c r="I667" s="85"/>
      <c r="J667" s="85"/>
      <c r="K667" s="85"/>
      <c r="L667" s="52"/>
      <c r="M667" s="52"/>
      <c r="N667" s="52"/>
    </row>
    <row r="668" ht="15.75" customHeight="1">
      <c r="A668" s="49"/>
      <c r="C668" s="84"/>
      <c r="E668" s="49"/>
      <c r="G668" s="50"/>
      <c r="H668" s="51"/>
      <c r="I668" s="85"/>
      <c r="J668" s="85"/>
      <c r="K668" s="85"/>
      <c r="L668" s="52"/>
      <c r="M668" s="52"/>
      <c r="N668" s="52"/>
    </row>
    <row r="669" ht="15.75" customHeight="1">
      <c r="A669" s="49"/>
      <c r="C669" s="84"/>
      <c r="E669" s="49"/>
      <c r="G669" s="50"/>
      <c r="H669" s="51"/>
      <c r="I669" s="85"/>
      <c r="J669" s="85"/>
      <c r="K669" s="85"/>
      <c r="L669" s="52"/>
      <c r="M669" s="52"/>
      <c r="N669" s="52"/>
    </row>
    <row r="670" ht="15.75" customHeight="1">
      <c r="A670" s="49"/>
      <c r="C670" s="84"/>
      <c r="E670" s="49"/>
      <c r="G670" s="50"/>
      <c r="H670" s="51"/>
      <c r="I670" s="85"/>
      <c r="J670" s="85"/>
      <c r="K670" s="85"/>
      <c r="L670" s="52"/>
      <c r="M670" s="52"/>
      <c r="N670" s="52"/>
    </row>
    <row r="671" ht="15.75" customHeight="1">
      <c r="A671" s="49"/>
      <c r="C671" s="84"/>
      <c r="E671" s="49"/>
      <c r="G671" s="50"/>
      <c r="H671" s="51"/>
      <c r="I671" s="85"/>
      <c r="J671" s="85"/>
      <c r="K671" s="85"/>
      <c r="L671" s="52"/>
      <c r="M671" s="52"/>
      <c r="N671" s="52"/>
    </row>
    <row r="672" ht="15.75" customHeight="1">
      <c r="A672" s="49"/>
      <c r="C672" s="84"/>
      <c r="E672" s="49"/>
      <c r="G672" s="50"/>
      <c r="H672" s="51"/>
      <c r="I672" s="85"/>
      <c r="J672" s="85"/>
      <c r="K672" s="85"/>
      <c r="L672" s="52"/>
      <c r="M672" s="52"/>
      <c r="N672" s="52"/>
    </row>
    <row r="673" ht="15.75" customHeight="1">
      <c r="A673" s="49"/>
      <c r="C673" s="84"/>
      <c r="E673" s="49"/>
      <c r="G673" s="50"/>
      <c r="H673" s="51"/>
      <c r="I673" s="85"/>
      <c r="J673" s="85"/>
      <c r="K673" s="85"/>
      <c r="L673" s="52"/>
      <c r="M673" s="52"/>
      <c r="N673" s="52"/>
    </row>
    <row r="674" ht="15.75" customHeight="1">
      <c r="A674" s="49"/>
      <c r="C674" s="84"/>
      <c r="E674" s="49"/>
      <c r="G674" s="50"/>
      <c r="H674" s="51"/>
      <c r="I674" s="85"/>
      <c r="J674" s="85"/>
      <c r="K674" s="85"/>
      <c r="L674" s="52"/>
      <c r="M674" s="52"/>
      <c r="N674" s="52"/>
    </row>
    <row r="675" ht="15.75" customHeight="1">
      <c r="A675" s="49"/>
      <c r="C675" s="84"/>
      <c r="E675" s="49"/>
      <c r="G675" s="50"/>
      <c r="H675" s="51"/>
      <c r="I675" s="85"/>
      <c r="J675" s="85"/>
      <c r="K675" s="85"/>
      <c r="L675" s="52"/>
      <c r="M675" s="52"/>
      <c r="N675" s="52"/>
    </row>
    <row r="676" ht="15.75" customHeight="1">
      <c r="A676" s="49"/>
      <c r="C676" s="84"/>
      <c r="E676" s="49"/>
      <c r="G676" s="50"/>
      <c r="H676" s="51"/>
      <c r="I676" s="85"/>
      <c r="J676" s="85"/>
      <c r="K676" s="85"/>
      <c r="L676" s="52"/>
      <c r="M676" s="52"/>
      <c r="N676" s="52"/>
    </row>
    <row r="677" ht="15.75" customHeight="1">
      <c r="A677" s="49"/>
      <c r="C677" s="84"/>
      <c r="E677" s="49"/>
      <c r="G677" s="50"/>
      <c r="H677" s="51"/>
      <c r="I677" s="85"/>
      <c r="J677" s="85"/>
      <c r="K677" s="85"/>
      <c r="L677" s="52"/>
      <c r="M677" s="52"/>
      <c r="N677" s="52"/>
    </row>
    <row r="678" ht="15.75" customHeight="1">
      <c r="A678" s="49"/>
      <c r="C678" s="84"/>
      <c r="E678" s="49"/>
      <c r="G678" s="50"/>
      <c r="H678" s="51"/>
      <c r="I678" s="85"/>
      <c r="J678" s="85"/>
      <c r="K678" s="85"/>
      <c r="L678" s="52"/>
      <c r="M678" s="52"/>
      <c r="N678" s="52"/>
    </row>
    <row r="679" ht="15.75" customHeight="1">
      <c r="A679" s="49"/>
      <c r="C679" s="84"/>
      <c r="E679" s="49"/>
      <c r="G679" s="50"/>
      <c r="H679" s="51"/>
      <c r="I679" s="85"/>
      <c r="J679" s="85"/>
      <c r="K679" s="85"/>
      <c r="L679" s="52"/>
      <c r="M679" s="52"/>
      <c r="N679" s="52"/>
    </row>
    <row r="680" ht="15.75" customHeight="1">
      <c r="A680" s="49"/>
      <c r="C680" s="84"/>
      <c r="E680" s="49"/>
      <c r="G680" s="50"/>
      <c r="H680" s="51"/>
      <c r="I680" s="85"/>
      <c r="J680" s="85"/>
      <c r="K680" s="85"/>
      <c r="L680" s="52"/>
      <c r="M680" s="52"/>
      <c r="N680" s="52"/>
    </row>
    <row r="681" ht="15.75" customHeight="1">
      <c r="A681" s="49"/>
      <c r="C681" s="84"/>
      <c r="E681" s="49"/>
      <c r="G681" s="50"/>
      <c r="H681" s="51"/>
      <c r="I681" s="85"/>
      <c r="J681" s="85"/>
      <c r="K681" s="85"/>
      <c r="L681" s="52"/>
      <c r="M681" s="52"/>
      <c r="N681" s="52"/>
    </row>
    <row r="682" ht="15.75" customHeight="1">
      <c r="A682" s="49"/>
      <c r="C682" s="84"/>
      <c r="E682" s="49"/>
      <c r="G682" s="50"/>
      <c r="H682" s="51"/>
      <c r="I682" s="85"/>
      <c r="J682" s="85"/>
      <c r="K682" s="85"/>
      <c r="L682" s="52"/>
      <c r="M682" s="52"/>
      <c r="N682" s="52"/>
    </row>
    <row r="683" ht="15.75" customHeight="1">
      <c r="A683" s="49"/>
      <c r="C683" s="84"/>
      <c r="E683" s="49"/>
      <c r="G683" s="50"/>
      <c r="H683" s="51"/>
      <c r="I683" s="85"/>
      <c r="J683" s="85"/>
      <c r="K683" s="85"/>
      <c r="L683" s="52"/>
      <c r="M683" s="52"/>
      <c r="N683" s="52"/>
    </row>
    <row r="684" ht="15.75" customHeight="1">
      <c r="A684" s="49"/>
      <c r="C684" s="84"/>
      <c r="E684" s="49"/>
      <c r="G684" s="50"/>
      <c r="H684" s="51"/>
      <c r="I684" s="85"/>
      <c r="J684" s="85"/>
      <c r="K684" s="85"/>
      <c r="L684" s="52"/>
      <c r="M684" s="52"/>
      <c r="N684" s="52"/>
    </row>
    <row r="685" ht="15.75" customHeight="1">
      <c r="A685" s="49"/>
      <c r="C685" s="84"/>
      <c r="E685" s="49"/>
      <c r="G685" s="50"/>
      <c r="H685" s="51"/>
      <c r="I685" s="85"/>
      <c r="J685" s="85"/>
      <c r="K685" s="85"/>
      <c r="L685" s="52"/>
      <c r="M685" s="52"/>
      <c r="N685" s="52"/>
    </row>
    <row r="686" ht="15.75" customHeight="1">
      <c r="A686" s="49"/>
      <c r="C686" s="84"/>
      <c r="E686" s="49"/>
      <c r="G686" s="50"/>
      <c r="H686" s="51"/>
      <c r="I686" s="85"/>
      <c r="J686" s="85"/>
      <c r="K686" s="85"/>
      <c r="L686" s="52"/>
      <c r="M686" s="52"/>
      <c r="N686" s="52"/>
    </row>
    <row r="687" ht="15.75" customHeight="1">
      <c r="A687" s="49"/>
      <c r="C687" s="84"/>
      <c r="E687" s="49"/>
      <c r="G687" s="50"/>
      <c r="H687" s="51"/>
      <c r="I687" s="85"/>
      <c r="J687" s="85"/>
      <c r="K687" s="85"/>
      <c r="L687" s="52"/>
      <c r="M687" s="52"/>
      <c r="N687" s="52"/>
    </row>
    <row r="688" ht="15.75" customHeight="1">
      <c r="A688" s="49"/>
      <c r="C688" s="84"/>
      <c r="E688" s="49"/>
      <c r="G688" s="50"/>
      <c r="H688" s="51"/>
      <c r="I688" s="85"/>
      <c r="J688" s="85"/>
      <c r="K688" s="85"/>
      <c r="L688" s="52"/>
      <c r="M688" s="52"/>
      <c r="N688" s="52"/>
    </row>
    <row r="689" ht="15.75" customHeight="1">
      <c r="A689" s="49"/>
      <c r="C689" s="84"/>
      <c r="E689" s="49"/>
      <c r="G689" s="50"/>
      <c r="H689" s="51"/>
      <c r="I689" s="85"/>
      <c r="J689" s="85"/>
      <c r="K689" s="85"/>
      <c r="L689" s="52"/>
      <c r="M689" s="52"/>
      <c r="N689" s="52"/>
    </row>
    <row r="690" ht="15.75" customHeight="1">
      <c r="A690" s="49"/>
      <c r="C690" s="84"/>
      <c r="E690" s="49"/>
      <c r="G690" s="50"/>
      <c r="H690" s="51"/>
      <c r="I690" s="85"/>
      <c r="J690" s="85"/>
      <c r="K690" s="85"/>
      <c r="L690" s="52"/>
      <c r="M690" s="52"/>
      <c r="N690" s="52"/>
    </row>
    <row r="691" ht="15.75" customHeight="1">
      <c r="A691" s="49"/>
      <c r="C691" s="84"/>
      <c r="E691" s="49"/>
      <c r="G691" s="50"/>
      <c r="H691" s="51"/>
      <c r="I691" s="85"/>
      <c r="J691" s="85"/>
      <c r="K691" s="85"/>
      <c r="L691" s="52"/>
      <c r="M691" s="52"/>
      <c r="N691" s="52"/>
    </row>
    <row r="692" ht="15.75" customHeight="1">
      <c r="A692" s="49"/>
      <c r="C692" s="84"/>
      <c r="E692" s="49"/>
      <c r="G692" s="50"/>
      <c r="H692" s="51"/>
      <c r="I692" s="85"/>
      <c r="J692" s="85"/>
      <c r="K692" s="85"/>
      <c r="L692" s="52"/>
      <c r="M692" s="52"/>
      <c r="N692" s="52"/>
    </row>
    <row r="693" ht="15.75" customHeight="1">
      <c r="A693" s="49"/>
      <c r="C693" s="84"/>
      <c r="E693" s="49"/>
      <c r="G693" s="50"/>
      <c r="H693" s="51"/>
      <c r="I693" s="85"/>
      <c r="J693" s="85"/>
      <c r="K693" s="85"/>
      <c r="L693" s="52"/>
      <c r="M693" s="52"/>
      <c r="N693" s="52"/>
    </row>
    <row r="694" ht="15.75" customHeight="1">
      <c r="A694" s="49"/>
      <c r="C694" s="84"/>
      <c r="E694" s="49"/>
      <c r="G694" s="50"/>
      <c r="H694" s="51"/>
      <c r="I694" s="85"/>
      <c r="J694" s="85"/>
      <c r="K694" s="85"/>
      <c r="L694" s="52"/>
      <c r="M694" s="52"/>
      <c r="N694" s="52"/>
    </row>
    <row r="695" ht="15.75" customHeight="1">
      <c r="A695" s="49"/>
      <c r="C695" s="84"/>
      <c r="E695" s="49"/>
      <c r="G695" s="50"/>
      <c r="H695" s="51"/>
      <c r="I695" s="85"/>
      <c r="J695" s="85"/>
      <c r="K695" s="85"/>
      <c r="L695" s="52"/>
      <c r="M695" s="52"/>
      <c r="N695" s="52"/>
    </row>
    <row r="696" ht="15.75" customHeight="1">
      <c r="A696" s="49"/>
      <c r="C696" s="84"/>
      <c r="E696" s="49"/>
      <c r="G696" s="50"/>
      <c r="H696" s="51"/>
      <c r="I696" s="85"/>
      <c r="J696" s="85"/>
      <c r="K696" s="85"/>
      <c r="L696" s="52"/>
      <c r="M696" s="52"/>
      <c r="N696" s="52"/>
    </row>
    <row r="697" ht="15.75" customHeight="1">
      <c r="A697" s="49"/>
      <c r="C697" s="84"/>
      <c r="E697" s="49"/>
      <c r="G697" s="50"/>
      <c r="H697" s="51"/>
      <c r="I697" s="85"/>
      <c r="J697" s="85"/>
      <c r="K697" s="85"/>
      <c r="L697" s="52"/>
      <c r="M697" s="52"/>
      <c r="N697" s="52"/>
    </row>
    <row r="698" ht="15.75" customHeight="1">
      <c r="A698" s="49"/>
      <c r="C698" s="84"/>
      <c r="E698" s="49"/>
      <c r="G698" s="50"/>
      <c r="H698" s="51"/>
      <c r="I698" s="85"/>
      <c r="J698" s="85"/>
      <c r="K698" s="85"/>
      <c r="L698" s="52"/>
      <c r="M698" s="52"/>
      <c r="N698" s="52"/>
    </row>
    <row r="699" ht="15.75" customHeight="1">
      <c r="A699" s="49"/>
      <c r="C699" s="84"/>
      <c r="E699" s="49"/>
      <c r="G699" s="50"/>
      <c r="H699" s="51"/>
      <c r="I699" s="85"/>
      <c r="J699" s="85"/>
      <c r="K699" s="85"/>
      <c r="L699" s="52"/>
      <c r="M699" s="52"/>
      <c r="N699" s="52"/>
    </row>
    <row r="700" ht="15.75" customHeight="1">
      <c r="A700" s="49"/>
      <c r="C700" s="84"/>
      <c r="E700" s="49"/>
      <c r="G700" s="50"/>
      <c r="H700" s="51"/>
      <c r="I700" s="85"/>
      <c r="J700" s="85"/>
      <c r="K700" s="85"/>
      <c r="L700" s="52"/>
      <c r="M700" s="52"/>
      <c r="N700" s="52"/>
    </row>
    <row r="701" ht="15.75" customHeight="1">
      <c r="A701" s="49"/>
      <c r="C701" s="84"/>
      <c r="E701" s="49"/>
      <c r="G701" s="50"/>
      <c r="H701" s="51"/>
      <c r="I701" s="85"/>
      <c r="J701" s="85"/>
      <c r="K701" s="85"/>
      <c r="L701" s="52"/>
      <c r="M701" s="52"/>
      <c r="N701" s="52"/>
    </row>
    <row r="702" ht="15.75" customHeight="1">
      <c r="A702" s="49"/>
      <c r="C702" s="84"/>
      <c r="E702" s="49"/>
      <c r="G702" s="50"/>
      <c r="H702" s="51"/>
      <c r="I702" s="85"/>
      <c r="J702" s="85"/>
      <c r="K702" s="85"/>
      <c r="L702" s="52"/>
      <c r="M702" s="52"/>
      <c r="N702" s="52"/>
    </row>
    <row r="703" ht="15.75" customHeight="1">
      <c r="A703" s="49"/>
      <c r="C703" s="84"/>
      <c r="E703" s="49"/>
      <c r="G703" s="50"/>
      <c r="H703" s="51"/>
      <c r="I703" s="85"/>
      <c r="J703" s="85"/>
      <c r="K703" s="85"/>
      <c r="L703" s="52"/>
      <c r="M703" s="52"/>
      <c r="N703" s="52"/>
    </row>
    <row r="704" ht="15.75" customHeight="1">
      <c r="A704" s="49"/>
      <c r="C704" s="84"/>
      <c r="E704" s="49"/>
      <c r="G704" s="50"/>
      <c r="H704" s="51"/>
      <c r="I704" s="85"/>
      <c r="J704" s="85"/>
      <c r="K704" s="85"/>
      <c r="L704" s="52"/>
      <c r="M704" s="52"/>
      <c r="N704" s="52"/>
    </row>
    <row r="705" ht="15.75" customHeight="1">
      <c r="A705" s="49"/>
      <c r="C705" s="84"/>
      <c r="E705" s="49"/>
      <c r="G705" s="50"/>
      <c r="H705" s="51"/>
      <c r="I705" s="85"/>
      <c r="J705" s="85"/>
      <c r="K705" s="85"/>
      <c r="L705" s="52"/>
      <c r="M705" s="52"/>
      <c r="N705" s="52"/>
    </row>
    <row r="706" ht="15.75" customHeight="1">
      <c r="A706" s="49"/>
      <c r="C706" s="84"/>
      <c r="E706" s="49"/>
      <c r="G706" s="50"/>
      <c r="H706" s="51"/>
      <c r="I706" s="85"/>
      <c r="J706" s="85"/>
      <c r="K706" s="85"/>
      <c r="L706" s="52"/>
      <c r="M706" s="52"/>
      <c r="N706" s="52"/>
    </row>
    <row r="707" ht="15.75" customHeight="1">
      <c r="A707" s="49"/>
      <c r="C707" s="84"/>
      <c r="E707" s="49"/>
      <c r="G707" s="50"/>
      <c r="H707" s="51"/>
      <c r="I707" s="85"/>
      <c r="J707" s="85"/>
      <c r="K707" s="85"/>
      <c r="L707" s="52"/>
      <c r="M707" s="52"/>
      <c r="N707" s="52"/>
    </row>
    <row r="708" ht="15.75" customHeight="1">
      <c r="A708" s="49"/>
      <c r="C708" s="84"/>
      <c r="E708" s="49"/>
      <c r="G708" s="50"/>
      <c r="H708" s="51"/>
      <c r="I708" s="85"/>
      <c r="J708" s="85"/>
      <c r="K708" s="85"/>
      <c r="L708" s="52"/>
      <c r="M708" s="52"/>
      <c r="N708" s="52"/>
    </row>
    <row r="709" ht="15.75" customHeight="1">
      <c r="A709" s="49"/>
      <c r="C709" s="84"/>
      <c r="E709" s="49"/>
      <c r="G709" s="50"/>
      <c r="H709" s="51"/>
      <c r="I709" s="85"/>
      <c r="J709" s="85"/>
      <c r="K709" s="85"/>
      <c r="L709" s="52"/>
      <c r="M709" s="52"/>
      <c r="N709" s="52"/>
    </row>
    <row r="710" ht="15.75" customHeight="1">
      <c r="A710" s="49"/>
      <c r="C710" s="84"/>
      <c r="E710" s="49"/>
      <c r="G710" s="50"/>
      <c r="H710" s="51"/>
      <c r="I710" s="85"/>
      <c r="J710" s="85"/>
      <c r="K710" s="85"/>
      <c r="L710" s="52"/>
      <c r="M710" s="52"/>
      <c r="N710" s="52"/>
    </row>
    <row r="711" ht="15.75" customHeight="1">
      <c r="A711" s="49"/>
      <c r="C711" s="84"/>
      <c r="E711" s="49"/>
      <c r="G711" s="50"/>
      <c r="H711" s="51"/>
      <c r="I711" s="85"/>
      <c r="J711" s="85"/>
      <c r="K711" s="85"/>
      <c r="L711" s="52"/>
      <c r="M711" s="52"/>
      <c r="N711" s="52"/>
    </row>
    <row r="712" ht="15.75" customHeight="1">
      <c r="A712" s="49"/>
      <c r="C712" s="84"/>
      <c r="E712" s="49"/>
      <c r="G712" s="50"/>
      <c r="H712" s="51"/>
      <c r="I712" s="85"/>
      <c r="J712" s="85"/>
      <c r="K712" s="85"/>
      <c r="L712" s="52"/>
      <c r="M712" s="52"/>
      <c r="N712" s="52"/>
    </row>
    <row r="713" ht="15.75" customHeight="1">
      <c r="A713" s="49"/>
      <c r="C713" s="84"/>
      <c r="E713" s="49"/>
      <c r="G713" s="50"/>
      <c r="H713" s="51"/>
      <c r="I713" s="85"/>
      <c r="J713" s="85"/>
      <c r="K713" s="85"/>
      <c r="L713" s="52"/>
      <c r="M713" s="52"/>
      <c r="N713" s="52"/>
    </row>
    <row r="714" ht="15.75" customHeight="1">
      <c r="A714" s="49"/>
      <c r="C714" s="84"/>
      <c r="E714" s="49"/>
      <c r="G714" s="50"/>
      <c r="H714" s="51"/>
      <c r="I714" s="85"/>
      <c r="J714" s="85"/>
      <c r="K714" s="85"/>
      <c r="L714" s="52"/>
      <c r="M714" s="52"/>
      <c r="N714" s="52"/>
    </row>
    <row r="715" ht="15.75" customHeight="1">
      <c r="A715" s="49"/>
      <c r="C715" s="84"/>
      <c r="E715" s="49"/>
      <c r="G715" s="50"/>
      <c r="H715" s="51"/>
      <c r="I715" s="85"/>
      <c r="J715" s="85"/>
      <c r="K715" s="85"/>
      <c r="L715" s="52"/>
      <c r="M715" s="52"/>
      <c r="N715" s="52"/>
    </row>
    <row r="716" ht="15.75" customHeight="1">
      <c r="A716" s="49"/>
      <c r="C716" s="84"/>
      <c r="E716" s="49"/>
      <c r="G716" s="50"/>
      <c r="H716" s="51"/>
      <c r="I716" s="85"/>
      <c r="J716" s="85"/>
      <c r="K716" s="85"/>
      <c r="L716" s="52"/>
      <c r="M716" s="52"/>
      <c r="N716" s="52"/>
    </row>
    <row r="717" ht="15.75" customHeight="1">
      <c r="A717" s="49"/>
      <c r="C717" s="84"/>
      <c r="E717" s="49"/>
      <c r="G717" s="50"/>
      <c r="H717" s="51"/>
      <c r="I717" s="85"/>
      <c r="J717" s="85"/>
      <c r="K717" s="85"/>
      <c r="L717" s="52"/>
      <c r="M717" s="52"/>
      <c r="N717" s="52"/>
    </row>
    <row r="718" ht="15.75" customHeight="1">
      <c r="A718" s="49"/>
      <c r="C718" s="84"/>
      <c r="E718" s="49"/>
      <c r="G718" s="50"/>
      <c r="H718" s="51"/>
      <c r="I718" s="85"/>
      <c r="J718" s="85"/>
      <c r="K718" s="85"/>
      <c r="L718" s="52"/>
      <c r="M718" s="52"/>
      <c r="N718" s="52"/>
    </row>
    <row r="719" ht="15.75" customHeight="1">
      <c r="A719" s="49"/>
      <c r="C719" s="84"/>
      <c r="E719" s="49"/>
      <c r="G719" s="50"/>
      <c r="H719" s="51"/>
      <c r="I719" s="85"/>
      <c r="J719" s="85"/>
      <c r="K719" s="85"/>
      <c r="L719" s="52"/>
      <c r="M719" s="52"/>
      <c r="N719" s="52"/>
    </row>
    <row r="720" ht="15.75" customHeight="1">
      <c r="A720" s="49"/>
      <c r="C720" s="84"/>
      <c r="E720" s="49"/>
      <c r="G720" s="50"/>
      <c r="H720" s="51"/>
      <c r="I720" s="85"/>
      <c r="J720" s="85"/>
      <c r="K720" s="85"/>
      <c r="L720" s="52"/>
      <c r="M720" s="52"/>
      <c r="N720" s="52"/>
    </row>
    <row r="721" ht="15.75" customHeight="1">
      <c r="A721" s="49"/>
      <c r="C721" s="84"/>
      <c r="E721" s="49"/>
      <c r="G721" s="50"/>
      <c r="H721" s="51"/>
      <c r="I721" s="85"/>
      <c r="J721" s="85"/>
      <c r="K721" s="85"/>
      <c r="L721" s="52"/>
      <c r="M721" s="52"/>
      <c r="N721" s="52"/>
    </row>
    <row r="722" ht="15.75" customHeight="1">
      <c r="A722" s="49"/>
      <c r="C722" s="84"/>
      <c r="E722" s="49"/>
      <c r="G722" s="50"/>
      <c r="H722" s="51"/>
      <c r="I722" s="85"/>
      <c r="J722" s="85"/>
      <c r="K722" s="85"/>
      <c r="L722" s="52"/>
      <c r="M722" s="52"/>
      <c r="N722" s="52"/>
    </row>
    <row r="723" ht="15.75" customHeight="1">
      <c r="A723" s="49"/>
      <c r="C723" s="84"/>
      <c r="E723" s="49"/>
      <c r="G723" s="50"/>
      <c r="H723" s="51"/>
      <c r="I723" s="85"/>
      <c r="J723" s="85"/>
      <c r="K723" s="85"/>
      <c r="L723" s="52"/>
      <c r="M723" s="52"/>
      <c r="N723" s="52"/>
    </row>
    <row r="724" ht="15.75" customHeight="1">
      <c r="A724" s="49"/>
      <c r="C724" s="84"/>
      <c r="E724" s="49"/>
      <c r="G724" s="50"/>
      <c r="H724" s="51"/>
      <c r="I724" s="85"/>
      <c r="J724" s="85"/>
      <c r="K724" s="85"/>
      <c r="L724" s="52"/>
      <c r="M724" s="52"/>
      <c r="N724" s="52"/>
    </row>
    <row r="725" ht="15.75" customHeight="1">
      <c r="A725" s="49"/>
      <c r="C725" s="84"/>
      <c r="E725" s="49"/>
      <c r="G725" s="50"/>
      <c r="H725" s="51"/>
      <c r="I725" s="85"/>
      <c r="J725" s="85"/>
      <c r="K725" s="85"/>
      <c r="L725" s="52"/>
      <c r="M725" s="52"/>
      <c r="N725" s="52"/>
    </row>
    <row r="726" ht="15.75" customHeight="1">
      <c r="A726" s="49"/>
      <c r="C726" s="84"/>
      <c r="E726" s="49"/>
      <c r="G726" s="50"/>
      <c r="H726" s="51"/>
      <c r="I726" s="85"/>
      <c r="J726" s="85"/>
      <c r="K726" s="85"/>
      <c r="L726" s="52"/>
      <c r="M726" s="52"/>
      <c r="N726" s="52"/>
    </row>
    <row r="727" ht="15.75" customHeight="1">
      <c r="A727" s="49"/>
      <c r="C727" s="84"/>
      <c r="E727" s="49"/>
      <c r="G727" s="50"/>
      <c r="H727" s="51"/>
      <c r="I727" s="85"/>
      <c r="J727" s="85"/>
      <c r="K727" s="85"/>
      <c r="L727" s="52"/>
      <c r="M727" s="52"/>
      <c r="N727" s="52"/>
    </row>
    <row r="728" ht="15.75" customHeight="1">
      <c r="A728" s="49"/>
      <c r="C728" s="84"/>
      <c r="E728" s="49"/>
      <c r="G728" s="50"/>
      <c r="H728" s="51"/>
      <c r="I728" s="85"/>
      <c r="J728" s="85"/>
      <c r="K728" s="85"/>
      <c r="L728" s="52"/>
      <c r="M728" s="52"/>
      <c r="N728" s="52"/>
    </row>
    <row r="729" ht="15.75" customHeight="1">
      <c r="A729" s="49"/>
      <c r="C729" s="84"/>
      <c r="E729" s="49"/>
      <c r="G729" s="50"/>
      <c r="H729" s="51"/>
      <c r="I729" s="85"/>
      <c r="J729" s="85"/>
      <c r="K729" s="85"/>
      <c r="L729" s="52"/>
      <c r="M729" s="52"/>
      <c r="N729" s="52"/>
    </row>
    <row r="730" ht="15.75" customHeight="1">
      <c r="A730" s="49"/>
      <c r="C730" s="84"/>
      <c r="E730" s="49"/>
      <c r="G730" s="50"/>
      <c r="H730" s="51"/>
      <c r="I730" s="85"/>
      <c r="J730" s="85"/>
      <c r="K730" s="85"/>
      <c r="L730" s="52"/>
      <c r="M730" s="52"/>
      <c r="N730" s="52"/>
    </row>
    <row r="731" ht="15.75" customHeight="1">
      <c r="A731" s="49"/>
      <c r="C731" s="84"/>
      <c r="E731" s="49"/>
      <c r="G731" s="50"/>
      <c r="H731" s="51"/>
      <c r="I731" s="85"/>
      <c r="J731" s="85"/>
      <c r="K731" s="85"/>
      <c r="L731" s="52"/>
      <c r="M731" s="52"/>
      <c r="N731" s="52"/>
    </row>
    <row r="732" ht="15.75" customHeight="1">
      <c r="A732" s="49"/>
      <c r="C732" s="84"/>
      <c r="E732" s="49"/>
      <c r="G732" s="50"/>
      <c r="H732" s="51"/>
      <c r="I732" s="85"/>
      <c r="J732" s="85"/>
      <c r="K732" s="85"/>
      <c r="L732" s="52"/>
      <c r="M732" s="52"/>
      <c r="N732" s="52"/>
    </row>
    <row r="733" ht="15.75" customHeight="1">
      <c r="A733" s="49"/>
      <c r="C733" s="84"/>
      <c r="E733" s="49"/>
      <c r="G733" s="50"/>
      <c r="H733" s="51"/>
      <c r="I733" s="85"/>
      <c r="J733" s="85"/>
      <c r="K733" s="85"/>
      <c r="L733" s="52"/>
      <c r="M733" s="52"/>
      <c r="N733" s="52"/>
    </row>
    <row r="734" ht="15.75" customHeight="1">
      <c r="A734" s="49"/>
      <c r="C734" s="84"/>
      <c r="E734" s="49"/>
      <c r="G734" s="50"/>
      <c r="H734" s="51"/>
      <c r="I734" s="85"/>
      <c r="J734" s="85"/>
      <c r="K734" s="85"/>
      <c r="L734" s="52"/>
      <c r="M734" s="52"/>
      <c r="N734" s="52"/>
    </row>
    <row r="735" ht="15.75" customHeight="1">
      <c r="A735" s="49"/>
      <c r="C735" s="84"/>
      <c r="E735" s="49"/>
      <c r="G735" s="50"/>
      <c r="H735" s="51"/>
      <c r="I735" s="85"/>
      <c r="J735" s="85"/>
      <c r="K735" s="85"/>
      <c r="L735" s="52"/>
      <c r="M735" s="52"/>
      <c r="N735" s="52"/>
    </row>
    <row r="736" ht="15.75" customHeight="1">
      <c r="A736" s="49"/>
      <c r="C736" s="84"/>
      <c r="E736" s="49"/>
      <c r="G736" s="50"/>
      <c r="H736" s="51"/>
      <c r="I736" s="85"/>
      <c r="J736" s="85"/>
      <c r="K736" s="85"/>
      <c r="L736" s="52"/>
      <c r="M736" s="52"/>
      <c r="N736" s="52"/>
    </row>
    <row r="737" ht="15.75" customHeight="1">
      <c r="A737" s="49"/>
      <c r="C737" s="84"/>
      <c r="E737" s="49"/>
      <c r="G737" s="50"/>
      <c r="H737" s="51"/>
      <c r="I737" s="85"/>
      <c r="J737" s="85"/>
      <c r="K737" s="85"/>
      <c r="L737" s="52"/>
      <c r="M737" s="52"/>
      <c r="N737" s="52"/>
    </row>
    <row r="738" ht="15.75" customHeight="1">
      <c r="A738" s="49"/>
      <c r="C738" s="84"/>
      <c r="E738" s="49"/>
      <c r="G738" s="50"/>
      <c r="H738" s="51"/>
      <c r="I738" s="85"/>
      <c r="J738" s="85"/>
      <c r="K738" s="85"/>
      <c r="L738" s="52"/>
      <c r="M738" s="52"/>
      <c r="N738" s="52"/>
    </row>
    <row r="739" ht="15.75" customHeight="1">
      <c r="A739" s="49"/>
      <c r="C739" s="84"/>
      <c r="E739" s="49"/>
      <c r="G739" s="50"/>
      <c r="H739" s="51"/>
      <c r="I739" s="85"/>
      <c r="J739" s="85"/>
      <c r="K739" s="85"/>
      <c r="L739" s="52"/>
      <c r="M739" s="52"/>
      <c r="N739" s="52"/>
    </row>
    <row r="740" ht="15.75" customHeight="1">
      <c r="A740" s="49"/>
      <c r="C740" s="84"/>
      <c r="E740" s="49"/>
      <c r="G740" s="50"/>
      <c r="H740" s="51"/>
      <c r="I740" s="85"/>
      <c r="J740" s="85"/>
      <c r="K740" s="85"/>
      <c r="L740" s="52"/>
      <c r="M740" s="52"/>
      <c r="N740" s="52"/>
    </row>
    <row r="741" ht="15.75" customHeight="1">
      <c r="A741" s="49"/>
      <c r="C741" s="84"/>
      <c r="E741" s="49"/>
      <c r="G741" s="50"/>
      <c r="H741" s="51"/>
      <c r="I741" s="85"/>
      <c r="J741" s="85"/>
      <c r="K741" s="85"/>
      <c r="L741" s="52"/>
      <c r="M741" s="52"/>
      <c r="N741" s="52"/>
    </row>
    <row r="742" ht="15.75" customHeight="1">
      <c r="A742" s="49"/>
      <c r="C742" s="84"/>
      <c r="E742" s="49"/>
      <c r="G742" s="50"/>
      <c r="H742" s="51"/>
      <c r="I742" s="85"/>
      <c r="J742" s="85"/>
      <c r="K742" s="85"/>
      <c r="L742" s="52"/>
      <c r="M742" s="52"/>
      <c r="N742" s="52"/>
    </row>
    <row r="743" ht="15.75" customHeight="1">
      <c r="A743" s="49"/>
      <c r="C743" s="84"/>
      <c r="E743" s="49"/>
      <c r="G743" s="50"/>
      <c r="H743" s="51"/>
      <c r="I743" s="85"/>
      <c r="J743" s="85"/>
      <c r="K743" s="85"/>
      <c r="L743" s="52"/>
      <c r="M743" s="52"/>
      <c r="N743" s="52"/>
    </row>
    <row r="744" ht="15.75" customHeight="1">
      <c r="A744" s="49"/>
      <c r="C744" s="84"/>
      <c r="E744" s="49"/>
      <c r="G744" s="50"/>
      <c r="H744" s="51"/>
      <c r="I744" s="85"/>
      <c r="J744" s="85"/>
      <c r="K744" s="85"/>
      <c r="L744" s="52"/>
      <c r="M744" s="52"/>
      <c r="N744" s="52"/>
    </row>
    <row r="745" ht="15.75" customHeight="1">
      <c r="A745" s="49"/>
      <c r="C745" s="84"/>
      <c r="E745" s="49"/>
      <c r="G745" s="50"/>
      <c r="H745" s="51"/>
      <c r="I745" s="85"/>
      <c r="J745" s="85"/>
      <c r="K745" s="85"/>
      <c r="L745" s="52"/>
      <c r="M745" s="52"/>
      <c r="N745" s="52"/>
    </row>
    <row r="746" ht="15.75" customHeight="1">
      <c r="A746" s="49"/>
      <c r="C746" s="84"/>
      <c r="E746" s="49"/>
      <c r="G746" s="50"/>
      <c r="H746" s="51"/>
      <c r="I746" s="85"/>
      <c r="J746" s="85"/>
      <c r="K746" s="85"/>
      <c r="L746" s="52"/>
      <c r="M746" s="52"/>
      <c r="N746" s="52"/>
    </row>
    <row r="747" ht="15.75" customHeight="1">
      <c r="A747" s="49"/>
      <c r="C747" s="84"/>
      <c r="E747" s="49"/>
      <c r="G747" s="50"/>
      <c r="H747" s="51"/>
      <c r="I747" s="85"/>
      <c r="J747" s="85"/>
      <c r="K747" s="85"/>
      <c r="L747" s="52"/>
      <c r="M747" s="52"/>
      <c r="N747" s="52"/>
    </row>
    <row r="748" ht="15.75" customHeight="1">
      <c r="A748" s="49"/>
      <c r="C748" s="84"/>
      <c r="E748" s="49"/>
      <c r="G748" s="50"/>
      <c r="H748" s="51"/>
      <c r="I748" s="85"/>
      <c r="J748" s="85"/>
      <c r="K748" s="85"/>
      <c r="L748" s="52"/>
      <c r="M748" s="52"/>
      <c r="N748" s="52"/>
    </row>
    <row r="749" ht="15.75" customHeight="1">
      <c r="A749" s="49"/>
      <c r="C749" s="84"/>
      <c r="E749" s="49"/>
      <c r="G749" s="50"/>
      <c r="H749" s="51"/>
      <c r="I749" s="85"/>
      <c r="J749" s="85"/>
      <c r="K749" s="85"/>
      <c r="L749" s="52"/>
      <c r="M749" s="52"/>
      <c r="N749" s="52"/>
    </row>
    <row r="750" ht="15.75" customHeight="1">
      <c r="A750" s="49"/>
      <c r="C750" s="84"/>
      <c r="E750" s="49"/>
      <c r="G750" s="50"/>
      <c r="H750" s="51"/>
      <c r="I750" s="85"/>
      <c r="J750" s="85"/>
      <c r="K750" s="85"/>
      <c r="L750" s="52"/>
      <c r="M750" s="52"/>
      <c r="N750" s="52"/>
    </row>
    <row r="751" ht="15.75" customHeight="1">
      <c r="A751" s="49"/>
      <c r="C751" s="84"/>
      <c r="E751" s="49"/>
      <c r="G751" s="50"/>
      <c r="H751" s="51"/>
      <c r="I751" s="85"/>
      <c r="J751" s="85"/>
      <c r="K751" s="85"/>
      <c r="L751" s="52"/>
      <c r="M751" s="52"/>
      <c r="N751" s="52"/>
    </row>
    <row r="752" ht="15.75" customHeight="1">
      <c r="A752" s="49"/>
      <c r="C752" s="84"/>
      <c r="E752" s="49"/>
      <c r="G752" s="50"/>
      <c r="H752" s="51"/>
      <c r="I752" s="85"/>
      <c r="J752" s="85"/>
      <c r="K752" s="85"/>
      <c r="L752" s="52"/>
      <c r="M752" s="52"/>
      <c r="N752" s="52"/>
    </row>
    <row r="753" ht="15.75" customHeight="1">
      <c r="A753" s="49"/>
      <c r="C753" s="84"/>
      <c r="E753" s="49"/>
      <c r="G753" s="50"/>
      <c r="H753" s="51"/>
      <c r="I753" s="85"/>
      <c r="J753" s="85"/>
      <c r="K753" s="85"/>
      <c r="L753" s="52"/>
      <c r="M753" s="52"/>
      <c r="N753" s="52"/>
    </row>
    <row r="754" ht="15.75" customHeight="1">
      <c r="A754" s="49"/>
      <c r="C754" s="84"/>
      <c r="E754" s="49"/>
      <c r="G754" s="50"/>
      <c r="H754" s="51"/>
      <c r="I754" s="85"/>
      <c r="J754" s="85"/>
      <c r="K754" s="85"/>
      <c r="L754" s="52"/>
      <c r="M754" s="52"/>
      <c r="N754" s="52"/>
    </row>
    <row r="755" ht="15.75" customHeight="1">
      <c r="A755" s="49"/>
      <c r="C755" s="84"/>
      <c r="E755" s="49"/>
      <c r="G755" s="50"/>
      <c r="H755" s="51"/>
      <c r="I755" s="85"/>
      <c r="J755" s="85"/>
      <c r="K755" s="85"/>
      <c r="L755" s="52"/>
      <c r="M755" s="52"/>
      <c r="N755" s="52"/>
    </row>
    <row r="756" ht="15.75" customHeight="1">
      <c r="A756" s="49"/>
      <c r="C756" s="84"/>
      <c r="E756" s="49"/>
      <c r="G756" s="50"/>
      <c r="H756" s="51"/>
      <c r="I756" s="85"/>
      <c r="J756" s="85"/>
      <c r="K756" s="85"/>
      <c r="L756" s="52"/>
      <c r="M756" s="52"/>
      <c r="N756" s="52"/>
    </row>
    <row r="757" ht="15.75" customHeight="1">
      <c r="A757" s="49"/>
      <c r="C757" s="84"/>
      <c r="E757" s="49"/>
      <c r="G757" s="50"/>
      <c r="H757" s="51"/>
      <c r="I757" s="85"/>
      <c r="J757" s="85"/>
      <c r="K757" s="85"/>
      <c r="L757" s="52"/>
      <c r="M757" s="52"/>
      <c r="N757" s="52"/>
    </row>
    <row r="758" ht="15.75" customHeight="1">
      <c r="A758" s="49"/>
      <c r="C758" s="84"/>
      <c r="E758" s="49"/>
      <c r="G758" s="50"/>
      <c r="H758" s="51"/>
      <c r="I758" s="85"/>
      <c r="J758" s="85"/>
      <c r="K758" s="85"/>
      <c r="L758" s="52"/>
      <c r="M758" s="52"/>
      <c r="N758" s="52"/>
    </row>
    <row r="759" ht="15.75" customHeight="1">
      <c r="A759" s="49"/>
      <c r="C759" s="84"/>
      <c r="E759" s="49"/>
      <c r="G759" s="50"/>
      <c r="H759" s="51"/>
      <c r="I759" s="85"/>
      <c r="J759" s="85"/>
      <c r="K759" s="85"/>
      <c r="L759" s="52"/>
      <c r="M759" s="52"/>
      <c r="N759" s="52"/>
    </row>
    <row r="760" ht="15.75" customHeight="1">
      <c r="A760" s="49"/>
      <c r="C760" s="84"/>
      <c r="E760" s="49"/>
      <c r="G760" s="50"/>
      <c r="H760" s="51"/>
      <c r="I760" s="85"/>
      <c r="J760" s="85"/>
      <c r="K760" s="85"/>
      <c r="L760" s="52"/>
      <c r="M760" s="52"/>
      <c r="N760" s="52"/>
    </row>
    <row r="761" ht="15.75" customHeight="1">
      <c r="A761" s="49"/>
      <c r="C761" s="84"/>
      <c r="E761" s="49"/>
      <c r="G761" s="50"/>
      <c r="H761" s="51"/>
      <c r="I761" s="85"/>
      <c r="J761" s="85"/>
      <c r="K761" s="85"/>
      <c r="L761" s="52"/>
      <c r="M761" s="52"/>
      <c r="N761" s="52"/>
    </row>
    <row r="762" ht="15.75" customHeight="1">
      <c r="A762" s="49"/>
      <c r="C762" s="84"/>
      <c r="E762" s="49"/>
      <c r="G762" s="50"/>
      <c r="H762" s="51"/>
      <c r="I762" s="85"/>
      <c r="J762" s="85"/>
      <c r="K762" s="85"/>
      <c r="L762" s="52"/>
      <c r="M762" s="52"/>
      <c r="N762" s="52"/>
    </row>
    <row r="763" ht="15.75" customHeight="1">
      <c r="A763" s="49"/>
      <c r="C763" s="84"/>
      <c r="E763" s="49"/>
      <c r="G763" s="50"/>
      <c r="H763" s="51"/>
      <c r="I763" s="85"/>
      <c r="J763" s="85"/>
      <c r="K763" s="85"/>
      <c r="L763" s="52"/>
      <c r="M763" s="52"/>
      <c r="N763" s="52"/>
    </row>
    <row r="764" ht="15.75" customHeight="1">
      <c r="A764" s="49"/>
      <c r="C764" s="84"/>
      <c r="E764" s="49"/>
      <c r="G764" s="50"/>
      <c r="H764" s="51"/>
      <c r="I764" s="85"/>
      <c r="J764" s="85"/>
      <c r="K764" s="85"/>
      <c r="L764" s="52"/>
      <c r="M764" s="52"/>
      <c r="N764" s="52"/>
    </row>
    <row r="765" ht="15.75" customHeight="1">
      <c r="A765" s="49"/>
      <c r="C765" s="84"/>
      <c r="E765" s="49"/>
      <c r="G765" s="50"/>
      <c r="H765" s="51"/>
      <c r="I765" s="85"/>
      <c r="J765" s="85"/>
      <c r="K765" s="85"/>
      <c r="L765" s="52"/>
      <c r="M765" s="52"/>
      <c r="N765" s="52"/>
    </row>
    <row r="766" ht="15.75" customHeight="1">
      <c r="A766" s="49"/>
      <c r="C766" s="84"/>
      <c r="E766" s="49"/>
      <c r="G766" s="50"/>
      <c r="H766" s="51"/>
      <c r="I766" s="85"/>
      <c r="J766" s="85"/>
      <c r="K766" s="85"/>
      <c r="L766" s="52"/>
      <c r="M766" s="52"/>
      <c r="N766" s="52"/>
    </row>
    <row r="767" ht="15.75" customHeight="1">
      <c r="A767" s="49"/>
      <c r="C767" s="84"/>
      <c r="E767" s="49"/>
      <c r="G767" s="50"/>
      <c r="H767" s="51"/>
      <c r="I767" s="85"/>
      <c r="J767" s="85"/>
      <c r="K767" s="85"/>
      <c r="L767" s="52"/>
      <c r="M767" s="52"/>
      <c r="N767" s="52"/>
    </row>
    <row r="768" ht="15.75" customHeight="1">
      <c r="A768" s="49"/>
      <c r="C768" s="84"/>
      <c r="E768" s="49"/>
      <c r="G768" s="50"/>
      <c r="H768" s="51"/>
      <c r="I768" s="85"/>
      <c r="J768" s="85"/>
      <c r="K768" s="85"/>
      <c r="L768" s="52"/>
      <c r="M768" s="52"/>
      <c r="N768" s="52"/>
    </row>
    <row r="769" ht="15.75" customHeight="1">
      <c r="A769" s="49"/>
      <c r="C769" s="84"/>
      <c r="E769" s="49"/>
      <c r="G769" s="50"/>
      <c r="H769" s="51"/>
      <c r="I769" s="85"/>
      <c r="J769" s="85"/>
      <c r="K769" s="85"/>
      <c r="L769" s="52"/>
      <c r="M769" s="52"/>
      <c r="N769" s="52"/>
    </row>
    <row r="770" ht="15.75" customHeight="1">
      <c r="A770" s="49"/>
      <c r="C770" s="84"/>
      <c r="E770" s="49"/>
      <c r="G770" s="50"/>
      <c r="H770" s="51"/>
      <c r="I770" s="85"/>
      <c r="J770" s="85"/>
      <c r="K770" s="85"/>
      <c r="L770" s="52"/>
      <c r="M770" s="52"/>
      <c r="N770" s="52"/>
    </row>
    <row r="771" ht="15.75" customHeight="1">
      <c r="A771" s="49"/>
      <c r="C771" s="84"/>
      <c r="E771" s="49"/>
      <c r="G771" s="50"/>
      <c r="H771" s="51"/>
      <c r="I771" s="85"/>
      <c r="J771" s="85"/>
      <c r="K771" s="85"/>
      <c r="L771" s="52"/>
      <c r="M771" s="52"/>
      <c r="N771" s="52"/>
    </row>
    <row r="772" ht="15.75" customHeight="1">
      <c r="A772" s="49"/>
      <c r="C772" s="84"/>
      <c r="E772" s="49"/>
      <c r="G772" s="50"/>
      <c r="H772" s="51"/>
      <c r="I772" s="85"/>
      <c r="J772" s="85"/>
      <c r="K772" s="85"/>
      <c r="L772" s="52"/>
      <c r="M772" s="52"/>
      <c r="N772" s="52"/>
    </row>
    <row r="773" ht="15.75" customHeight="1">
      <c r="A773" s="49"/>
      <c r="C773" s="84"/>
      <c r="E773" s="49"/>
      <c r="G773" s="50"/>
      <c r="H773" s="51"/>
      <c r="I773" s="85"/>
      <c r="J773" s="85"/>
      <c r="K773" s="85"/>
      <c r="L773" s="52"/>
      <c r="M773" s="52"/>
      <c r="N773" s="52"/>
    </row>
    <row r="774" ht="15.75" customHeight="1">
      <c r="A774" s="49"/>
      <c r="C774" s="84"/>
      <c r="E774" s="49"/>
      <c r="G774" s="50"/>
      <c r="H774" s="51"/>
      <c r="I774" s="85"/>
      <c r="J774" s="85"/>
      <c r="K774" s="85"/>
      <c r="L774" s="52"/>
      <c r="M774" s="52"/>
      <c r="N774" s="52"/>
    </row>
    <row r="775" ht="15.75" customHeight="1">
      <c r="A775" s="49"/>
      <c r="C775" s="84"/>
      <c r="E775" s="49"/>
      <c r="G775" s="50"/>
      <c r="H775" s="51"/>
      <c r="I775" s="85"/>
      <c r="J775" s="85"/>
      <c r="K775" s="85"/>
      <c r="L775" s="52"/>
      <c r="M775" s="52"/>
      <c r="N775" s="52"/>
    </row>
    <row r="776" ht="15.75" customHeight="1">
      <c r="A776" s="49"/>
      <c r="C776" s="84"/>
      <c r="E776" s="49"/>
      <c r="G776" s="50"/>
      <c r="H776" s="51"/>
      <c r="I776" s="85"/>
      <c r="J776" s="85"/>
      <c r="K776" s="85"/>
      <c r="L776" s="52"/>
      <c r="M776" s="52"/>
      <c r="N776" s="52"/>
    </row>
    <row r="777" ht="15.75" customHeight="1">
      <c r="A777" s="49"/>
      <c r="C777" s="84"/>
      <c r="E777" s="49"/>
      <c r="G777" s="50"/>
      <c r="H777" s="51"/>
      <c r="I777" s="85"/>
      <c r="J777" s="85"/>
      <c r="K777" s="85"/>
      <c r="L777" s="52"/>
      <c r="M777" s="52"/>
      <c r="N777" s="52"/>
    </row>
    <row r="778" ht="15.75" customHeight="1">
      <c r="A778" s="49"/>
      <c r="C778" s="84"/>
      <c r="E778" s="49"/>
      <c r="G778" s="50"/>
      <c r="H778" s="51"/>
      <c r="I778" s="85"/>
      <c r="J778" s="85"/>
      <c r="K778" s="85"/>
      <c r="L778" s="52"/>
      <c r="M778" s="52"/>
      <c r="N778" s="52"/>
    </row>
    <row r="779" ht="15.75" customHeight="1">
      <c r="A779" s="49"/>
      <c r="C779" s="84"/>
      <c r="E779" s="49"/>
      <c r="G779" s="50"/>
      <c r="H779" s="51"/>
      <c r="I779" s="85"/>
      <c r="J779" s="85"/>
      <c r="K779" s="85"/>
      <c r="L779" s="52"/>
      <c r="M779" s="52"/>
      <c r="N779" s="52"/>
    </row>
    <row r="780" ht="15.75" customHeight="1">
      <c r="A780" s="49"/>
      <c r="C780" s="84"/>
      <c r="E780" s="49"/>
      <c r="G780" s="50"/>
      <c r="H780" s="51"/>
      <c r="I780" s="85"/>
      <c r="J780" s="85"/>
      <c r="K780" s="85"/>
      <c r="L780" s="52"/>
      <c r="M780" s="52"/>
      <c r="N780" s="52"/>
    </row>
    <row r="781" ht="15.75" customHeight="1">
      <c r="A781" s="49"/>
      <c r="C781" s="84"/>
      <c r="E781" s="49"/>
      <c r="G781" s="50"/>
      <c r="H781" s="51"/>
      <c r="I781" s="85"/>
      <c r="J781" s="85"/>
      <c r="K781" s="85"/>
      <c r="L781" s="52"/>
      <c r="M781" s="52"/>
      <c r="N781" s="52"/>
    </row>
    <row r="782" ht="15.75" customHeight="1">
      <c r="A782" s="49"/>
      <c r="C782" s="84"/>
      <c r="E782" s="49"/>
      <c r="G782" s="50"/>
      <c r="H782" s="51"/>
      <c r="I782" s="85"/>
      <c r="J782" s="85"/>
      <c r="K782" s="85"/>
      <c r="L782" s="52"/>
      <c r="M782" s="52"/>
      <c r="N782" s="52"/>
    </row>
    <row r="783" ht="15.75" customHeight="1">
      <c r="A783" s="49"/>
      <c r="C783" s="84"/>
      <c r="E783" s="49"/>
      <c r="G783" s="50"/>
      <c r="H783" s="51"/>
      <c r="I783" s="85"/>
      <c r="J783" s="85"/>
      <c r="K783" s="85"/>
      <c r="L783" s="52"/>
      <c r="M783" s="52"/>
      <c r="N783" s="52"/>
    </row>
    <row r="784" ht="15.75" customHeight="1">
      <c r="A784" s="49"/>
      <c r="C784" s="84"/>
      <c r="E784" s="49"/>
      <c r="G784" s="50"/>
      <c r="H784" s="51"/>
      <c r="I784" s="85"/>
      <c r="J784" s="85"/>
      <c r="K784" s="85"/>
      <c r="L784" s="52"/>
      <c r="M784" s="52"/>
      <c r="N784" s="52"/>
    </row>
    <row r="785" ht="15.75" customHeight="1">
      <c r="A785" s="49"/>
      <c r="C785" s="84"/>
      <c r="E785" s="49"/>
      <c r="G785" s="50"/>
      <c r="H785" s="51"/>
      <c r="I785" s="85"/>
      <c r="J785" s="85"/>
      <c r="K785" s="85"/>
      <c r="L785" s="52"/>
      <c r="M785" s="52"/>
      <c r="N785" s="52"/>
    </row>
    <row r="786" ht="15.75" customHeight="1">
      <c r="A786" s="49"/>
      <c r="C786" s="84"/>
      <c r="E786" s="49"/>
      <c r="G786" s="50"/>
      <c r="H786" s="51"/>
      <c r="I786" s="85"/>
      <c r="J786" s="85"/>
      <c r="K786" s="85"/>
      <c r="L786" s="52"/>
      <c r="M786" s="52"/>
      <c r="N786" s="52"/>
    </row>
    <row r="787" ht="15.75" customHeight="1">
      <c r="A787" s="49"/>
      <c r="C787" s="84"/>
      <c r="E787" s="49"/>
      <c r="G787" s="50"/>
      <c r="H787" s="51"/>
      <c r="I787" s="85"/>
      <c r="J787" s="85"/>
      <c r="K787" s="85"/>
      <c r="L787" s="52"/>
      <c r="M787" s="52"/>
      <c r="N787" s="52"/>
    </row>
    <row r="788" ht="15.75" customHeight="1">
      <c r="A788" s="49"/>
      <c r="C788" s="84"/>
      <c r="E788" s="49"/>
      <c r="G788" s="50"/>
      <c r="H788" s="51"/>
      <c r="I788" s="85"/>
      <c r="J788" s="85"/>
      <c r="K788" s="85"/>
      <c r="L788" s="52"/>
      <c r="M788" s="52"/>
      <c r="N788" s="52"/>
    </row>
    <row r="789" ht="15.75" customHeight="1">
      <c r="A789" s="49"/>
      <c r="C789" s="84"/>
      <c r="E789" s="49"/>
      <c r="G789" s="50"/>
      <c r="H789" s="51"/>
      <c r="I789" s="85"/>
      <c r="J789" s="85"/>
      <c r="K789" s="85"/>
      <c r="L789" s="52"/>
      <c r="M789" s="52"/>
      <c r="N789" s="52"/>
    </row>
    <row r="790" ht="15.75" customHeight="1">
      <c r="A790" s="49"/>
      <c r="C790" s="84"/>
      <c r="E790" s="49"/>
      <c r="G790" s="50"/>
      <c r="H790" s="51"/>
      <c r="I790" s="85"/>
      <c r="J790" s="85"/>
      <c r="K790" s="85"/>
      <c r="L790" s="52"/>
      <c r="M790" s="52"/>
      <c r="N790" s="52"/>
    </row>
    <row r="791" ht="15.75" customHeight="1">
      <c r="A791" s="49"/>
      <c r="C791" s="84"/>
      <c r="E791" s="49"/>
      <c r="G791" s="50"/>
      <c r="H791" s="51"/>
      <c r="I791" s="85"/>
      <c r="J791" s="85"/>
      <c r="K791" s="85"/>
      <c r="L791" s="52"/>
      <c r="M791" s="52"/>
      <c r="N791" s="52"/>
    </row>
    <row r="792" ht="15.75" customHeight="1">
      <c r="A792" s="49"/>
      <c r="C792" s="84"/>
      <c r="E792" s="49"/>
      <c r="G792" s="50"/>
      <c r="H792" s="51"/>
      <c r="I792" s="85"/>
      <c r="J792" s="85"/>
      <c r="K792" s="85"/>
      <c r="L792" s="52"/>
      <c r="M792" s="52"/>
      <c r="N792" s="52"/>
    </row>
    <row r="793" ht="15.75" customHeight="1">
      <c r="A793" s="49"/>
      <c r="C793" s="84"/>
      <c r="E793" s="49"/>
      <c r="G793" s="50"/>
      <c r="H793" s="51"/>
      <c r="I793" s="85"/>
      <c r="J793" s="85"/>
      <c r="K793" s="85"/>
      <c r="L793" s="52"/>
      <c r="M793" s="52"/>
      <c r="N793" s="52"/>
    </row>
    <row r="794" ht="15.75" customHeight="1">
      <c r="A794" s="49"/>
      <c r="C794" s="84"/>
      <c r="E794" s="49"/>
      <c r="G794" s="50"/>
      <c r="H794" s="51"/>
      <c r="I794" s="85"/>
      <c r="J794" s="85"/>
      <c r="K794" s="85"/>
      <c r="L794" s="52"/>
      <c r="M794" s="52"/>
      <c r="N794" s="52"/>
    </row>
    <row r="795" ht="15.75" customHeight="1">
      <c r="A795" s="49"/>
      <c r="C795" s="84"/>
      <c r="E795" s="49"/>
      <c r="G795" s="50"/>
      <c r="H795" s="51"/>
      <c r="I795" s="85"/>
      <c r="J795" s="85"/>
      <c r="K795" s="85"/>
      <c r="L795" s="52"/>
      <c r="M795" s="52"/>
      <c r="N795" s="52"/>
    </row>
    <row r="796" ht="15.75" customHeight="1">
      <c r="A796" s="49"/>
      <c r="C796" s="84"/>
      <c r="E796" s="49"/>
      <c r="G796" s="50"/>
      <c r="H796" s="51"/>
      <c r="I796" s="85"/>
      <c r="J796" s="85"/>
      <c r="K796" s="85"/>
      <c r="L796" s="52"/>
      <c r="M796" s="52"/>
      <c r="N796" s="52"/>
    </row>
    <row r="797" ht="15.75" customHeight="1">
      <c r="A797" s="49"/>
      <c r="C797" s="84"/>
      <c r="E797" s="49"/>
      <c r="G797" s="50"/>
      <c r="H797" s="51"/>
      <c r="I797" s="85"/>
      <c r="J797" s="85"/>
      <c r="K797" s="85"/>
      <c r="L797" s="52"/>
      <c r="M797" s="52"/>
      <c r="N797" s="52"/>
    </row>
    <row r="798" ht="15.75" customHeight="1">
      <c r="A798" s="49"/>
      <c r="C798" s="84"/>
      <c r="E798" s="49"/>
      <c r="G798" s="50"/>
      <c r="H798" s="51"/>
      <c r="I798" s="85"/>
      <c r="J798" s="85"/>
      <c r="K798" s="85"/>
      <c r="L798" s="52"/>
      <c r="M798" s="52"/>
      <c r="N798" s="52"/>
    </row>
    <row r="799" ht="15.75" customHeight="1">
      <c r="A799" s="49"/>
      <c r="C799" s="84"/>
      <c r="E799" s="49"/>
      <c r="G799" s="50"/>
      <c r="H799" s="51"/>
      <c r="I799" s="85"/>
      <c r="J799" s="85"/>
      <c r="K799" s="85"/>
      <c r="L799" s="52"/>
      <c r="M799" s="52"/>
      <c r="N799" s="52"/>
    </row>
    <row r="800" ht="15.75" customHeight="1">
      <c r="A800" s="49"/>
      <c r="C800" s="84"/>
      <c r="E800" s="49"/>
      <c r="G800" s="50"/>
      <c r="H800" s="51"/>
      <c r="I800" s="85"/>
      <c r="J800" s="85"/>
      <c r="K800" s="85"/>
      <c r="L800" s="52"/>
      <c r="M800" s="52"/>
      <c r="N800" s="52"/>
    </row>
    <row r="801" ht="15.75" customHeight="1">
      <c r="A801" s="49"/>
      <c r="C801" s="84"/>
      <c r="E801" s="49"/>
      <c r="G801" s="50"/>
      <c r="H801" s="51"/>
      <c r="I801" s="85"/>
      <c r="J801" s="85"/>
      <c r="K801" s="85"/>
      <c r="L801" s="52"/>
      <c r="M801" s="52"/>
      <c r="N801" s="52"/>
    </row>
    <row r="802" ht="15.75" customHeight="1">
      <c r="A802" s="49"/>
      <c r="C802" s="84"/>
      <c r="E802" s="49"/>
      <c r="G802" s="50"/>
      <c r="H802" s="51"/>
      <c r="I802" s="85"/>
      <c r="J802" s="85"/>
      <c r="K802" s="85"/>
      <c r="L802" s="52"/>
      <c r="M802" s="52"/>
      <c r="N802" s="52"/>
    </row>
    <row r="803" ht="15.75" customHeight="1">
      <c r="A803" s="49"/>
      <c r="C803" s="84"/>
      <c r="E803" s="49"/>
      <c r="G803" s="50"/>
      <c r="H803" s="51"/>
      <c r="I803" s="85"/>
      <c r="J803" s="85"/>
      <c r="K803" s="85"/>
      <c r="L803" s="52"/>
      <c r="M803" s="52"/>
      <c r="N803" s="52"/>
    </row>
    <row r="804" ht="15.75" customHeight="1">
      <c r="A804" s="49"/>
      <c r="C804" s="84"/>
      <c r="E804" s="49"/>
      <c r="G804" s="50"/>
      <c r="H804" s="51"/>
      <c r="I804" s="85"/>
      <c r="J804" s="85"/>
      <c r="K804" s="85"/>
      <c r="L804" s="52"/>
      <c r="M804" s="52"/>
      <c r="N804" s="52"/>
    </row>
    <row r="805" ht="15.75" customHeight="1">
      <c r="A805" s="49"/>
      <c r="C805" s="84"/>
      <c r="E805" s="49"/>
      <c r="G805" s="50"/>
      <c r="H805" s="51"/>
      <c r="I805" s="85"/>
      <c r="J805" s="85"/>
      <c r="K805" s="85"/>
      <c r="L805" s="52"/>
      <c r="M805" s="52"/>
      <c r="N805" s="52"/>
    </row>
    <row r="806" ht="15.75" customHeight="1">
      <c r="A806" s="49"/>
      <c r="C806" s="84"/>
      <c r="E806" s="49"/>
      <c r="G806" s="50"/>
      <c r="H806" s="51"/>
      <c r="I806" s="85"/>
      <c r="J806" s="85"/>
      <c r="K806" s="85"/>
      <c r="L806" s="52"/>
      <c r="M806" s="52"/>
      <c r="N806" s="52"/>
    </row>
    <row r="807" ht="15.75" customHeight="1">
      <c r="A807" s="49"/>
      <c r="C807" s="84"/>
      <c r="E807" s="49"/>
      <c r="G807" s="50"/>
      <c r="H807" s="51"/>
      <c r="I807" s="85"/>
      <c r="J807" s="85"/>
      <c r="K807" s="85"/>
      <c r="L807" s="52"/>
      <c r="M807" s="52"/>
      <c r="N807" s="52"/>
    </row>
    <row r="808" ht="15.75" customHeight="1">
      <c r="A808" s="49"/>
      <c r="C808" s="84"/>
      <c r="E808" s="49"/>
      <c r="G808" s="50"/>
      <c r="H808" s="51"/>
      <c r="I808" s="85"/>
      <c r="J808" s="85"/>
      <c r="K808" s="85"/>
      <c r="L808" s="52"/>
      <c r="M808" s="52"/>
      <c r="N808" s="52"/>
    </row>
    <row r="809" ht="15.75" customHeight="1">
      <c r="A809" s="49"/>
      <c r="C809" s="84"/>
      <c r="E809" s="49"/>
      <c r="G809" s="50"/>
      <c r="H809" s="51"/>
      <c r="I809" s="85"/>
      <c r="J809" s="85"/>
      <c r="K809" s="85"/>
      <c r="L809" s="52"/>
      <c r="M809" s="52"/>
      <c r="N809" s="52"/>
    </row>
    <row r="810" ht="15.75" customHeight="1">
      <c r="A810" s="49"/>
      <c r="C810" s="84"/>
      <c r="E810" s="49"/>
      <c r="G810" s="50"/>
      <c r="H810" s="51"/>
      <c r="I810" s="85"/>
      <c r="J810" s="85"/>
      <c r="K810" s="85"/>
      <c r="L810" s="52"/>
      <c r="M810" s="52"/>
      <c r="N810" s="52"/>
    </row>
    <row r="811" ht="15.75" customHeight="1">
      <c r="A811" s="49"/>
      <c r="C811" s="84"/>
      <c r="E811" s="49"/>
      <c r="G811" s="50"/>
      <c r="H811" s="51"/>
      <c r="I811" s="85"/>
      <c r="J811" s="85"/>
      <c r="K811" s="85"/>
      <c r="L811" s="52"/>
      <c r="M811" s="52"/>
      <c r="N811" s="52"/>
    </row>
    <row r="812" ht="15.75" customHeight="1">
      <c r="A812" s="49"/>
      <c r="C812" s="84"/>
      <c r="E812" s="49"/>
      <c r="G812" s="50"/>
      <c r="H812" s="51"/>
      <c r="I812" s="85"/>
      <c r="J812" s="85"/>
      <c r="K812" s="85"/>
      <c r="L812" s="52"/>
      <c r="M812" s="52"/>
      <c r="N812" s="52"/>
    </row>
    <row r="813" ht="15.75" customHeight="1">
      <c r="A813" s="49"/>
      <c r="C813" s="84"/>
      <c r="E813" s="49"/>
      <c r="G813" s="50"/>
      <c r="H813" s="51"/>
      <c r="I813" s="85"/>
      <c r="J813" s="85"/>
      <c r="K813" s="85"/>
      <c r="L813" s="52"/>
      <c r="M813" s="52"/>
      <c r="N813" s="52"/>
    </row>
    <row r="814" ht="15.75" customHeight="1">
      <c r="A814" s="49"/>
      <c r="C814" s="84"/>
      <c r="E814" s="49"/>
      <c r="G814" s="50"/>
      <c r="H814" s="51"/>
      <c r="I814" s="85"/>
      <c r="J814" s="85"/>
      <c r="K814" s="85"/>
      <c r="L814" s="52"/>
      <c r="M814" s="52"/>
      <c r="N814" s="52"/>
    </row>
    <row r="815" ht="15.75" customHeight="1">
      <c r="A815" s="49"/>
      <c r="C815" s="84"/>
      <c r="E815" s="49"/>
      <c r="G815" s="50"/>
      <c r="H815" s="51"/>
      <c r="I815" s="85"/>
      <c r="J815" s="85"/>
      <c r="K815" s="85"/>
      <c r="L815" s="52"/>
      <c r="M815" s="52"/>
      <c r="N815" s="52"/>
    </row>
    <row r="816" ht="15.75" customHeight="1">
      <c r="A816" s="49"/>
      <c r="C816" s="84"/>
      <c r="E816" s="49"/>
      <c r="G816" s="50"/>
      <c r="H816" s="51"/>
      <c r="I816" s="85"/>
      <c r="J816" s="85"/>
      <c r="K816" s="85"/>
      <c r="L816" s="52"/>
      <c r="M816" s="52"/>
      <c r="N816" s="52"/>
    </row>
    <row r="817" ht="15.75" customHeight="1">
      <c r="A817" s="49"/>
      <c r="C817" s="84"/>
      <c r="E817" s="49"/>
      <c r="G817" s="50"/>
      <c r="H817" s="51"/>
      <c r="I817" s="85"/>
      <c r="J817" s="85"/>
      <c r="K817" s="85"/>
      <c r="L817" s="52"/>
      <c r="M817" s="52"/>
      <c r="N817" s="52"/>
    </row>
    <row r="818" ht="15.75" customHeight="1">
      <c r="A818" s="49"/>
      <c r="C818" s="84"/>
      <c r="E818" s="49"/>
      <c r="G818" s="50"/>
      <c r="H818" s="51"/>
      <c r="I818" s="85"/>
      <c r="J818" s="85"/>
      <c r="K818" s="85"/>
      <c r="L818" s="52"/>
      <c r="M818" s="52"/>
      <c r="N818" s="52"/>
    </row>
    <row r="819" ht="15.75" customHeight="1">
      <c r="A819" s="49"/>
      <c r="C819" s="84"/>
      <c r="E819" s="49"/>
      <c r="G819" s="50"/>
      <c r="H819" s="51"/>
      <c r="I819" s="85"/>
      <c r="J819" s="85"/>
      <c r="K819" s="85"/>
      <c r="L819" s="52"/>
      <c r="M819" s="52"/>
      <c r="N819" s="52"/>
    </row>
    <row r="820" ht="15.75" customHeight="1">
      <c r="A820" s="49"/>
      <c r="C820" s="84"/>
      <c r="E820" s="49"/>
      <c r="G820" s="50"/>
      <c r="H820" s="51"/>
      <c r="I820" s="85"/>
      <c r="J820" s="85"/>
      <c r="K820" s="85"/>
      <c r="L820" s="52"/>
      <c r="M820" s="52"/>
      <c r="N820" s="52"/>
    </row>
    <row r="821" ht="15.75" customHeight="1">
      <c r="A821" s="49"/>
      <c r="C821" s="84"/>
      <c r="E821" s="49"/>
      <c r="G821" s="50"/>
      <c r="H821" s="51"/>
      <c r="I821" s="85"/>
      <c r="J821" s="85"/>
      <c r="K821" s="85"/>
      <c r="L821" s="52"/>
      <c r="M821" s="52"/>
      <c r="N821" s="52"/>
    </row>
    <row r="822" ht="15.75" customHeight="1">
      <c r="A822" s="49"/>
      <c r="C822" s="84"/>
      <c r="E822" s="49"/>
      <c r="G822" s="50"/>
      <c r="H822" s="51"/>
      <c r="I822" s="85"/>
      <c r="J822" s="85"/>
      <c r="K822" s="85"/>
      <c r="L822" s="52"/>
      <c r="M822" s="52"/>
      <c r="N822" s="52"/>
    </row>
    <row r="823" ht="15.75" customHeight="1">
      <c r="A823" s="49"/>
      <c r="C823" s="84"/>
      <c r="E823" s="49"/>
      <c r="G823" s="50"/>
      <c r="H823" s="51"/>
      <c r="I823" s="85"/>
      <c r="J823" s="85"/>
      <c r="K823" s="85"/>
      <c r="L823" s="52"/>
      <c r="M823" s="52"/>
      <c r="N823" s="52"/>
    </row>
    <row r="824" ht="15.75" customHeight="1">
      <c r="A824" s="49"/>
      <c r="C824" s="84"/>
      <c r="E824" s="49"/>
      <c r="G824" s="50"/>
      <c r="H824" s="51"/>
      <c r="I824" s="85"/>
      <c r="J824" s="85"/>
      <c r="K824" s="85"/>
      <c r="L824" s="52"/>
      <c r="M824" s="52"/>
      <c r="N824" s="52"/>
    </row>
    <row r="825" ht="15.75" customHeight="1">
      <c r="A825" s="49"/>
      <c r="C825" s="84"/>
      <c r="E825" s="49"/>
      <c r="G825" s="50"/>
      <c r="H825" s="51"/>
      <c r="I825" s="85"/>
      <c r="J825" s="85"/>
      <c r="K825" s="85"/>
      <c r="L825" s="52"/>
      <c r="M825" s="52"/>
      <c r="N825" s="52"/>
    </row>
    <row r="826" ht="15.75" customHeight="1">
      <c r="A826" s="49"/>
      <c r="C826" s="84"/>
      <c r="E826" s="49"/>
      <c r="G826" s="50"/>
      <c r="H826" s="51"/>
      <c r="I826" s="85"/>
      <c r="J826" s="85"/>
      <c r="K826" s="85"/>
      <c r="L826" s="52"/>
      <c r="M826" s="52"/>
      <c r="N826" s="52"/>
    </row>
    <row r="827" ht="15.75" customHeight="1">
      <c r="A827" s="49"/>
      <c r="C827" s="84"/>
      <c r="E827" s="49"/>
      <c r="G827" s="50"/>
      <c r="H827" s="51"/>
      <c r="I827" s="85"/>
      <c r="J827" s="85"/>
      <c r="K827" s="85"/>
      <c r="L827" s="52"/>
      <c r="M827" s="52"/>
      <c r="N827" s="52"/>
    </row>
    <row r="828" ht="15.75" customHeight="1">
      <c r="A828" s="49"/>
      <c r="C828" s="84"/>
      <c r="E828" s="49"/>
      <c r="G828" s="50"/>
      <c r="H828" s="51"/>
      <c r="I828" s="85"/>
      <c r="J828" s="85"/>
      <c r="K828" s="85"/>
      <c r="L828" s="52"/>
      <c r="M828" s="52"/>
      <c r="N828" s="52"/>
    </row>
    <row r="829" ht="15.75" customHeight="1">
      <c r="A829" s="49"/>
      <c r="C829" s="84"/>
      <c r="E829" s="49"/>
      <c r="G829" s="50"/>
      <c r="H829" s="51"/>
      <c r="I829" s="85"/>
      <c r="J829" s="85"/>
      <c r="K829" s="85"/>
      <c r="L829" s="52"/>
      <c r="M829" s="52"/>
      <c r="N829" s="52"/>
    </row>
    <row r="830" ht="15.75" customHeight="1">
      <c r="A830" s="49"/>
      <c r="C830" s="84"/>
      <c r="E830" s="49"/>
      <c r="G830" s="50"/>
      <c r="H830" s="51"/>
      <c r="I830" s="85"/>
      <c r="J830" s="85"/>
      <c r="K830" s="85"/>
      <c r="L830" s="52"/>
      <c r="M830" s="52"/>
      <c r="N830" s="52"/>
    </row>
    <row r="831" ht="15.75" customHeight="1">
      <c r="A831" s="49"/>
      <c r="C831" s="84"/>
      <c r="E831" s="49"/>
      <c r="G831" s="50"/>
      <c r="H831" s="51"/>
      <c r="I831" s="85"/>
      <c r="J831" s="85"/>
      <c r="K831" s="85"/>
      <c r="L831" s="52"/>
      <c r="M831" s="52"/>
      <c r="N831" s="52"/>
    </row>
    <row r="832" ht="15.75" customHeight="1">
      <c r="A832" s="49"/>
      <c r="C832" s="84"/>
      <c r="E832" s="49"/>
      <c r="G832" s="50"/>
      <c r="H832" s="51"/>
      <c r="I832" s="85"/>
      <c r="J832" s="85"/>
      <c r="K832" s="85"/>
      <c r="L832" s="52"/>
      <c r="M832" s="52"/>
      <c r="N832" s="52"/>
    </row>
    <row r="833" ht="15.75" customHeight="1">
      <c r="A833" s="49"/>
      <c r="C833" s="84"/>
      <c r="E833" s="49"/>
      <c r="G833" s="50"/>
      <c r="H833" s="51"/>
      <c r="I833" s="85"/>
      <c r="J833" s="85"/>
      <c r="K833" s="85"/>
      <c r="L833" s="52"/>
      <c r="M833" s="52"/>
      <c r="N833" s="52"/>
    </row>
    <row r="834" ht="15.75" customHeight="1">
      <c r="A834" s="49"/>
      <c r="C834" s="84"/>
      <c r="E834" s="49"/>
      <c r="G834" s="50"/>
      <c r="H834" s="51"/>
      <c r="I834" s="85"/>
      <c r="J834" s="85"/>
      <c r="K834" s="85"/>
      <c r="L834" s="52"/>
      <c r="M834" s="52"/>
      <c r="N834" s="52"/>
    </row>
    <row r="835" ht="15.75" customHeight="1">
      <c r="A835" s="49"/>
      <c r="C835" s="84"/>
      <c r="E835" s="49"/>
      <c r="G835" s="50"/>
      <c r="H835" s="51"/>
      <c r="I835" s="85"/>
      <c r="J835" s="85"/>
      <c r="K835" s="85"/>
      <c r="L835" s="52"/>
      <c r="M835" s="52"/>
      <c r="N835" s="52"/>
    </row>
    <row r="836" ht="15.75" customHeight="1">
      <c r="A836" s="49"/>
      <c r="C836" s="84"/>
      <c r="E836" s="49"/>
      <c r="G836" s="50"/>
      <c r="H836" s="51"/>
      <c r="I836" s="85"/>
      <c r="J836" s="85"/>
      <c r="K836" s="85"/>
      <c r="L836" s="52"/>
      <c r="M836" s="52"/>
      <c r="N836" s="52"/>
    </row>
    <row r="837" ht="15.75" customHeight="1">
      <c r="A837" s="49"/>
      <c r="C837" s="84"/>
      <c r="E837" s="49"/>
      <c r="G837" s="50"/>
      <c r="H837" s="51"/>
      <c r="I837" s="85"/>
      <c r="J837" s="85"/>
      <c r="K837" s="85"/>
      <c r="L837" s="52"/>
      <c r="M837" s="52"/>
      <c r="N837" s="52"/>
    </row>
    <row r="838" ht="15.75" customHeight="1">
      <c r="A838" s="49"/>
      <c r="C838" s="84"/>
      <c r="E838" s="49"/>
      <c r="G838" s="50"/>
      <c r="H838" s="51"/>
      <c r="I838" s="85"/>
      <c r="J838" s="85"/>
      <c r="K838" s="85"/>
      <c r="L838" s="52"/>
      <c r="M838" s="52"/>
      <c r="N838" s="52"/>
    </row>
    <row r="839" ht="15.75" customHeight="1">
      <c r="A839" s="49"/>
      <c r="C839" s="84"/>
      <c r="E839" s="49"/>
      <c r="G839" s="50"/>
      <c r="H839" s="51"/>
      <c r="I839" s="85"/>
      <c r="J839" s="85"/>
      <c r="K839" s="85"/>
      <c r="L839" s="52"/>
      <c r="M839" s="52"/>
      <c r="N839" s="52"/>
    </row>
    <row r="840" ht="15.75" customHeight="1">
      <c r="A840" s="49"/>
      <c r="C840" s="84"/>
      <c r="E840" s="49"/>
      <c r="G840" s="50"/>
      <c r="H840" s="51"/>
      <c r="I840" s="85"/>
      <c r="J840" s="85"/>
      <c r="K840" s="85"/>
      <c r="L840" s="52"/>
      <c r="M840" s="52"/>
      <c r="N840" s="52"/>
    </row>
    <row r="841" ht="15.75" customHeight="1">
      <c r="A841" s="49"/>
      <c r="C841" s="84"/>
      <c r="E841" s="49"/>
      <c r="G841" s="50"/>
      <c r="H841" s="51"/>
      <c r="I841" s="85"/>
      <c r="J841" s="85"/>
      <c r="K841" s="85"/>
      <c r="L841" s="52"/>
      <c r="M841" s="52"/>
      <c r="N841" s="52"/>
    </row>
    <row r="842" ht="15.75" customHeight="1">
      <c r="A842" s="49"/>
      <c r="C842" s="84"/>
      <c r="E842" s="49"/>
      <c r="G842" s="50"/>
      <c r="H842" s="51"/>
      <c r="I842" s="85"/>
      <c r="J842" s="85"/>
      <c r="K842" s="85"/>
      <c r="L842" s="52"/>
      <c r="M842" s="52"/>
      <c r="N842" s="52"/>
    </row>
    <row r="843" ht="15.75" customHeight="1">
      <c r="A843" s="49"/>
      <c r="C843" s="84"/>
      <c r="E843" s="49"/>
      <c r="G843" s="50"/>
      <c r="H843" s="51"/>
      <c r="I843" s="85"/>
      <c r="J843" s="85"/>
      <c r="K843" s="85"/>
      <c r="L843" s="52"/>
      <c r="M843" s="52"/>
      <c r="N843" s="52"/>
    </row>
    <row r="844" ht="15.75" customHeight="1">
      <c r="A844" s="49"/>
      <c r="C844" s="84"/>
      <c r="E844" s="49"/>
      <c r="G844" s="50"/>
      <c r="H844" s="51"/>
      <c r="I844" s="85"/>
      <c r="J844" s="85"/>
      <c r="K844" s="85"/>
      <c r="L844" s="52"/>
      <c r="M844" s="52"/>
      <c r="N844" s="52"/>
    </row>
    <row r="845" ht="15.75" customHeight="1">
      <c r="A845" s="49"/>
      <c r="C845" s="84"/>
      <c r="E845" s="49"/>
      <c r="G845" s="50"/>
      <c r="H845" s="51"/>
      <c r="I845" s="85"/>
      <c r="J845" s="85"/>
      <c r="K845" s="85"/>
      <c r="L845" s="52"/>
      <c r="M845" s="52"/>
      <c r="N845" s="52"/>
    </row>
    <row r="846" ht="15.75" customHeight="1">
      <c r="A846" s="49"/>
      <c r="C846" s="84"/>
      <c r="E846" s="49"/>
      <c r="G846" s="50"/>
      <c r="H846" s="51"/>
      <c r="I846" s="85"/>
      <c r="J846" s="85"/>
      <c r="K846" s="85"/>
      <c r="L846" s="52"/>
      <c r="M846" s="52"/>
      <c r="N846" s="52"/>
    </row>
    <row r="847" ht="15.75" customHeight="1">
      <c r="A847" s="49"/>
      <c r="C847" s="84"/>
      <c r="E847" s="49"/>
      <c r="G847" s="50"/>
      <c r="H847" s="51"/>
      <c r="I847" s="85"/>
      <c r="J847" s="85"/>
      <c r="K847" s="85"/>
      <c r="L847" s="52"/>
      <c r="M847" s="52"/>
      <c r="N847" s="52"/>
    </row>
    <row r="848" ht="15.75" customHeight="1">
      <c r="A848" s="49"/>
      <c r="C848" s="84"/>
      <c r="E848" s="49"/>
      <c r="G848" s="50"/>
      <c r="H848" s="51"/>
      <c r="I848" s="85"/>
      <c r="J848" s="85"/>
      <c r="K848" s="85"/>
      <c r="L848" s="52"/>
      <c r="M848" s="52"/>
      <c r="N848" s="52"/>
    </row>
    <row r="849" ht="15.75" customHeight="1">
      <c r="A849" s="49"/>
      <c r="C849" s="84"/>
      <c r="E849" s="49"/>
      <c r="G849" s="50"/>
      <c r="H849" s="51"/>
      <c r="I849" s="85"/>
      <c r="J849" s="85"/>
      <c r="K849" s="85"/>
      <c r="L849" s="52"/>
      <c r="M849" s="52"/>
      <c r="N849" s="52"/>
    </row>
    <row r="850" ht="15.75" customHeight="1">
      <c r="A850" s="49"/>
      <c r="C850" s="84"/>
      <c r="E850" s="49"/>
      <c r="G850" s="50"/>
      <c r="H850" s="51"/>
      <c r="I850" s="85"/>
      <c r="J850" s="85"/>
      <c r="K850" s="85"/>
      <c r="L850" s="52"/>
      <c r="M850" s="52"/>
      <c r="N850" s="52"/>
    </row>
    <row r="851" ht="15.75" customHeight="1">
      <c r="A851" s="49"/>
      <c r="C851" s="84"/>
      <c r="E851" s="49"/>
      <c r="G851" s="50"/>
      <c r="H851" s="51"/>
      <c r="I851" s="85"/>
      <c r="J851" s="85"/>
      <c r="K851" s="85"/>
      <c r="L851" s="52"/>
      <c r="M851" s="52"/>
      <c r="N851" s="52"/>
    </row>
    <row r="852" ht="15.75" customHeight="1">
      <c r="A852" s="49"/>
      <c r="C852" s="84"/>
      <c r="E852" s="49"/>
      <c r="G852" s="50"/>
      <c r="H852" s="51"/>
      <c r="I852" s="85"/>
      <c r="J852" s="85"/>
      <c r="K852" s="85"/>
      <c r="L852" s="52"/>
      <c r="M852" s="52"/>
      <c r="N852" s="52"/>
    </row>
    <row r="853" ht="15.75" customHeight="1">
      <c r="A853" s="49"/>
      <c r="C853" s="84"/>
      <c r="E853" s="49"/>
      <c r="G853" s="50"/>
      <c r="H853" s="51"/>
      <c r="I853" s="85"/>
      <c r="J853" s="85"/>
      <c r="K853" s="85"/>
      <c r="L853" s="52"/>
      <c r="M853" s="52"/>
      <c r="N853" s="52"/>
    </row>
    <row r="854" ht="15.75" customHeight="1">
      <c r="A854" s="49"/>
      <c r="C854" s="84"/>
      <c r="E854" s="49"/>
      <c r="G854" s="50"/>
      <c r="H854" s="51"/>
      <c r="I854" s="85"/>
      <c r="J854" s="85"/>
      <c r="K854" s="85"/>
      <c r="L854" s="52"/>
      <c r="M854" s="52"/>
      <c r="N854" s="52"/>
    </row>
    <row r="855" ht="15.75" customHeight="1">
      <c r="A855" s="49"/>
      <c r="C855" s="84"/>
      <c r="E855" s="49"/>
      <c r="G855" s="50"/>
      <c r="H855" s="51"/>
      <c r="I855" s="85"/>
      <c r="J855" s="85"/>
      <c r="K855" s="85"/>
      <c r="L855" s="52"/>
      <c r="M855" s="52"/>
      <c r="N855" s="52"/>
    </row>
    <row r="856" ht="15.75" customHeight="1">
      <c r="A856" s="49"/>
      <c r="C856" s="84"/>
      <c r="E856" s="49"/>
      <c r="G856" s="50"/>
      <c r="H856" s="51"/>
      <c r="I856" s="85"/>
      <c r="J856" s="85"/>
      <c r="K856" s="85"/>
      <c r="L856" s="52"/>
      <c r="M856" s="52"/>
      <c r="N856" s="52"/>
    </row>
    <row r="857" ht="15.75" customHeight="1">
      <c r="A857" s="49"/>
      <c r="C857" s="84"/>
      <c r="E857" s="49"/>
      <c r="G857" s="50"/>
      <c r="H857" s="51"/>
      <c r="I857" s="85"/>
      <c r="J857" s="85"/>
      <c r="K857" s="85"/>
      <c r="L857" s="52"/>
      <c r="M857" s="52"/>
      <c r="N857" s="52"/>
    </row>
    <row r="858" ht="15.75" customHeight="1">
      <c r="A858" s="49"/>
      <c r="C858" s="84"/>
      <c r="E858" s="49"/>
      <c r="G858" s="50"/>
      <c r="H858" s="51"/>
      <c r="I858" s="85"/>
      <c r="J858" s="85"/>
      <c r="K858" s="85"/>
      <c r="L858" s="52"/>
      <c r="M858" s="52"/>
      <c r="N858" s="52"/>
    </row>
    <row r="859" ht="15.75" customHeight="1">
      <c r="A859" s="49"/>
      <c r="C859" s="84"/>
      <c r="E859" s="49"/>
      <c r="G859" s="50"/>
      <c r="H859" s="51"/>
      <c r="I859" s="85"/>
      <c r="J859" s="85"/>
      <c r="K859" s="85"/>
      <c r="L859" s="52"/>
      <c r="M859" s="52"/>
      <c r="N859" s="52"/>
    </row>
    <row r="860" ht="15.75" customHeight="1">
      <c r="A860" s="49"/>
      <c r="C860" s="84"/>
      <c r="E860" s="49"/>
      <c r="G860" s="50"/>
      <c r="H860" s="51"/>
      <c r="I860" s="85"/>
      <c r="J860" s="85"/>
      <c r="K860" s="85"/>
      <c r="L860" s="52"/>
      <c r="M860" s="52"/>
      <c r="N860" s="52"/>
    </row>
    <row r="861" ht="15.75" customHeight="1">
      <c r="A861" s="49"/>
      <c r="C861" s="84"/>
      <c r="E861" s="49"/>
      <c r="G861" s="50"/>
      <c r="H861" s="51"/>
      <c r="I861" s="85"/>
      <c r="J861" s="85"/>
      <c r="K861" s="85"/>
      <c r="L861" s="52"/>
      <c r="M861" s="52"/>
      <c r="N861" s="52"/>
    </row>
    <row r="862" ht="15.75" customHeight="1">
      <c r="A862" s="49"/>
      <c r="C862" s="84"/>
      <c r="E862" s="49"/>
      <c r="G862" s="50"/>
      <c r="H862" s="51"/>
      <c r="I862" s="85"/>
      <c r="J862" s="85"/>
      <c r="K862" s="85"/>
      <c r="L862" s="52"/>
      <c r="M862" s="52"/>
      <c r="N862" s="52"/>
    </row>
    <row r="863" ht="15.75" customHeight="1">
      <c r="A863" s="49"/>
      <c r="C863" s="84"/>
      <c r="E863" s="49"/>
      <c r="G863" s="50"/>
      <c r="H863" s="51"/>
      <c r="I863" s="85"/>
      <c r="J863" s="85"/>
      <c r="K863" s="85"/>
      <c r="L863" s="52"/>
      <c r="M863" s="52"/>
      <c r="N863" s="52"/>
    </row>
    <row r="864" ht="15.75" customHeight="1">
      <c r="A864" s="49"/>
      <c r="C864" s="84"/>
      <c r="E864" s="49"/>
      <c r="G864" s="50"/>
      <c r="H864" s="51"/>
      <c r="I864" s="85"/>
      <c r="J864" s="85"/>
      <c r="K864" s="85"/>
      <c r="L864" s="52"/>
      <c r="M864" s="52"/>
      <c r="N864" s="52"/>
    </row>
    <row r="865" ht="15.75" customHeight="1">
      <c r="A865" s="49"/>
      <c r="C865" s="84"/>
      <c r="E865" s="49"/>
      <c r="G865" s="50"/>
      <c r="H865" s="51"/>
      <c r="I865" s="85"/>
      <c r="J865" s="85"/>
      <c r="K865" s="85"/>
      <c r="L865" s="52"/>
      <c r="M865" s="52"/>
      <c r="N865" s="52"/>
    </row>
    <row r="866" ht="15.75" customHeight="1">
      <c r="A866" s="49"/>
      <c r="C866" s="84"/>
      <c r="E866" s="49"/>
      <c r="G866" s="50"/>
      <c r="H866" s="51"/>
      <c r="I866" s="85"/>
      <c r="J866" s="85"/>
      <c r="K866" s="85"/>
      <c r="L866" s="52"/>
      <c r="M866" s="52"/>
      <c r="N866" s="52"/>
    </row>
    <row r="867" ht="15.75" customHeight="1">
      <c r="A867" s="49"/>
      <c r="C867" s="84"/>
      <c r="E867" s="49"/>
      <c r="G867" s="50"/>
      <c r="H867" s="51"/>
      <c r="I867" s="85"/>
      <c r="J867" s="85"/>
      <c r="K867" s="85"/>
      <c r="L867" s="52"/>
      <c r="M867" s="52"/>
      <c r="N867" s="52"/>
    </row>
    <row r="868" ht="15.75" customHeight="1">
      <c r="A868" s="49"/>
      <c r="C868" s="84"/>
      <c r="E868" s="49"/>
      <c r="G868" s="50"/>
      <c r="H868" s="51"/>
      <c r="I868" s="85"/>
      <c r="J868" s="85"/>
      <c r="K868" s="85"/>
      <c r="L868" s="52"/>
      <c r="M868" s="52"/>
      <c r="N868" s="52"/>
    </row>
    <row r="869" ht="15.75" customHeight="1">
      <c r="A869" s="49"/>
      <c r="C869" s="84"/>
      <c r="E869" s="49"/>
      <c r="G869" s="50"/>
      <c r="H869" s="51"/>
      <c r="I869" s="85"/>
      <c r="J869" s="85"/>
      <c r="K869" s="85"/>
      <c r="L869" s="52"/>
      <c r="M869" s="52"/>
      <c r="N869" s="52"/>
    </row>
    <row r="870" ht="15.75" customHeight="1">
      <c r="A870" s="49"/>
      <c r="C870" s="84"/>
      <c r="E870" s="49"/>
      <c r="G870" s="50"/>
      <c r="H870" s="51"/>
      <c r="I870" s="85"/>
      <c r="J870" s="85"/>
      <c r="K870" s="85"/>
      <c r="L870" s="52"/>
      <c r="M870" s="52"/>
      <c r="N870" s="52"/>
    </row>
    <row r="871" ht="15.75" customHeight="1">
      <c r="A871" s="49"/>
      <c r="C871" s="84"/>
      <c r="E871" s="49"/>
      <c r="G871" s="50"/>
      <c r="H871" s="51"/>
      <c r="I871" s="85"/>
      <c r="J871" s="85"/>
      <c r="K871" s="85"/>
      <c r="L871" s="52"/>
      <c r="M871" s="52"/>
      <c r="N871" s="52"/>
    </row>
    <row r="872" ht="15.75" customHeight="1">
      <c r="A872" s="49"/>
      <c r="C872" s="84"/>
      <c r="E872" s="49"/>
      <c r="G872" s="50"/>
      <c r="H872" s="51"/>
      <c r="I872" s="85"/>
      <c r="J872" s="85"/>
      <c r="K872" s="85"/>
      <c r="L872" s="52"/>
      <c r="M872" s="52"/>
      <c r="N872" s="52"/>
    </row>
    <row r="873" ht="15.75" customHeight="1">
      <c r="A873" s="49"/>
      <c r="C873" s="84"/>
      <c r="E873" s="49"/>
      <c r="G873" s="50"/>
      <c r="H873" s="51"/>
      <c r="I873" s="85"/>
      <c r="J873" s="85"/>
      <c r="K873" s="85"/>
      <c r="L873" s="52"/>
      <c r="M873" s="52"/>
      <c r="N873" s="52"/>
    </row>
    <row r="874" ht="15.75" customHeight="1">
      <c r="A874" s="49"/>
      <c r="C874" s="84"/>
      <c r="E874" s="49"/>
      <c r="G874" s="50"/>
      <c r="H874" s="51"/>
      <c r="I874" s="85"/>
      <c r="J874" s="85"/>
      <c r="K874" s="85"/>
      <c r="L874" s="52"/>
      <c r="M874" s="52"/>
      <c r="N874" s="52"/>
    </row>
    <row r="875" ht="15.75" customHeight="1">
      <c r="A875" s="49"/>
      <c r="C875" s="84"/>
      <c r="E875" s="49"/>
      <c r="G875" s="50"/>
      <c r="H875" s="51"/>
      <c r="I875" s="85"/>
      <c r="J875" s="85"/>
      <c r="K875" s="85"/>
      <c r="L875" s="52"/>
      <c r="M875" s="52"/>
      <c r="N875" s="52"/>
    </row>
    <row r="876" ht="15.75" customHeight="1">
      <c r="A876" s="49"/>
      <c r="C876" s="84"/>
      <c r="E876" s="49"/>
      <c r="G876" s="50"/>
      <c r="H876" s="51"/>
      <c r="I876" s="85"/>
      <c r="J876" s="85"/>
      <c r="K876" s="85"/>
      <c r="L876" s="52"/>
      <c r="M876" s="52"/>
      <c r="N876" s="52"/>
    </row>
    <row r="877" ht="15.75" customHeight="1">
      <c r="A877" s="49"/>
      <c r="C877" s="84"/>
      <c r="E877" s="49"/>
      <c r="G877" s="50"/>
      <c r="H877" s="51"/>
      <c r="I877" s="85"/>
      <c r="J877" s="85"/>
      <c r="K877" s="85"/>
      <c r="L877" s="52"/>
      <c r="M877" s="52"/>
      <c r="N877" s="52"/>
    </row>
    <row r="878" ht="15.75" customHeight="1">
      <c r="A878" s="49"/>
      <c r="C878" s="84"/>
      <c r="E878" s="49"/>
      <c r="G878" s="50"/>
      <c r="H878" s="51"/>
      <c r="I878" s="85"/>
      <c r="J878" s="85"/>
      <c r="K878" s="85"/>
      <c r="L878" s="52"/>
      <c r="M878" s="52"/>
      <c r="N878" s="52"/>
    </row>
    <row r="879" ht="15.75" customHeight="1">
      <c r="A879" s="49"/>
      <c r="C879" s="84"/>
      <c r="E879" s="49"/>
      <c r="G879" s="50"/>
      <c r="H879" s="51"/>
      <c r="I879" s="85"/>
      <c r="J879" s="85"/>
      <c r="K879" s="85"/>
      <c r="L879" s="52"/>
      <c r="M879" s="52"/>
      <c r="N879" s="52"/>
    </row>
    <row r="880" ht="15.75" customHeight="1">
      <c r="A880" s="49"/>
      <c r="C880" s="84"/>
      <c r="E880" s="49"/>
      <c r="G880" s="50"/>
      <c r="H880" s="51"/>
      <c r="I880" s="85"/>
      <c r="J880" s="85"/>
      <c r="K880" s="85"/>
      <c r="L880" s="52"/>
      <c r="M880" s="52"/>
      <c r="N880" s="52"/>
    </row>
    <row r="881" ht="15.75" customHeight="1">
      <c r="A881" s="49"/>
      <c r="C881" s="84"/>
      <c r="E881" s="49"/>
      <c r="G881" s="50"/>
      <c r="H881" s="51"/>
      <c r="I881" s="85"/>
      <c r="J881" s="85"/>
      <c r="K881" s="85"/>
      <c r="L881" s="52"/>
      <c r="M881" s="52"/>
      <c r="N881" s="52"/>
    </row>
    <row r="882" ht="15.75" customHeight="1">
      <c r="A882" s="49"/>
      <c r="C882" s="84"/>
      <c r="E882" s="49"/>
      <c r="G882" s="50"/>
      <c r="H882" s="51"/>
      <c r="I882" s="85"/>
      <c r="J882" s="85"/>
      <c r="K882" s="85"/>
      <c r="L882" s="52"/>
      <c r="M882" s="52"/>
      <c r="N882" s="52"/>
    </row>
    <row r="883" ht="15.75" customHeight="1">
      <c r="A883" s="49"/>
      <c r="C883" s="84"/>
      <c r="E883" s="49"/>
      <c r="G883" s="50"/>
      <c r="H883" s="51"/>
      <c r="I883" s="85"/>
      <c r="J883" s="85"/>
      <c r="K883" s="85"/>
      <c r="L883" s="52"/>
      <c r="M883" s="52"/>
      <c r="N883" s="52"/>
    </row>
    <row r="884" ht="15.75" customHeight="1">
      <c r="A884" s="49"/>
      <c r="C884" s="84"/>
      <c r="E884" s="49"/>
      <c r="G884" s="50"/>
      <c r="H884" s="51"/>
      <c r="I884" s="85"/>
      <c r="J884" s="85"/>
      <c r="K884" s="85"/>
      <c r="L884" s="52"/>
      <c r="M884" s="52"/>
      <c r="N884" s="52"/>
    </row>
    <row r="885" ht="15.75" customHeight="1">
      <c r="A885" s="49"/>
      <c r="C885" s="84"/>
      <c r="E885" s="49"/>
      <c r="G885" s="50"/>
      <c r="H885" s="51"/>
      <c r="I885" s="85"/>
      <c r="J885" s="85"/>
      <c r="K885" s="85"/>
      <c r="L885" s="52"/>
      <c r="M885" s="52"/>
      <c r="N885" s="52"/>
    </row>
    <row r="886" ht="15.75" customHeight="1">
      <c r="A886" s="49"/>
      <c r="C886" s="84"/>
      <c r="E886" s="49"/>
      <c r="G886" s="50"/>
      <c r="H886" s="51"/>
      <c r="I886" s="85"/>
      <c r="J886" s="85"/>
      <c r="K886" s="85"/>
      <c r="L886" s="52"/>
      <c r="M886" s="52"/>
      <c r="N886" s="52"/>
    </row>
    <row r="887" ht="15.75" customHeight="1">
      <c r="A887" s="49"/>
      <c r="C887" s="84"/>
      <c r="E887" s="49"/>
      <c r="G887" s="50"/>
      <c r="H887" s="51"/>
      <c r="I887" s="85"/>
      <c r="J887" s="85"/>
      <c r="K887" s="85"/>
      <c r="L887" s="52"/>
      <c r="M887" s="52"/>
      <c r="N887" s="52"/>
    </row>
    <row r="888" ht="15.75" customHeight="1">
      <c r="A888" s="49"/>
      <c r="C888" s="84"/>
      <c r="E888" s="49"/>
      <c r="G888" s="50"/>
      <c r="H888" s="51"/>
      <c r="I888" s="85"/>
      <c r="J888" s="85"/>
      <c r="K888" s="85"/>
      <c r="L888" s="52"/>
      <c r="M888" s="52"/>
      <c r="N888" s="52"/>
    </row>
    <row r="889" ht="15.75" customHeight="1">
      <c r="A889" s="49"/>
      <c r="C889" s="84"/>
      <c r="E889" s="49"/>
      <c r="G889" s="50"/>
      <c r="H889" s="51"/>
      <c r="I889" s="85"/>
      <c r="J889" s="85"/>
      <c r="K889" s="85"/>
      <c r="L889" s="52"/>
      <c r="M889" s="52"/>
      <c r="N889" s="52"/>
    </row>
    <row r="890" ht="15.75" customHeight="1">
      <c r="A890" s="49"/>
      <c r="C890" s="84"/>
      <c r="E890" s="49"/>
      <c r="G890" s="50"/>
      <c r="H890" s="51"/>
      <c r="I890" s="85"/>
      <c r="J890" s="85"/>
      <c r="K890" s="85"/>
      <c r="L890" s="52"/>
      <c r="M890" s="52"/>
      <c r="N890" s="52"/>
    </row>
    <row r="891" ht="15.75" customHeight="1">
      <c r="A891" s="49"/>
      <c r="C891" s="84"/>
      <c r="E891" s="49"/>
      <c r="G891" s="50"/>
      <c r="H891" s="51"/>
      <c r="I891" s="85"/>
      <c r="J891" s="85"/>
      <c r="K891" s="85"/>
      <c r="L891" s="52"/>
      <c r="M891" s="52"/>
      <c r="N891" s="52"/>
    </row>
    <row r="892" ht="15.75" customHeight="1">
      <c r="A892" s="49"/>
      <c r="C892" s="84"/>
      <c r="E892" s="49"/>
      <c r="G892" s="50"/>
      <c r="H892" s="51"/>
      <c r="I892" s="85"/>
      <c r="J892" s="85"/>
      <c r="K892" s="85"/>
      <c r="L892" s="52"/>
      <c r="M892" s="52"/>
      <c r="N892" s="52"/>
    </row>
    <row r="893" ht="15.75" customHeight="1">
      <c r="A893" s="49"/>
      <c r="C893" s="84"/>
      <c r="E893" s="49"/>
      <c r="G893" s="50"/>
      <c r="H893" s="51"/>
      <c r="I893" s="85"/>
      <c r="J893" s="85"/>
      <c r="K893" s="85"/>
      <c r="L893" s="52"/>
      <c r="M893" s="52"/>
      <c r="N893" s="52"/>
    </row>
    <row r="894">
      <c r="A894" s="86"/>
      <c r="C894" s="84"/>
      <c r="G894" s="50"/>
      <c r="H894" s="51"/>
      <c r="I894" s="85"/>
      <c r="J894" s="85"/>
      <c r="K894" s="85"/>
      <c r="L894" s="52"/>
      <c r="M894" s="52"/>
      <c r="N894" s="52"/>
    </row>
    <row r="895">
      <c r="A895" s="86"/>
      <c r="C895" s="84"/>
      <c r="G895" s="50"/>
      <c r="H895" s="51"/>
      <c r="I895" s="85"/>
      <c r="J895" s="85"/>
      <c r="K895" s="85"/>
      <c r="L895" s="52"/>
      <c r="M895" s="52"/>
      <c r="N895" s="52"/>
    </row>
    <row r="896">
      <c r="A896" s="86"/>
      <c r="C896" s="84"/>
      <c r="G896" s="50"/>
      <c r="H896" s="51"/>
      <c r="I896" s="85"/>
      <c r="J896" s="85"/>
      <c r="K896" s="85"/>
      <c r="L896" s="52"/>
      <c r="M896" s="52"/>
      <c r="N896" s="52"/>
    </row>
    <row r="897">
      <c r="A897" s="86"/>
      <c r="C897" s="84"/>
      <c r="G897" s="50"/>
      <c r="H897" s="51"/>
      <c r="I897" s="85"/>
      <c r="J897" s="85"/>
      <c r="K897" s="85"/>
      <c r="L897" s="52"/>
      <c r="M897" s="52"/>
      <c r="N897" s="52"/>
    </row>
    <row r="898">
      <c r="A898" s="86"/>
      <c r="C898" s="84"/>
      <c r="G898" s="50"/>
      <c r="H898" s="51"/>
      <c r="I898" s="85"/>
      <c r="J898" s="85"/>
      <c r="K898" s="85"/>
      <c r="L898" s="52"/>
      <c r="M898" s="52"/>
      <c r="N898" s="52"/>
    </row>
    <row r="899">
      <c r="A899" s="86"/>
      <c r="C899" s="84"/>
      <c r="G899" s="50"/>
      <c r="H899" s="51"/>
      <c r="I899" s="85"/>
      <c r="J899" s="85"/>
      <c r="K899" s="85"/>
      <c r="L899" s="52"/>
      <c r="M899" s="52"/>
      <c r="N899" s="52"/>
    </row>
    <row r="900">
      <c r="A900" s="86"/>
      <c r="C900" s="84"/>
      <c r="G900" s="50"/>
      <c r="H900" s="51"/>
      <c r="I900" s="85"/>
      <c r="J900" s="85"/>
      <c r="K900" s="85"/>
      <c r="L900" s="52"/>
      <c r="M900" s="52"/>
      <c r="N900" s="52"/>
    </row>
    <row r="901">
      <c r="A901" s="86"/>
      <c r="C901" s="84"/>
      <c r="G901" s="50"/>
      <c r="H901" s="51"/>
      <c r="I901" s="85"/>
      <c r="J901" s="85"/>
      <c r="K901" s="85"/>
      <c r="L901" s="52"/>
      <c r="M901" s="52"/>
      <c r="N901" s="52"/>
    </row>
    <row r="902">
      <c r="A902" s="86"/>
      <c r="C902" s="84"/>
      <c r="G902" s="50"/>
      <c r="H902" s="51"/>
      <c r="I902" s="85"/>
      <c r="J902" s="85"/>
      <c r="K902" s="85"/>
      <c r="L902" s="52"/>
      <c r="M902" s="52"/>
      <c r="N902" s="52"/>
    </row>
    <row r="903">
      <c r="A903" s="86"/>
      <c r="C903" s="84"/>
      <c r="G903" s="50"/>
      <c r="H903" s="51"/>
      <c r="I903" s="85"/>
      <c r="J903" s="85"/>
      <c r="K903" s="85"/>
      <c r="L903" s="52"/>
      <c r="M903" s="52"/>
      <c r="N903" s="52"/>
    </row>
    <row r="904">
      <c r="A904" s="86"/>
      <c r="C904" s="84"/>
      <c r="G904" s="50"/>
      <c r="H904" s="51"/>
      <c r="I904" s="85"/>
      <c r="J904" s="85"/>
      <c r="K904" s="85"/>
      <c r="L904" s="52"/>
      <c r="M904" s="52"/>
      <c r="N904" s="52"/>
    </row>
    <row r="905">
      <c r="A905" s="86"/>
      <c r="C905" s="84"/>
      <c r="G905" s="50"/>
      <c r="H905" s="51"/>
      <c r="I905" s="85"/>
      <c r="J905" s="85"/>
      <c r="K905" s="85"/>
      <c r="L905" s="52"/>
      <c r="M905" s="52"/>
      <c r="N905" s="52"/>
    </row>
    <row r="906">
      <c r="A906" s="86"/>
      <c r="C906" s="84"/>
      <c r="G906" s="50"/>
      <c r="H906" s="51"/>
      <c r="I906" s="85"/>
      <c r="J906" s="85"/>
      <c r="K906" s="85"/>
      <c r="L906" s="52"/>
      <c r="M906" s="52"/>
      <c r="N906" s="52"/>
    </row>
    <row r="907">
      <c r="A907" s="86"/>
      <c r="C907" s="84"/>
      <c r="G907" s="50"/>
      <c r="H907" s="51"/>
      <c r="I907" s="85"/>
      <c r="J907" s="85"/>
      <c r="K907" s="85"/>
      <c r="L907" s="52"/>
      <c r="M907" s="52"/>
      <c r="N907" s="52"/>
    </row>
    <row r="908">
      <c r="A908" s="86"/>
      <c r="C908" s="84"/>
      <c r="G908" s="50"/>
      <c r="H908" s="51"/>
      <c r="I908" s="85"/>
      <c r="J908" s="85"/>
      <c r="K908" s="85"/>
      <c r="L908" s="52"/>
      <c r="M908" s="52"/>
      <c r="N908" s="52"/>
    </row>
    <row r="909">
      <c r="A909" s="86"/>
      <c r="C909" s="84"/>
      <c r="G909" s="50"/>
      <c r="H909" s="51"/>
      <c r="I909" s="85"/>
      <c r="J909" s="85"/>
      <c r="K909" s="85"/>
      <c r="L909" s="52"/>
      <c r="M909" s="52"/>
      <c r="N909" s="52"/>
    </row>
    <row r="910">
      <c r="A910" s="86"/>
      <c r="C910" s="84"/>
      <c r="G910" s="50"/>
      <c r="H910" s="51"/>
      <c r="I910" s="85"/>
      <c r="J910" s="85"/>
      <c r="K910" s="85"/>
      <c r="L910" s="52"/>
      <c r="M910" s="52"/>
      <c r="N910" s="52"/>
    </row>
    <row r="911">
      <c r="A911" s="86"/>
      <c r="C911" s="84"/>
      <c r="G911" s="50"/>
      <c r="H911" s="51"/>
      <c r="I911" s="85"/>
      <c r="J911" s="85"/>
      <c r="K911" s="85"/>
      <c r="L911" s="52"/>
      <c r="M911" s="52"/>
      <c r="N911" s="52"/>
    </row>
    <row r="912">
      <c r="A912" s="86"/>
      <c r="C912" s="84"/>
      <c r="G912" s="50"/>
      <c r="H912" s="51"/>
      <c r="I912" s="85"/>
      <c r="J912" s="85"/>
      <c r="K912" s="85"/>
      <c r="L912" s="52"/>
      <c r="M912" s="52"/>
      <c r="N912" s="52"/>
    </row>
    <row r="913">
      <c r="A913" s="86"/>
      <c r="C913" s="84"/>
      <c r="G913" s="50"/>
      <c r="H913" s="51"/>
      <c r="I913" s="85"/>
      <c r="J913" s="85"/>
      <c r="K913" s="85"/>
      <c r="L913" s="52"/>
      <c r="M913" s="52"/>
      <c r="N913" s="52"/>
    </row>
    <row r="914">
      <c r="A914" s="86"/>
      <c r="C914" s="84"/>
      <c r="G914" s="50"/>
      <c r="H914" s="51"/>
      <c r="I914" s="85"/>
      <c r="J914" s="85"/>
      <c r="K914" s="85"/>
      <c r="L914" s="52"/>
      <c r="M914" s="52"/>
      <c r="N914" s="52"/>
    </row>
    <row r="915">
      <c r="A915" s="86"/>
      <c r="C915" s="84"/>
      <c r="G915" s="50"/>
      <c r="H915" s="51"/>
      <c r="I915" s="85"/>
      <c r="J915" s="85"/>
      <c r="K915" s="85"/>
      <c r="L915" s="52"/>
      <c r="M915" s="52"/>
      <c r="N915" s="52"/>
    </row>
  </sheetData>
  <autoFilter ref="$A$1:$O$327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.29"/>
    <col customWidth="1" min="3" max="3" width="4.14"/>
    <col customWidth="1" min="4" max="4" width="3.14"/>
    <col customWidth="1" min="5" max="5" width="31.29"/>
    <col customWidth="1" min="6" max="6" width="11.0"/>
    <col customWidth="1" min="7" max="7" width="6.29"/>
    <col customWidth="1" min="8" max="22" width="8.71"/>
  </cols>
  <sheetData>
    <row r="1">
      <c r="A1" s="64" t="s">
        <v>0</v>
      </c>
      <c r="B1" s="65" t="s">
        <v>1</v>
      </c>
      <c r="C1" s="67" t="s">
        <v>3</v>
      </c>
      <c r="D1" s="68" t="s">
        <v>4</v>
      </c>
      <c r="E1" s="69" t="s">
        <v>5</v>
      </c>
      <c r="F1" s="70" t="s">
        <v>6</v>
      </c>
      <c r="G1" s="5" t="s">
        <v>7</v>
      </c>
    </row>
    <row r="2">
      <c r="A2" s="13" t="s">
        <v>1729</v>
      </c>
      <c r="B2" s="9" t="str">
        <f t="shared" ref="B2:B12" si="1">LEFT(A2,FIND(".",A2))</f>
        <v>Мт.</v>
      </c>
      <c r="C2" s="11" t="str">
        <f t="shared" ref="C2:C12" si="2">MID(A2,FIND(".",A2)+2,FIND(" ",RIGHT(A2,LEN(A2)-FIND(".",A2)-1))-1)</f>
        <v>116</v>
      </c>
      <c r="D2" s="9"/>
      <c r="E2" s="13" t="s">
        <v>1743</v>
      </c>
      <c r="F2" s="14"/>
      <c r="G2" s="15">
        <v>1.0</v>
      </c>
    </row>
    <row r="3">
      <c r="A3" s="13" t="s">
        <v>1488</v>
      </c>
      <c r="B3" s="9" t="str">
        <f t="shared" si="1"/>
        <v>Мр.</v>
      </c>
      <c r="C3" s="11" t="str">
        <f t="shared" si="2"/>
        <v>70</v>
      </c>
      <c r="D3" s="9"/>
      <c r="E3" s="13" t="s">
        <v>1489</v>
      </c>
      <c r="F3" s="14"/>
      <c r="G3" s="15">
        <v>2.0</v>
      </c>
    </row>
    <row r="4">
      <c r="A4" s="13" t="s">
        <v>1490</v>
      </c>
      <c r="B4" s="9" t="str">
        <f t="shared" si="1"/>
        <v>Мр.</v>
      </c>
      <c r="C4" s="11" t="str">
        <f t="shared" si="2"/>
        <v>71</v>
      </c>
      <c r="D4" s="9"/>
      <c r="E4" s="13" t="s">
        <v>1741</v>
      </c>
      <c r="F4" s="14"/>
      <c r="G4" s="15">
        <v>3.0</v>
      </c>
    </row>
    <row r="5">
      <c r="A5" s="13" t="s">
        <v>1336</v>
      </c>
      <c r="B5" s="9" t="str">
        <f t="shared" si="1"/>
        <v>Лк.</v>
      </c>
      <c r="C5" s="11" t="str">
        <f t="shared" si="2"/>
        <v>112</v>
      </c>
      <c r="D5" s="9"/>
      <c r="E5" s="13" t="s">
        <v>1337</v>
      </c>
      <c r="F5" s="14"/>
      <c r="G5" s="15">
        <v>4.0</v>
      </c>
    </row>
    <row r="6">
      <c r="A6" s="13" t="s">
        <v>1338</v>
      </c>
      <c r="B6" s="9" t="str">
        <f t="shared" si="1"/>
        <v>Лк.</v>
      </c>
      <c r="C6" s="11" t="str">
        <f t="shared" si="2"/>
        <v>113</v>
      </c>
      <c r="D6" s="9"/>
      <c r="E6" s="13" t="s">
        <v>1740</v>
      </c>
      <c r="F6" s="14"/>
      <c r="G6" s="15">
        <v>5.0</v>
      </c>
    </row>
    <row r="7">
      <c r="A7" s="13" t="s">
        <v>1340</v>
      </c>
      <c r="B7" s="9" t="str">
        <f t="shared" si="1"/>
        <v>Лк.</v>
      </c>
      <c r="C7" s="11" t="str">
        <f t="shared" si="2"/>
        <v>114</v>
      </c>
      <c r="D7" s="9"/>
      <c r="E7" s="13" t="s">
        <v>1341</v>
      </c>
      <c r="F7" s="14"/>
      <c r="G7" s="15">
        <v>6.0</v>
      </c>
    </row>
    <row r="8">
      <c r="A8" s="13" t="s">
        <v>1094</v>
      </c>
      <c r="B8" s="9" t="str">
        <f t="shared" si="1"/>
        <v>Йо.</v>
      </c>
      <c r="C8" s="11" t="str">
        <f t="shared" si="2"/>
        <v>63</v>
      </c>
      <c r="D8" s="9"/>
      <c r="E8" s="13" t="s">
        <v>1737</v>
      </c>
      <c r="F8" s="14"/>
      <c r="G8" s="15">
        <v>7.0</v>
      </c>
    </row>
    <row r="9">
      <c r="A9" s="13" t="s">
        <v>1095</v>
      </c>
      <c r="B9" s="9" t="str">
        <f t="shared" si="1"/>
        <v>Йо.</v>
      </c>
      <c r="C9" s="11" t="str">
        <f t="shared" si="2"/>
        <v>64</v>
      </c>
      <c r="D9" s="9"/>
      <c r="E9" s="13" t="s">
        <v>1006</v>
      </c>
      <c r="F9" s="14"/>
      <c r="G9" s="15">
        <v>8.0</v>
      </c>
    </row>
    <row r="10">
      <c r="A10" s="13" t="s">
        <v>1098</v>
      </c>
      <c r="B10" s="9" t="str">
        <f t="shared" si="1"/>
        <v>Йо.</v>
      </c>
      <c r="C10" s="11" t="str">
        <f t="shared" si="2"/>
        <v>65</v>
      </c>
      <c r="D10" s="26" t="s">
        <v>18</v>
      </c>
      <c r="E10" s="13" t="s">
        <v>1012</v>
      </c>
      <c r="F10" s="14"/>
      <c r="G10" s="15">
        <v>9.0</v>
      </c>
    </row>
    <row r="11">
      <c r="A11" s="13" t="s">
        <v>1099</v>
      </c>
      <c r="B11" s="9" t="str">
        <f t="shared" si="1"/>
        <v>Йо.</v>
      </c>
      <c r="C11" s="11" t="str">
        <f t="shared" si="2"/>
        <v>66</v>
      </c>
      <c r="D11" s="9"/>
      <c r="E11" s="13" t="s">
        <v>1014</v>
      </c>
      <c r="F11" s="14"/>
      <c r="G11" s="15">
        <v>10.0</v>
      </c>
    </row>
    <row r="12">
      <c r="A12" s="13" t="s">
        <v>1100</v>
      </c>
      <c r="B12" s="9" t="str">
        <f t="shared" si="1"/>
        <v>Йо.</v>
      </c>
      <c r="C12" s="11" t="str">
        <f t="shared" si="2"/>
        <v>67</v>
      </c>
      <c r="D12" s="9"/>
      <c r="E12" s="13" t="s">
        <v>1738</v>
      </c>
      <c r="F12" s="9"/>
      <c r="G12" s="15">
        <v>11.0</v>
      </c>
    </row>
    <row r="13" ht="15.75" customHeight="1">
      <c r="A13" s="49"/>
      <c r="C13" s="84"/>
      <c r="E13" s="49"/>
      <c r="G13" s="50"/>
    </row>
    <row r="14" ht="15.75" customHeight="1">
      <c r="A14" s="49"/>
      <c r="C14" s="84"/>
      <c r="E14" s="49"/>
      <c r="G14" s="50"/>
    </row>
    <row r="15" ht="15.75" customHeight="1">
      <c r="A15" s="49"/>
      <c r="C15" s="84"/>
      <c r="E15" s="49"/>
      <c r="G15" s="50"/>
    </row>
    <row r="16" ht="15.75" customHeight="1">
      <c r="A16" s="49"/>
      <c r="C16" s="84"/>
      <c r="E16" s="49"/>
      <c r="G16" s="50"/>
    </row>
    <row r="17" ht="15.75" customHeight="1">
      <c r="A17" s="49"/>
      <c r="C17" s="84"/>
      <c r="E17" s="49"/>
      <c r="G17" s="50"/>
    </row>
    <row r="18" ht="15.75" customHeight="1">
      <c r="A18" s="49"/>
      <c r="C18" s="84"/>
      <c r="E18" s="49"/>
      <c r="G18" s="50"/>
    </row>
    <row r="19" ht="15.75" customHeight="1">
      <c r="A19" s="49"/>
      <c r="C19" s="84"/>
      <c r="E19" s="49"/>
      <c r="G19" s="50"/>
    </row>
    <row r="20" ht="15.75" customHeight="1">
      <c r="A20" s="49"/>
      <c r="C20" s="84"/>
      <c r="E20" s="49"/>
      <c r="G20" s="50"/>
    </row>
    <row r="21" ht="15.75" customHeight="1">
      <c r="A21" s="49"/>
      <c r="C21" s="84"/>
      <c r="E21" s="49"/>
      <c r="G21" s="50"/>
    </row>
    <row r="22" ht="15.75" customHeight="1">
      <c r="A22" s="49"/>
      <c r="C22" s="84"/>
      <c r="E22" s="49"/>
      <c r="G22" s="50"/>
    </row>
    <row r="23" ht="15.75" customHeight="1">
      <c r="A23" s="49"/>
      <c r="C23" s="84"/>
      <c r="E23" s="49"/>
      <c r="G23" s="50"/>
    </row>
    <row r="24" ht="15.75" customHeight="1">
      <c r="A24" s="49"/>
      <c r="C24" s="84"/>
      <c r="E24" s="49"/>
      <c r="G24" s="50"/>
    </row>
    <row r="25" ht="15.75" customHeight="1">
      <c r="A25" s="49"/>
      <c r="C25" s="84"/>
      <c r="E25" s="49"/>
      <c r="G25" s="50"/>
    </row>
    <row r="26" ht="15.75" customHeight="1">
      <c r="A26" s="49"/>
      <c r="C26" s="84"/>
      <c r="E26" s="49"/>
      <c r="G26" s="50"/>
    </row>
    <row r="27" ht="15.75" customHeight="1">
      <c r="A27" s="49"/>
      <c r="C27" s="84"/>
      <c r="E27" s="49"/>
      <c r="G27" s="50"/>
    </row>
    <row r="28" ht="15.75" customHeight="1">
      <c r="A28" s="49"/>
      <c r="C28" s="84"/>
      <c r="E28" s="49"/>
      <c r="G28" s="50"/>
    </row>
    <row r="29" ht="15.75" customHeight="1">
      <c r="A29" s="49"/>
      <c r="C29" s="84"/>
      <c r="E29" s="49"/>
      <c r="G29" s="50"/>
    </row>
    <row r="30" ht="15.75" customHeight="1">
      <c r="A30" s="49"/>
      <c r="C30" s="84"/>
      <c r="E30" s="49"/>
      <c r="G30" s="50"/>
    </row>
    <row r="31" ht="15.75" customHeight="1">
      <c r="A31" s="49"/>
      <c r="C31" s="84"/>
      <c r="E31" s="49"/>
      <c r="G31" s="50"/>
    </row>
    <row r="32" ht="15.75" customHeight="1">
      <c r="A32" s="49"/>
      <c r="C32" s="84"/>
      <c r="E32" s="49"/>
      <c r="G32" s="50"/>
    </row>
    <row r="33" ht="15.75" customHeight="1">
      <c r="A33" s="49"/>
      <c r="C33" s="84"/>
      <c r="E33" s="49"/>
      <c r="G33" s="50"/>
    </row>
    <row r="34" ht="15.75" customHeight="1">
      <c r="A34" s="49"/>
      <c r="C34" s="84"/>
      <c r="E34" s="49"/>
      <c r="G34" s="50"/>
    </row>
    <row r="35" ht="15.75" customHeight="1">
      <c r="A35" s="49"/>
      <c r="C35" s="84"/>
      <c r="E35" s="49"/>
      <c r="G35" s="50"/>
    </row>
    <row r="36" ht="15.75" customHeight="1">
      <c r="A36" s="49"/>
      <c r="C36" s="84"/>
      <c r="E36" s="49"/>
      <c r="G36" s="50"/>
    </row>
    <row r="37" ht="15.75" customHeight="1">
      <c r="A37" s="49"/>
      <c r="C37" s="84"/>
      <c r="E37" s="49"/>
      <c r="G37" s="50"/>
    </row>
    <row r="38" ht="15.75" customHeight="1">
      <c r="A38" s="49"/>
      <c r="C38" s="84"/>
      <c r="E38" s="49"/>
      <c r="G38" s="50"/>
    </row>
    <row r="39" ht="15.75" customHeight="1">
      <c r="A39" s="49"/>
      <c r="C39" s="84"/>
      <c r="E39" s="49"/>
      <c r="G39" s="50"/>
    </row>
    <row r="40" ht="15.75" customHeight="1">
      <c r="A40" s="49"/>
      <c r="C40" s="84"/>
      <c r="E40" s="49"/>
      <c r="G40" s="50"/>
    </row>
    <row r="41" ht="15.75" customHeight="1">
      <c r="A41" s="49"/>
      <c r="C41" s="84"/>
      <c r="E41" s="49"/>
      <c r="G41" s="50"/>
    </row>
    <row r="42" ht="15.75" customHeight="1">
      <c r="A42" s="49"/>
      <c r="C42" s="84"/>
      <c r="E42" s="49"/>
      <c r="G42" s="50"/>
    </row>
    <row r="43" ht="15.75" customHeight="1">
      <c r="A43" s="49"/>
      <c r="C43" s="84"/>
      <c r="E43" s="49"/>
      <c r="G43" s="50"/>
    </row>
    <row r="44" ht="15.75" customHeight="1">
      <c r="A44" s="49"/>
      <c r="C44" s="84"/>
      <c r="E44" s="49"/>
      <c r="G44" s="50"/>
    </row>
    <row r="45" ht="15.75" customHeight="1">
      <c r="A45" s="49"/>
      <c r="C45" s="84"/>
      <c r="E45" s="49"/>
      <c r="G45" s="50"/>
    </row>
    <row r="46" ht="15.75" customHeight="1">
      <c r="A46" s="49"/>
      <c r="C46" s="84"/>
      <c r="E46" s="49"/>
      <c r="G46" s="50"/>
    </row>
    <row r="47" ht="15.75" customHeight="1">
      <c r="A47" s="49"/>
      <c r="C47" s="84"/>
      <c r="E47" s="49"/>
      <c r="G47" s="50"/>
    </row>
    <row r="48" ht="15.75" customHeight="1">
      <c r="A48" s="49"/>
      <c r="C48" s="84"/>
      <c r="E48" s="49"/>
      <c r="G48" s="50"/>
    </row>
    <row r="49" ht="15.75" customHeight="1">
      <c r="A49" s="49"/>
      <c r="C49" s="84"/>
      <c r="E49" s="49"/>
      <c r="G49" s="50"/>
    </row>
    <row r="50" ht="15.75" customHeight="1">
      <c r="A50" s="49"/>
      <c r="C50" s="84"/>
      <c r="E50" s="49"/>
      <c r="G50" s="50"/>
    </row>
    <row r="51" ht="15.75" customHeight="1">
      <c r="A51" s="49"/>
      <c r="C51" s="84"/>
      <c r="E51" s="49"/>
      <c r="G51" s="50"/>
    </row>
    <row r="52" ht="15.75" customHeight="1">
      <c r="A52" s="49"/>
      <c r="C52" s="84"/>
      <c r="E52" s="49"/>
      <c r="G52" s="50"/>
    </row>
    <row r="53" ht="15.75" customHeight="1">
      <c r="A53" s="49"/>
      <c r="C53" s="84"/>
      <c r="E53" s="49"/>
      <c r="G53" s="50"/>
    </row>
    <row r="54" ht="15.75" customHeight="1">
      <c r="A54" s="49"/>
      <c r="C54" s="84"/>
      <c r="E54" s="49"/>
      <c r="G54" s="50"/>
    </row>
    <row r="55" ht="15.75" customHeight="1">
      <c r="A55" s="49"/>
      <c r="C55" s="84"/>
      <c r="E55" s="49"/>
      <c r="G55" s="50"/>
    </row>
    <row r="56" ht="15.75" customHeight="1">
      <c r="A56" s="49"/>
      <c r="C56" s="84"/>
      <c r="E56" s="49"/>
      <c r="G56" s="50"/>
    </row>
    <row r="57" ht="15.75" customHeight="1">
      <c r="A57" s="49"/>
      <c r="C57" s="84"/>
      <c r="E57" s="49"/>
      <c r="G57" s="50"/>
    </row>
    <row r="58" ht="15.75" customHeight="1">
      <c r="A58" s="49"/>
      <c r="C58" s="84"/>
      <c r="E58" s="49"/>
      <c r="G58" s="50"/>
    </row>
    <row r="59" ht="15.75" customHeight="1">
      <c r="A59" s="49"/>
      <c r="C59" s="84"/>
      <c r="E59" s="49"/>
      <c r="G59" s="50"/>
    </row>
    <row r="60" ht="15.75" customHeight="1">
      <c r="A60" s="49"/>
      <c r="C60" s="84"/>
      <c r="E60" s="49"/>
      <c r="G60" s="50"/>
    </row>
    <row r="61" ht="15.75" customHeight="1">
      <c r="A61" s="49"/>
      <c r="C61" s="84"/>
      <c r="E61" s="49"/>
      <c r="G61" s="50"/>
    </row>
    <row r="62" ht="15.75" customHeight="1">
      <c r="A62" s="49"/>
      <c r="C62" s="84"/>
      <c r="E62" s="49"/>
      <c r="G62" s="50"/>
    </row>
    <row r="63" ht="15.75" customHeight="1">
      <c r="A63" s="49"/>
      <c r="C63" s="84"/>
      <c r="E63" s="49"/>
      <c r="G63" s="50"/>
    </row>
    <row r="64" ht="15.75" customHeight="1">
      <c r="A64" s="49"/>
      <c r="C64" s="84"/>
      <c r="E64" s="49"/>
      <c r="G64" s="50"/>
    </row>
    <row r="65" ht="15.75" customHeight="1">
      <c r="A65" s="49"/>
      <c r="C65" s="84"/>
      <c r="E65" s="49"/>
      <c r="G65" s="50"/>
    </row>
    <row r="66" ht="15.75" customHeight="1">
      <c r="A66" s="49"/>
      <c r="C66" s="84"/>
      <c r="E66" s="49"/>
      <c r="G66" s="50"/>
    </row>
    <row r="67" ht="15.75" customHeight="1">
      <c r="A67" s="49"/>
      <c r="C67" s="84"/>
      <c r="E67" s="49"/>
      <c r="G67" s="50"/>
    </row>
    <row r="68" ht="15.75" customHeight="1">
      <c r="A68" s="49"/>
      <c r="C68" s="84"/>
      <c r="E68" s="49"/>
      <c r="G68" s="50"/>
    </row>
    <row r="69" ht="15.75" customHeight="1">
      <c r="A69" s="49"/>
      <c r="C69" s="84"/>
      <c r="E69" s="49"/>
      <c r="G69" s="50"/>
    </row>
    <row r="70" ht="15.75" customHeight="1">
      <c r="A70" s="49"/>
      <c r="C70" s="84"/>
      <c r="E70" s="49"/>
      <c r="G70" s="50"/>
    </row>
    <row r="71" ht="15.75" customHeight="1">
      <c r="A71" s="49"/>
      <c r="C71" s="84"/>
      <c r="E71" s="49"/>
      <c r="G71" s="50"/>
    </row>
    <row r="72" ht="15.75" customHeight="1">
      <c r="A72" s="49"/>
      <c r="C72" s="84"/>
      <c r="E72" s="49"/>
      <c r="G72" s="50"/>
    </row>
    <row r="73" ht="15.75" customHeight="1">
      <c r="A73" s="49"/>
      <c r="C73" s="84"/>
      <c r="E73" s="49"/>
      <c r="G73" s="50"/>
    </row>
    <row r="74" ht="15.75" customHeight="1">
      <c r="A74" s="49"/>
      <c r="C74" s="84"/>
      <c r="E74" s="49"/>
      <c r="G74" s="50"/>
    </row>
    <row r="75" ht="15.75" customHeight="1">
      <c r="A75" s="49"/>
      <c r="C75" s="84"/>
      <c r="E75" s="49"/>
      <c r="G75" s="50"/>
    </row>
    <row r="76" ht="15.75" customHeight="1">
      <c r="A76" s="49"/>
      <c r="C76" s="84"/>
      <c r="E76" s="49"/>
      <c r="G76" s="50"/>
    </row>
    <row r="77" ht="15.75" customHeight="1">
      <c r="A77" s="49"/>
      <c r="C77" s="84"/>
      <c r="E77" s="49"/>
      <c r="G77" s="50"/>
    </row>
    <row r="78" ht="15.75" customHeight="1">
      <c r="A78" s="49"/>
      <c r="C78" s="84"/>
      <c r="E78" s="49"/>
      <c r="G78" s="50"/>
    </row>
    <row r="79" ht="15.75" customHeight="1">
      <c r="A79" s="49"/>
      <c r="C79" s="84"/>
      <c r="E79" s="49"/>
      <c r="G79" s="50"/>
    </row>
    <row r="80" ht="15.75" customHeight="1">
      <c r="A80" s="49"/>
      <c r="C80" s="84"/>
      <c r="E80" s="49"/>
      <c r="G80" s="50"/>
    </row>
    <row r="81" ht="15.75" customHeight="1">
      <c r="A81" s="49"/>
      <c r="C81" s="84"/>
      <c r="E81" s="49"/>
      <c r="G81" s="50"/>
    </row>
    <row r="82" ht="15.75" customHeight="1">
      <c r="A82" s="49"/>
      <c r="C82" s="84"/>
      <c r="E82" s="49"/>
      <c r="G82" s="50"/>
    </row>
    <row r="83" ht="15.75" customHeight="1">
      <c r="A83" s="49"/>
      <c r="C83" s="84"/>
      <c r="E83" s="49"/>
      <c r="G83" s="50"/>
    </row>
    <row r="84" ht="15.75" customHeight="1">
      <c r="A84" s="49"/>
      <c r="C84" s="84"/>
      <c r="E84" s="49"/>
      <c r="G84" s="50"/>
    </row>
    <row r="85" ht="15.75" customHeight="1">
      <c r="A85" s="49"/>
      <c r="C85" s="84"/>
      <c r="E85" s="49"/>
      <c r="G85" s="50"/>
    </row>
    <row r="86" ht="15.75" customHeight="1">
      <c r="A86" s="49"/>
      <c r="C86" s="84"/>
      <c r="E86" s="49"/>
      <c r="G86" s="50"/>
    </row>
    <row r="87" ht="15.75" customHeight="1">
      <c r="A87" s="49"/>
      <c r="C87" s="84"/>
      <c r="E87" s="49"/>
      <c r="G87" s="50"/>
    </row>
    <row r="88" ht="15.75" customHeight="1">
      <c r="A88" s="49"/>
      <c r="C88" s="84"/>
      <c r="E88" s="49"/>
      <c r="G88" s="50"/>
    </row>
    <row r="89" ht="15.75" customHeight="1">
      <c r="A89" s="49"/>
      <c r="C89" s="84"/>
      <c r="E89" s="49"/>
      <c r="G89" s="50"/>
    </row>
    <row r="90" ht="15.75" customHeight="1">
      <c r="A90" s="49"/>
      <c r="C90" s="84"/>
      <c r="E90" s="49"/>
      <c r="G90" s="50"/>
    </row>
    <row r="91" ht="15.75" customHeight="1">
      <c r="A91" s="49"/>
      <c r="C91" s="84"/>
      <c r="E91" s="49"/>
      <c r="G91" s="50"/>
    </row>
    <row r="92" ht="15.75" customHeight="1">
      <c r="A92" s="49"/>
      <c r="C92" s="84"/>
      <c r="E92" s="49"/>
      <c r="G92" s="50"/>
    </row>
    <row r="93" ht="15.75" customHeight="1">
      <c r="A93" s="49"/>
      <c r="C93" s="84"/>
      <c r="E93" s="49"/>
      <c r="G93" s="50"/>
    </row>
    <row r="94" ht="15.75" customHeight="1">
      <c r="A94" s="49"/>
      <c r="C94" s="84"/>
      <c r="E94" s="49"/>
      <c r="G94" s="50"/>
    </row>
    <row r="95" ht="15.75" customHeight="1">
      <c r="A95" s="49"/>
      <c r="C95" s="84"/>
      <c r="E95" s="49"/>
      <c r="G95" s="50"/>
    </row>
    <row r="96" ht="15.75" customHeight="1">
      <c r="A96" s="49"/>
      <c r="C96" s="84"/>
      <c r="E96" s="49"/>
      <c r="G96" s="50"/>
    </row>
    <row r="97" ht="15.75" customHeight="1">
      <c r="A97" s="49"/>
      <c r="C97" s="84"/>
      <c r="E97" s="49"/>
      <c r="G97" s="50"/>
    </row>
    <row r="98" ht="15.75" customHeight="1">
      <c r="A98" s="49"/>
      <c r="C98" s="84"/>
      <c r="E98" s="49"/>
      <c r="G98" s="50"/>
    </row>
    <row r="99" ht="15.75" customHeight="1">
      <c r="A99" s="49"/>
      <c r="C99" s="84"/>
      <c r="E99" s="49"/>
      <c r="G99" s="50"/>
    </row>
    <row r="100" ht="15.75" customHeight="1">
      <c r="A100" s="49"/>
      <c r="C100" s="84"/>
      <c r="E100" s="49"/>
      <c r="G100" s="50"/>
    </row>
    <row r="101" ht="15.75" customHeight="1">
      <c r="A101" s="49"/>
      <c r="C101" s="84"/>
      <c r="E101" s="49"/>
      <c r="G101" s="50"/>
    </row>
    <row r="102" ht="15.75" customHeight="1">
      <c r="A102" s="49"/>
      <c r="C102" s="84"/>
      <c r="E102" s="49"/>
      <c r="G102" s="50"/>
    </row>
    <row r="103" ht="15.75" customHeight="1">
      <c r="A103" s="49"/>
      <c r="C103" s="84"/>
      <c r="E103" s="49"/>
      <c r="G103" s="50"/>
    </row>
    <row r="104" ht="15.75" customHeight="1">
      <c r="A104" s="49"/>
      <c r="C104" s="84"/>
      <c r="E104" s="49"/>
      <c r="G104" s="50"/>
    </row>
    <row r="105" ht="15.75" customHeight="1">
      <c r="A105" s="49"/>
      <c r="C105" s="84"/>
      <c r="E105" s="49"/>
      <c r="G105" s="50"/>
    </row>
    <row r="106" ht="15.75" customHeight="1">
      <c r="A106" s="49"/>
      <c r="C106" s="84"/>
      <c r="E106" s="49"/>
      <c r="G106" s="50"/>
    </row>
    <row r="107" ht="15.75" customHeight="1">
      <c r="A107" s="49"/>
      <c r="C107" s="84"/>
      <c r="E107" s="49"/>
      <c r="G107" s="50"/>
    </row>
    <row r="108" ht="15.75" customHeight="1">
      <c r="A108" s="49"/>
      <c r="C108" s="84"/>
      <c r="E108" s="49"/>
      <c r="G108" s="50"/>
    </row>
    <row r="109" ht="15.75" customHeight="1">
      <c r="A109" s="49"/>
      <c r="C109" s="84"/>
      <c r="E109" s="49"/>
      <c r="G109" s="50"/>
    </row>
    <row r="110" ht="15.75" customHeight="1">
      <c r="A110" s="49"/>
      <c r="C110" s="84"/>
      <c r="E110" s="49"/>
      <c r="G110" s="50"/>
    </row>
    <row r="111" ht="15.75" customHeight="1">
      <c r="A111" s="49"/>
      <c r="C111" s="84"/>
      <c r="E111" s="49"/>
      <c r="G111" s="50"/>
    </row>
    <row r="112" ht="15.75" customHeight="1">
      <c r="A112" s="49"/>
      <c r="C112" s="84"/>
      <c r="E112" s="49"/>
      <c r="G112" s="50"/>
    </row>
    <row r="113" ht="15.75" customHeight="1">
      <c r="A113" s="49"/>
      <c r="C113" s="84"/>
      <c r="E113" s="49"/>
      <c r="G113" s="50"/>
    </row>
    <row r="114" ht="15.75" customHeight="1">
      <c r="A114" s="49"/>
      <c r="C114" s="84"/>
      <c r="E114" s="49"/>
      <c r="G114" s="50"/>
    </row>
    <row r="115" ht="15.75" customHeight="1">
      <c r="A115" s="49"/>
      <c r="C115" s="84"/>
      <c r="E115" s="49"/>
      <c r="G115" s="50"/>
    </row>
    <row r="116" ht="15.75" customHeight="1">
      <c r="A116" s="49"/>
      <c r="C116" s="84"/>
      <c r="E116" s="49"/>
      <c r="G116" s="50"/>
    </row>
    <row r="117" ht="15.75" customHeight="1">
      <c r="A117" s="49"/>
      <c r="C117" s="84"/>
      <c r="E117" s="49"/>
      <c r="G117" s="50"/>
    </row>
    <row r="118" ht="15.75" customHeight="1">
      <c r="A118" s="49"/>
      <c r="C118" s="84"/>
      <c r="E118" s="49"/>
      <c r="G118" s="50"/>
    </row>
    <row r="119" ht="15.75" customHeight="1">
      <c r="A119" s="49"/>
      <c r="C119" s="84"/>
      <c r="E119" s="49"/>
      <c r="G119" s="50"/>
    </row>
    <row r="120" ht="15.75" customHeight="1">
      <c r="A120" s="49"/>
      <c r="C120" s="84"/>
      <c r="E120" s="49"/>
      <c r="G120" s="50"/>
    </row>
    <row r="121" ht="15.75" customHeight="1">
      <c r="A121" s="49"/>
      <c r="C121" s="84"/>
      <c r="E121" s="49"/>
      <c r="G121" s="50"/>
    </row>
    <row r="122" ht="15.75" customHeight="1">
      <c r="A122" s="49"/>
      <c r="C122" s="84"/>
      <c r="E122" s="49"/>
      <c r="G122" s="50"/>
    </row>
    <row r="123" ht="15.75" customHeight="1">
      <c r="A123" s="49"/>
      <c r="C123" s="84"/>
      <c r="E123" s="49"/>
      <c r="G123" s="50"/>
    </row>
    <row r="124" ht="15.75" customHeight="1">
      <c r="A124" s="49"/>
      <c r="C124" s="84"/>
      <c r="E124" s="49"/>
      <c r="G124" s="50"/>
    </row>
    <row r="125" ht="15.75" customHeight="1">
      <c r="A125" s="49"/>
      <c r="C125" s="84"/>
      <c r="E125" s="49"/>
      <c r="G125" s="50"/>
    </row>
    <row r="126" ht="15.75" customHeight="1">
      <c r="A126" s="49"/>
      <c r="C126" s="84"/>
      <c r="E126" s="49"/>
      <c r="G126" s="50"/>
    </row>
    <row r="127" ht="15.75" customHeight="1">
      <c r="A127" s="49"/>
      <c r="C127" s="84"/>
      <c r="E127" s="49"/>
      <c r="G127" s="50"/>
    </row>
    <row r="128" ht="15.75" customHeight="1">
      <c r="A128" s="49"/>
      <c r="C128" s="84"/>
      <c r="E128" s="49"/>
      <c r="G128" s="50"/>
    </row>
    <row r="129" ht="15.75" customHeight="1">
      <c r="A129" s="49"/>
      <c r="C129" s="84"/>
      <c r="E129" s="49"/>
      <c r="G129" s="50"/>
    </row>
    <row r="130" ht="15.75" customHeight="1">
      <c r="A130" s="49"/>
      <c r="C130" s="84"/>
      <c r="E130" s="49"/>
      <c r="G130" s="50"/>
    </row>
    <row r="131" ht="15.75" customHeight="1">
      <c r="A131" s="49"/>
      <c r="C131" s="84"/>
      <c r="E131" s="49"/>
      <c r="G131" s="50"/>
    </row>
    <row r="132" ht="15.75" customHeight="1">
      <c r="A132" s="49"/>
      <c r="C132" s="84"/>
      <c r="E132" s="49"/>
      <c r="G132" s="50"/>
    </row>
    <row r="133" ht="15.75" customHeight="1">
      <c r="A133" s="49"/>
      <c r="C133" s="84"/>
      <c r="E133" s="49"/>
      <c r="G133" s="50"/>
    </row>
    <row r="134" ht="15.75" customHeight="1">
      <c r="A134" s="49"/>
      <c r="C134" s="84"/>
      <c r="E134" s="49"/>
      <c r="G134" s="50"/>
    </row>
    <row r="135" ht="15.75" customHeight="1">
      <c r="A135" s="49"/>
      <c r="C135" s="84"/>
      <c r="E135" s="49"/>
      <c r="G135" s="50"/>
    </row>
    <row r="136" ht="15.75" customHeight="1">
      <c r="A136" s="49"/>
      <c r="C136" s="84"/>
      <c r="E136" s="49"/>
      <c r="G136" s="50"/>
    </row>
    <row r="137" ht="15.75" customHeight="1">
      <c r="A137" s="49"/>
      <c r="C137" s="84"/>
      <c r="E137" s="49"/>
      <c r="G137" s="50"/>
    </row>
    <row r="138" ht="15.75" customHeight="1">
      <c r="A138" s="49"/>
      <c r="C138" s="84"/>
      <c r="E138" s="49"/>
      <c r="G138" s="50"/>
    </row>
    <row r="139" ht="15.75" customHeight="1">
      <c r="A139" s="49"/>
      <c r="C139" s="84"/>
      <c r="E139" s="49"/>
      <c r="G139" s="50"/>
    </row>
    <row r="140" ht="15.75" customHeight="1">
      <c r="A140" s="49"/>
      <c r="C140" s="84"/>
      <c r="E140" s="49"/>
      <c r="G140" s="50"/>
    </row>
    <row r="141" ht="15.75" customHeight="1">
      <c r="A141" s="49"/>
      <c r="C141" s="84"/>
      <c r="E141" s="49"/>
      <c r="G141" s="50"/>
    </row>
    <row r="142" ht="15.75" customHeight="1">
      <c r="A142" s="49"/>
      <c r="C142" s="84"/>
      <c r="E142" s="49"/>
      <c r="G142" s="50"/>
    </row>
    <row r="143" ht="15.75" customHeight="1">
      <c r="A143" s="49"/>
      <c r="C143" s="84"/>
      <c r="E143" s="49"/>
      <c r="G143" s="50"/>
    </row>
    <row r="144" ht="15.75" customHeight="1">
      <c r="A144" s="49"/>
      <c r="C144" s="84"/>
      <c r="E144" s="49"/>
      <c r="G144" s="50"/>
    </row>
    <row r="145" ht="15.75" customHeight="1">
      <c r="A145" s="49"/>
      <c r="C145" s="84"/>
      <c r="E145" s="49"/>
      <c r="G145" s="50"/>
    </row>
    <row r="146" ht="15.75" customHeight="1">
      <c r="A146" s="49"/>
      <c r="C146" s="84"/>
      <c r="E146" s="49"/>
      <c r="G146" s="50"/>
    </row>
    <row r="147" ht="15.75" customHeight="1">
      <c r="A147" s="49"/>
      <c r="C147" s="84"/>
      <c r="E147" s="49"/>
      <c r="G147" s="50"/>
    </row>
    <row r="148" ht="15.75" customHeight="1">
      <c r="A148" s="49"/>
      <c r="C148" s="84"/>
      <c r="E148" s="49"/>
      <c r="G148" s="50"/>
    </row>
    <row r="149" ht="15.75" customHeight="1">
      <c r="A149" s="49"/>
      <c r="C149" s="84"/>
      <c r="E149" s="49"/>
      <c r="G149" s="50"/>
    </row>
    <row r="150" ht="15.75" customHeight="1">
      <c r="A150" s="49"/>
      <c r="C150" s="84"/>
      <c r="E150" s="49"/>
      <c r="G150" s="50"/>
    </row>
    <row r="151" ht="15.75" customHeight="1">
      <c r="A151" s="49"/>
      <c r="C151" s="84"/>
      <c r="E151" s="49"/>
      <c r="G151" s="50"/>
    </row>
    <row r="152" ht="15.75" customHeight="1">
      <c r="A152" s="49"/>
      <c r="C152" s="84"/>
      <c r="E152" s="49"/>
      <c r="G152" s="50"/>
    </row>
    <row r="153" ht="15.75" customHeight="1">
      <c r="A153" s="49"/>
      <c r="C153" s="84"/>
      <c r="E153" s="49"/>
      <c r="G153" s="50"/>
    </row>
    <row r="154" ht="15.75" customHeight="1">
      <c r="A154" s="49"/>
      <c r="C154" s="84"/>
      <c r="E154" s="49"/>
      <c r="G154" s="50"/>
    </row>
    <row r="155" ht="15.75" customHeight="1">
      <c r="A155" s="49"/>
      <c r="C155" s="84"/>
      <c r="E155" s="49"/>
      <c r="G155" s="50"/>
    </row>
    <row r="156" ht="15.75" customHeight="1">
      <c r="A156" s="49"/>
      <c r="C156" s="84"/>
      <c r="E156" s="49"/>
      <c r="G156" s="50"/>
    </row>
    <row r="157" ht="15.75" customHeight="1">
      <c r="A157" s="49"/>
      <c r="C157" s="84"/>
      <c r="E157" s="49"/>
      <c r="G157" s="50"/>
    </row>
    <row r="158" ht="15.75" customHeight="1">
      <c r="A158" s="49"/>
      <c r="C158" s="84"/>
      <c r="E158" s="49"/>
      <c r="G158" s="50"/>
    </row>
    <row r="159" ht="15.75" customHeight="1">
      <c r="A159" s="49"/>
      <c r="C159" s="84"/>
      <c r="E159" s="49"/>
      <c r="G159" s="50"/>
    </row>
    <row r="160" ht="15.75" customHeight="1">
      <c r="A160" s="49"/>
      <c r="C160" s="84"/>
      <c r="E160" s="49"/>
      <c r="G160" s="50"/>
    </row>
    <row r="161" ht="15.75" customHeight="1">
      <c r="A161" s="49"/>
      <c r="C161" s="84"/>
      <c r="E161" s="49"/>
      <c r="G161" s="50"/>
    </row>
    <row r="162" ht="15.75" customHeight="1">
      <c r="A162" s="49"/>
      <c r="C162" s="84"/>
      <c r="E162" s="49"/>
      <c r="G162" s="50"/>
    </row>
    <row r="163" ht="15.75" customHeight="1">
      <c r="A163" s="49"/>
      <c r="C163" s="84"/>
      <c r="E163" s="49"/>
      <c r="G163" s="50"/>
    </row>
    <row r="164" ht="15.75" customHeight="1">
      <c r="A164" s="49"/>
      <c r="C164" s="84"/>
      <c r="E164" s="49"/>
      <c r="G164" s="50"/>
    </row>
    <row r="165" ht="15.75" customHeight="1">
      <c r="A165" s="49"/>
      <c r="C165" s="84"/>
      <c r="E165" s="49"/>
      <c r="G165" s="50"/>
    </row>
    <row r="166" ht="15.75" customHeight="1">
      <c r="A166" s="49"/>
      <c r="C166" s="84"/>
      <c r="E166" s="49"/>
      <c r="G166" s="50"/>
    </row>
    <row r="167" ht="15.75" customHeight="1">
      <c r="A167" s="49"/>
      <c r="C167" s="84"/>
      <c r="E167" s="49"/>
      <c r="G167" s="50"/>
    </row>
    <row r="168" ht="15.75" customHeight="1">
      <c r="A168" s="49"/>
      <c r="C168" s="84"/>
      <c r="E168" s="49"/>
      <c r="G168" s="50"/>
    </row>
    <row r="169" ht="15.75" customHeight="1">
      <c r="A169" s="49"/>
      <c r="C169" s="84"/>
      <c r="E169" s="49"/>
      <c r="G169" s="50"/>
    </row>
    <row r="170" ht="15.75" customHeight="1">
      <c r="A170" s="49"/>
      <c r="C170" s="84"/>
      <c r="E170" s="49"/>
      <c r="G170" s="50"/>
    </row>
    <row r="171" ht="15.75" customHeight="1">
      <c r="A171" s="49"/>
      <c r="C171" s="84"/>
      <c r="E171" s="49"/>
      <c r="G171" s="50"/>
    </row>
    <row r="172" ht="15.75" customHeight="1">
      <c r="A172" s="49"/>
      <c r="C172" s="84"/>
      <c r="E172" s="49"/>
      <c r="G172" s="50"/>
    </row>
    <row r="173" ht="15.75" customHeight="1">
      <c r="A173" s="49"/>
      <c r="C173" s="84"/>
      <c r="E173" s="49"/>
      <c r="G173" s="50"/>
    </row>
    <row r="174" ht="15.75" customHeight="1">
      <c r="A174" s="49"/>
      <c r="C174" s="84"/>
      <c r="E174" s="49"/>
      <c r="G174" s="50"/>
    </row>
    <row r="175" ht="15.75" customHeight="1">
      <c r="A175" s="49"/>
      <c r="C175" s="84"/>
      <c r="E175" s="49"/>
      <c r="G175" s="50"/>
    </row>
    <row r="176" ht="15.75" customHeight="1">
      <c r="A176" s="49"/>
      <c r="C176" s="84"/>
      <c r="E176" s="49"/>
      <c r="G176" s="50"/>
    </row>
    <row r="177" ht="15.75" customHeight="1">
      <c r="A177" s="49"/>
      <c r="C177" s="84"/>
      <c r="E177" s="49"/>
      <c r="G177" s="50"/>
    </row>
    <row r="178" ht="15.75" customHeight="1">
      <c r="A178" s="49"/>
      <c r="C178" s="84"/>
      <c r="E178" s="49"/>
      <c r="G178" s="50"/>
    </row>
    <row r="179" ht="15.75" customHeight="1">
      <c r="A179" s="49"/>
      <c r="C179" s="84"/>
      <c r="E179" s="49"/>
      <c r="G179" s="50"/>
    </row>
    <row r="180" ht="15.75" customHeight="1">
      <c r="A180" s="49"/>
      <c r="C180" s="84"/>
      <c r="E180" s="49"/>
      <c r="G180" s="50"/>
    </row>
    <row r="181" ht="15.75" customHeight="1">
      <c r="A181" s="49"/>
      <c r="C181" s="84"/>
      <c r="E181" s="49"/>
      <c r="G181" s="50"/>
    </row>
    <row r="182" ht="15.75" customHeight="1">
      <c r="A182" s="49"/>
      <c r="C182" s="84"/>
      <c r="E182" s="49"/>
      <c r="G182" s="50"/>
    </row>
    <row r="183" ht="15.75" customHeight="1">
      <c r="A183" s="49"/>
      <c r="C183" s="84"/>
      <c r="E183" s="49"/>
      <c r="G183" s="50"/>
    </row>
    <row r="184" ht="15.75" customHeight="1">
      <c r="A184" s="49"/>
      <c r="C184" s="84"/>
      <c r="E184" s="49"/>
      <c r="G184" s="50"/>
    </row>
    <row r="185" ht="15.75" customHeight="1">
      <c r="A185" s="49"/>
      <c r="C185" s="84"/>
      <c r="E185" s="49"/>
      <c r="G185" s="50"/>
    </row>
    <row r="186" ht="15.75" customHeight="1">
      <c r="A186" s="49"/>
      <c r="C186" s="84"/>
      <c r="E186" s="49"/>
      <c r="G186" s="50"/>
    </row>
    <row r="187" ht="15.75" customHeight="1">
      <c r="A187" s="49"/>
      <c r="C187" s="84"/>
      <c r="E187" s="49"/>
      <c r="G187" s="50"/>
    </row>
    <row r="188" ht="15.75" customHeight="1">
      <c r="A188" s="49"/>
      <c r="C188" s="84"/>
      <c r="E188" s="49"/>
      <c r="G188" s="50"/>
    </row>
    <row r="189" ht="15.75" customHeight="1">
      <c r="A189" s="49"/>
      <c r="C189" s="84"/>
      <c r="E189" s="49"/>
      <c r="G189" s="50"/>
    </row>
    <row r="190" ht="15.75" customHeight="1">
      <c r="A190" s="49"/>
      <c r="C190" s="84"/>
      <c r="E190" s="49"/>
      <c r="G190" s="50"/>
    </row>
    <row r="191" ht="15.75" customHeight="1">
      <c r="A191" s="49"/>
      <c r="C191" s="84"/>
      <c r="E191" s="49"/>
      <c r="G191" s="50"/>
    </row>
    <row r="192" ht="15.75" customHeight="1">
      <c r="A192" s="49"/>
      <c r="C192" s="84"/>
      <c r="E192" s="49"/>
      <c r="G192" s="50"/>
    </row>
    <row r="193" ht="15.75" customHeight="1">
      <c r="A193" s="49"/>
      <c r="C193" s="84"/>
      <c r="E193" s="49"/>
      <c r="G193" s="50"/>
    </row>
    <row r="194" ht="15.75" customHeight="1">
      <c r="A194" s="49"/>
      <c r="C194" s="84"/>
      <c r="E194" s="49"/>
      <c r="G194" s="50"/>
    </row>
    <row r="195" ht="15.75" customHeight="1">
      <c r="A195" s="49"/>
      <c r="C195" s="84"/>
      <c r="E195" s="49"/>
      <c r="G195" s="50"/>
    </row>
    <row r="196" ht="15.75" customHeight="1">
      <c r="A196" s="49"/>
      <c r="C196" s="84"/>
      <c r="E196" s="49"/>
      <c r="G196" s="50"/>
    </row>
    <row r="197" ht="15.75" customHeight="1">
      <c r="A197" s="49"/>
      <c r="C197" s="84"/>
      <c r="E197" s="49"/>
      <c r="G197" s="50"/>
    </row>
    <row r="198" ht="15.75" customHeight="1">
      <c r="A198" s="49"/>
      <c r="C198" s="84"/>
      <c r="E198" s="49"/>
      <c r="G198" s="50"/>
    </row>
    <row r="199" ht="15.75" customHeight="1">
      <c r="A199" s="49"/>
      <c r="C199" s="84"/>
      <c r="E199" s="49"/>
      <c r="G199" s="50"/>
    </row>
    <row r="200" ht="15.75" customHeight="1">
      <c r="A200" s="49"/>
      <c r="C200" s="84"/>
      <c r="E200" s="49"/>
      <c r="G200" s="50"/>
    </row>
    <row r="201" ht="15.75" customHeight="1">
      <c r="A201" s="49"/>
      <c r="C201" s="84"/>
      <c r="E201" s="49"/>
      <c r="G201" s="50"/>
    </row>
    <row r="202" ht="15.75" customHeight="1">
      <c r="A202" s="49"/>
      <c r="C202" s="84"/>
      <c r="E202" s="49"/>
      <c r="G202" s="50"/>
    </row>
    <row r="203" ht="15.75" customHeight="1">
      <c r="A203" s="49"/>
      <c r="C203" s="84"/>
      <c r="E203" s="49"/>
      <c r="G203" s="50"/>
    </row>
    <row r="204" ht="15.75" customHeight="1">
      <c r="A204" s="49"/>
      <c r="C204" s="84"/>
      <c r="E204" s="49"/>
      <c r="G204" s="50"/>
    </row>
    <row r="205" ht="15.75" customHeight="1">
      <c r="A205" s="49"/>
      <c r="C205" s="84"/>
      <c r="E205" s="49"/>
      <c r="G205" s="50"/>
    </row>
    <row r="206" ht="15.75" customHeight="1">
      <c r="A206" s="49"/>
      <c r="C206" s="84"/>
      <c r="E206" s="49"/>
      <c r="G206" s="50"/>
    </row>
    <row r="207" ht="15.75" customHeight="1">
      <c r="A207" s="49"/>
      <c r="C207" s="84"/>
      <c r="E207" s="49"/>
      <c r="G207" s="50"/>
    </row>
    <row r="208" ht="15.75" customHeight="1">
      <c r="A208" s="49"/>
      <c r="C208" s="84"/>
      <c r="E208" s="49"/>
      <c r="G208" s="50"/>
    </row>
    <row r="209" ht="15.75" customHeight="1">
      <c r="A209" s="49"/>
      <c r="C209" s="84"/>
      <c r="E209" s="49"/>
      <c r="G209" s="50"/>
    </row>
    <row r="210" ht="15.75" customHeight="1">
      <c r="A210" s="49"/>
      <c r="C210" s="84"/>
      <c r="E210" s="49"/>
      <c r="G210" s="50"/>
    </row>
    <row r="211" ht="15.75" customHeight="1">
      <c r="A211" s="49"/>
      <c r="C211" s="84"/>
      <c r="E211" s="49"/>
      <c r="G211" s="50"/>
    </row>
    <row r="212" ht="15.75" customHeight="1">
      <c r="A212" s="49"/>
      <c r="C212" s="84"/>
      <c r="E212" s="49"/>
      <c r="G212" s="50"/>
    </row>
    <row r="213" ht="15.75" customHeight="1">
      <c r="A213" s="49"/>
      <c r="C213" s="84"/>
      <c r="E213" s="49"/>
      <c r="G213" s="50"/>
    </row>
    <row r="214" ht="15.75" customHeight="1">
      <c r="A214" s="49"/>
      <c r="C214" s="84"/>
      <c r="E214" s="49"/>
      <c r="G214" s="50"/>
    </row>
    <row r="215" ht="15.75" customHeight="1">
      <c r="A215" s="49"/>
      <c r="C215" s="84"/>
      <c r="E215" s="49"/>
      <c r="G215" s="50"/>
    </row>
    <row r="216" ht="15.75" customHeight="1">
      <c r="A216" s="49"/>
      <c r="C216" s="84"/>
      <c r="E216" s="49"/>
      <c r="G216" s="50"/>
    </row>
    <row r="217" ht="15.75" customHeight="1">
      <c r="A217" s="49"/>
      <c r="C217" s="84"/>
      <c r="E217" s="49"/>
      <c r="G217" s="50"/>
    </row>
    <row r="218" ht="15.75" customHeight="1">
      <c r="A218" s="49"/>
      <c r="C218" s="84"/>
      <c r="E218" s="49"/>
      <c r="G218" s="50"/>
    </row>
    <row r="219" ht="15.75" customHeight="1">
      <c r="A219" s="49"/>
      <c r="C219" s="84"/>
      <c r="E219" s="49"/>
      <c r="G219" s="50"/>
    </row>
    <row r="220" ht="15.75" customHeight="1">
      <c r="A220" s="49"/>
      <c r="C220" s="84"/>
      <c r="E220" s="49"/>
      <c r="G220" s="50"/>
    </row>
    <row r="221" ht="15.75" customHeight="1">
      <c r="A221" s="49"/>
      <c r="C221" s="84"/>
      <c r="E221" s="49"/>
      <c r="G221" s="50"/>
    </row>
    <row r="222" ht="15.75" customHeight="1">
      <c r="A222" s="49"/>
      <c r="C222" s="84"/>
      <c r="E222" s="49"/>
      <c r="G222" s="50"/>
    </row>
    <row r="223" ht="15.75" customHeight="1">
      <c r="A223" s="49"/>
      <c r="C223" s="84"/>
      <c r="E223" s="49"/>
      <c r="G223" s="50"/>
    </row>
    <row r="224" ht="15.75" customHeight="1">
      <c r="A224" s="49"/>
      <c r="C224" s="84"/>
      <c r="E224" s="49"/>
      <c r="G224" s="50"/>
    </row>
    <row r="225" ht="15.75" customHeight="1">
      <c r="A225" s="49"/>
      <c r="C225" s="84"/>
      <c r="E225" s="49"/>
      <c r="G225" s="50"/>
    </row>
    <row r="226" ht="15.75" customHeight="1">
      <c r="A226" s="49"/>
      <c r="C226" s="84"/>
      <c r="E226" s="49"/>
      <c r="G226" s="50"/>
    </row>
    <row r="227" ht="15.75" customHeight="1">
      <c r="A227" s="49"/>
      <c r="C227" s="84"/>
      <c r="E227" s="49"/>
      <c r="G227" s="50"/>
    </row>
    <row r="228" ht="15.75" customHeight="1">
      <c r="A228" s="49"/>
      <c r="C228" s="84"/>
      <c r="E228" s="49"/>
      <c r="G228" s="50"/>
    </row>
    <row r="229" ht="15.75" customHeight="1">
      <c r="A229" s="49"/>
      <c r="C229" s="84"/>
      <c r="E229" s="49"/>
      <c r="G229" s="50"/>
    </row>
    <row r="230" ht="15.75" customHeight="1">
      <c r="A230" s="49"/>
      <c r="C230" s="84"/>
      <c r="E230" s="49"/>
      <c r="G230" s="50"/>
    </row>
    <row r="231" ht="15.75" customHeight="1">
      <c r="A231" s="49"/>
      <c r="C231" s="84"/>
      <c r="E231" s="49"/>
      <c r="G231" s="50"/>
    </row>
    <row r="232" ht="15.75" customHeight="1">
      <c r="A232" s="49"/>
      <c r="C232" s="84"/>
      <c r="E232" s="49"/>
      <c r="G232" s="50"/>
    </row>
    <row r="233" ht="15.75" customHeight="1">
      <c r="A233" s="49"/>
      <c r="C233" s="84"/>
      <c r="E233" s="49"/>
      <c r="G233" s="50"/>
    </row>
    <row r="234" ht="15.75" customHeight="1">
      <c r="A234" s="49"/>
      <c r="C234" s="84"/>
      <c r="E234" s="49"/>
      <c r="G234" s="50"/>
    </row>
    <row r="235" ht="15.75" customHeight="1">
      <c r="A235" s="49"/>
      <c r="C235" s="84"/>
      <c r="E235" s="49"/>
      <c r="G235" s="50"/>
    </row>
    <row r="236" ht="15.75" customHeight="1">
      <c r="A236" s="49"/>
      <c r="C236" s="84"/>
      <c r="E236" s="49"/>
      <c r="G236" s="50"/>
    </row>
    <row r="237" ht="15.75" customHeight="1">
      <c r="A237" s="49"/>
      <c r="C237" s="84"/>
      <c r="E237" s="49"/>
      <c r="G237" s="50"/>
    </row>
    <row r="238" ht="15.75" customHeight="1">
      <c r="A238" s="49"/>
      <c r="C238" s="84"/>
      <c r="E238" s="49"/>
      <c r="G238" s="50"/>
    </row>
    <row r="239" ht="15.75" customHeight="1">
      <c r="A239" s="49"/>
      <c r="C239" s="84"/>
      <c r="E239" s="49"/>
      <c r="G239" s="50"/>
    </row>
    <row r="240" ht="15.75" customHeight="1">
      <c r="A240" s="49"/>
      <c r="C240" s="84"/>
      <c r="E240" s="49"/>
      <c r="G240" s="50"/>
    </row>
    <row r="241" ht="15.75" customHeight="1">
      <c r="A241" s="49"/>
      <c r="C241" s="84"/>
      <c r="E241" s="49"/>
      <c r="G241" s="50"/>
    </row>
    <row r="242" ht="15.75" customHeight="1">
      <c r="A242" s="49"/>
      <c r="C242" s="84"/>
      <c r="E242" s="49"/>
      <c r="G242" s="50"/>
    </row>
    <row r="243" ht="15.75" customHeight="1">
      <c r="A243" s="49"/>
      <c r="C243" s="84"/>
      <c r="E243" s="49"/>
      <c r="G243" s="50"/>
    </row>
    <row r="244" ht="15.75" customHeight="1">
      <c r="A244" s="49"/>
      <c r="C244" s="84"/>
      <c r="E244" s="49"/>
      <c r="G244" s="50"/>
    </row>
    <row r="245" ht="15.75" customHeight="1">
      <c r="A245" s="49"/>
      <c r="C245" s="84"/>
      <c r="E245" s="49"/>
      <c r="G245" s="50"/>
    </row>
    <row r="246" ht="15.75" customHeight="1">
      <c r="A246" s="49"/>
      <c r="C246" s="84"/>
      <c r="E246" s="49"/>
      <c r="G246" s="50"/>
    </row>
    <row r="247" ht="15.75" customHeight="1">
      <c r="A247" s="49"/>
      <c r="C247" s="84"/>
      <c r="E247" s="49"/>
      <c r="G247" s="50"/>
    </row>
    <row r="248" ht="15.75" customHeight="1">
      <c r="A248" s="49"/>
      <c r="C248" s="84"/>
      <c r="E248" s="49"/>
      <c r="G248" s="50"/>
    </row>
    <row r="249" ht="15.75" customHeight="1">
      <c r="A249" s="49"/>
      <c r="C249" s="84"/>
      <c r="E249" s="49"/>
      <c r="G249" s="50"/>
    </row>
    <row r="250" ht="15.75" customHeight="1">
      <c r="A250" s="49"/>
      <c r="C250" s="84"/>
      <c r="E250" s="49"/>
      <c r="G250" s="50"/>
    </row>
    <row r="251" ht="15.75" customHeight="1">
      <c r="A251" s="49"/>
      <c r="C251" s="84"/>
      <c r="E251" s="49"/>
      <c r="G251" s="50"/>
    </row>
    <row r="252" ht="15.75" customHeight="1">
      <c r="A252" s="49"/>
      <c r="C252" s="84"/>
      <c r="E252" s="49"/>
      <c r="G252" s="50"/>
    </row>
    <row r="253" ht="15.75" customHeight="1">
      <c r="A253" s="49"/>
      <c r="C253" s="84"/>
      <c r="E253" s="49"/>
      <c r="G253" s="50"/>
    </row>
    <row r="254" ht="15.75" customHeight="1">
      <c r="A254" s="49"/>
      <c r="C254" s="84"/>
      <c r="E254" s="49"/>
      <c r="G254" s="50"/>
    </row>
    <row r="255" ht="15.75" customHeight="1">
      <c r="A255" s="49"/>
      <c r="C255" s="84"/>
      <c r="E255" s="49"/>
      <c r="G255" s="50"/>
    </row>
    <row r="256" ht="15.75" customHeight="1">
      <c r="A256" s="49"/>
      <c r="C256" s="84"/>
      <c r="E256" s="49"/>
      <c r="G256" s="50"/>
    </row>
    <row r="257" ht="15.75" customHeight="1">
      <c r="A257" s="49"/>
      <c r="C257" s="84"/>
      <c r="E257" s="49"/>
      <c r="G257" s="50"/>
    </row>
    <row r="258" ht="15.75" customHeight="1">
      <c r="A258" s="49"/>
      <c r="C258" s="84"/>
      <c r="E258" s="49"/>
      <c r="G258" s="50"/>
    </row>
    <row r="259" ht="15.75" customHeight="1">
      <c r="A259" s="49"/>
      <c r="C259" s="84"/>
      <c r="E259" s="49"/>
      <c r="G259" s="50"/>
    </row>
    <row r="260" ht="15.75" customHeight="1">
      <c r="A260" s="49"/>
      <c r="C260" s="84"/>
      <c r="E260" s="49"/>
      <c r="G260" s="50"/>
    </row>
    <row r="261" ht="15.75" customHeight="1">
      <c r="A261" s="49"/>
      <c r="C261" s="84"/>
      <c r="E261" s="49"/>
      <c r="G261" s="50"/>
    </row>
    <row r="262" ht="15.75" customHeight="1">
      <c r="A262" s="49"/>
      <c r="C262" s="84"/>
      <c r="E262" s="49"/>
      <c r="G262" s="50"/>
    </row>
    <row r="263" ht="15.75" customHeight="1">
      <c r="A263" s="49"/>
      <c r="C263" s="84"/>
      <c r="E263" s="49"/>
      <c r="G263" s="50"/>
    </row>
    <row r="264" ht="15.75" customHeight="1">
      <c r="A264" s="49"/>
      <c r="C264" s="84"/>
      <c r="E264" s="49"/>
      <c r="G264" s="50"/>
    </row>
    <row r="265" ht="15.75" customHeight="1">
      <c r="A265" s="49"/>
      <c r="C265" s="84"/>
      <c r="E265" s="49"/>
      <c r="G265" s="50"/>
    </row>
    <row r="266" ht="15.75" customHeight="1">
      <c r="A266" s="49"/>
      <c r="C266" s="84"/>
      <c r="E266" s="49"/>
      <c r="G266" s="50"/>
    </row>
    <row r="267" ht="15.75" customHeight="1">
      <c r="A267" s="49"/>
      <c r="C267" s="84"/>
      <c r="E267" s="49"/>
      <c r="G267" s="50"/>
    </row>
    <row r="268" ht="15.75" customHeight="1">
      <c r="A268" s="49"/>
      <c r="C268" s="84"/>
      <c r="E268" s="49"/>
      <c r="G268" s="50"/>
    </row>
    <row r="269" ht="15.75" customHeight="1">
      <c r="A269" s="49"/>
      <c r="C269" s="84"/>
      <c r="E269" s="49"/>
      <c r="G269" s="50"/>
    </row>
    <row r="270" ht="15.75" customHeight="1">
      <c r="A270" s="49"/>
      <c r="C270" s="84"/>
      <c r="E270" s="49"/>
      <c r="G270" s="50"/>
    </row>
    <row r="271" ht="15.75" customHeight="1">
      <c r="A271" s="49"/>
      <c r="C271" s="84"/>
      <c r="E271" s="49"/>
      <c r="G271" s="50"/>
    </row>
    <row r="272" ht="15.75" customHeight="1">
      <c r="A272" s="49"/>
      <c r="C272" s="84"/>
      <c r="E272" s="49"/>
      <c r="G272" s="50"/>
    </row>
    <row r="273" ht="15.75" customHeight="1">
      <c r="A273" s="49"/>
      <c r="C273" s="84"/>
      <c r="E273" s="49"/>
      <c r="G273" s="50"/>
    </row>
    <row r="274" ht="15.75" customHeight="1">
      <c r="A274" s="49"/>
      <c r="C274" s="84"/>
      <c r="E274" s="49"/>
      <c r="G274" s="50"/>
    </row>
    <row r="275" ht="15.75" customHeight="1">
      <c r="A275" s="49"/>
      <c r="C275" s="84"/>
      <c r="E275" s="49"/>
      <c r="G275" s="50"/>
    </row>
    <row r="276" ht="15.75" customHeight="1">
      <c r="A276" s="49"/>
      <c r="C276" s="84"/>
      <c r="E276" s="49"/>
      <c r="G276" s="50"/>
    </row>
    <row r="277" ht="15.75" customHeight="1">
      <c r="A277" s="49"/>
      <c r="C277" s="84"/>
      <c r="E277" s="49"/>
      <c r="G277" s="50"/>
    </row>
    <row r="278" ht="15.75" customHeight="1">
      <c r="A278" s="49"/>
      <c r="C278" s="84"/>
      <c r="E278" s="49"/>
      <c r="G278" s="50"/>
    </row>
    <row r="279" ht="15.75" customHeight="1">
      <c r="A279" s="49"/>
      <c r="C279" s="84"/>
      <c r="E279" s="49"/>
      <c r="G279" s="50"/>
    </row>
    <row r="280" ht="15.75" customHeight="1">
      <c r="A280" s="49"/>
      <c r="C280" s="84"/>
      <c r="E280" s="49"/>
      <c r="G280" s="50"/>
    </row>
    <row r="281" ht="15.75" customHeight="1">
      <c r="A281" s="49"/>
      <c r="C281" s="84"/>
      <c r="E281" s="49"/>
      <c r="G281" s="50"/>
    </row>
    <row r="282" ht="15.75" customHeight="1">
      <c r="A282" s="49"/>
      <c r="C282" s="84"/>
      <c r="E282" s="49"/>
      <c r="G282" s="50"/>
    </row>
    <row r="283" ht="15.75" customHeight="1">
      <c r="A283" s="49"/>
      <c r="C283" s="84"/>
      <c r="E283" s="49"/>
      <c r="G283" s="50"/>
    </row>
    <row r="284" ht="15.75" customHeight="1">
      <c r="A284" s="49"/>
      <c r="C284" s="84"/>
      <c r="E284" s="49"/>
      <c r="G284" s="50"/>
    </row>
    <row r="285" ht="15.75" customHeight="1">
      <c r="A285" s="49"/>
      <c r="C285" s="84"/>
      <c r="E285" s="49"/>
      <c r="G285" s="50"/>
    </row>
    <row r="286" ht="15.75" customHeight="1">
      <c r="A286" s="49"/>
      <c r="C286" s="84"/>
      <c r="E286" s="49"/>
      <c r="G286" s="50"/>
    </row>
    <row r="287" ht="15.75" customHeight="1">
      <c r="A287" s="49"/>
      <c r="C287" s="84"/>
      <c r="E287" s="49"/>
      <c r="G287" s="50"/>
    </row>
    <row r="288" ht="15.75" customHeight="1">
      <c r="A288" s="49"/>
      <c r="C288" s="84"/>
      <c r="E288" s="49"/>
      <c r="G288" s="50"/>
    </row>
    <row r="289" ht="15.75" customHeight="1">
      <c r="A289" s="49"/>
      <c r="C289" s="84"/>
      <c r="E289" s="49"/>
      <c r="G289" s="50"/>
    </row>
    <row r="290" ht="15.75" customHeight="1">
      <c r="A290" s="49"/>
      <c r="C290" s="84"/>
      <c r="E290" s="49"/>
      <c r="G290" s="50"/>
    </row>
    <row r="291" ht="15.75" customHeight="1">
      <c r="A291" s="49"/>
      <c r="C291" s="84"/>
      <c r="E291" s="49"/>
      <c r="G291" s="50"/>
    </row>
    <row r="292" ht="15.75" customHeight="1">
      <c r="A292" s="49"/>
      <c r="C292" s="84"/>
      <c r="E292" s="49"/>
      <c r="G292" s="50"/>
    </row>
    <row r="293" ht="15.75" customHeight="1">
      <c r="A293" s="49"/>
      <c r="C293" s="84"/>
      <c r="E293" s="49"/>
      <c r="G293" s="50"/>
    </row>
    <row r="294" ht="15.75" customHeight="1">
      <c r="A294" s="49"/>
      <c r="C294" s="84"/>
      <c r="E294" s="49"/>
      <c r="G294" s="50"/>
    </row>
    <row r="295" ht="15.75" customHeight="1">
      <c r="A295" s="49"/>
      <c r="C295" s="84"/>
      <c r="E295" s="49"/>
      <c r="G295" s="50"/>
    </row>
    <row r="296" ht="15.75" customHeight="1">
      <c r="A296" s="49"/>
      <c r="C296" s="84"/>
      <c r="E296" s="49"/>
      <c r="G296" s="50"/>
    </row>
    <row r="297" ht="15.75" customHeight="1">
      <c r="A297" s="49"/>
      <c r="C297" s="84"/>
      <c r="E297" s="49"/>
      <c r="G297" s="50"/>
    </row>
    <row r="298" ht="15.75" customHeight="1">
      <c r="A298" s="49"/>
      <c r="C298" s="84"/>
      <c r="E298" s="49"/>
      <c r="G298" s="50"/>
    </row>
    <row r="299" ht="15.75" customHeight="1">
      <c r="A299" s="49"/>
      <c r="C299" s="84"/>
      <c r="E299" s="49"/>
      <c r="G299" s="50"/>
    </row>
    <row r="300" ht="15.75" customHeight="1">
      <c r="A300" s="49"/>
      <c r="C300" s="84"/>
      <c r="E300" s="49"/>
      <c r="G300" s="50"/>
    </row>
    <row r="301" ht="15.75" customHeight="1">
      <c r="A301" s="49"/>
      <c r="C301" s="84"/>
      <c r="E301" s="49"/>
      <c r="G301" s="50"/>
    </row>
    <row r="302" ht="15.75" customHeight="1">
      <c r="A302" s="49"/>
      <c r="C302" s="84"/>
      <c r="E302" s="49"/>
      <c r="G302" s="50"/>
    </row>
    <row r="303" ht="15.75" customHeight="1">
      <c r="A303" s="49"/>
      <c r="C303" s="84"/>
      <c r="E303" s="49"/>
      <c r="G303" s="50"/>
    </row>
    <row r="304" ht="15.75" customHeight="1">
      <c r="A304" s="49"/>
      <c r="C304" s="84"/>
      <c r="E304" s="49"/>
      <c r="G304" s="50"/>
    </row>
    <row r="305" ht="15.75" customHeight="1">
      <c r="A305" s="49"/>
      <c r="C305" s="84"/>
      <c r="E305" s="49"/>
      <c r="G305" s="50"/>
    </row>
    <row r="306" ht="15.75" customHeight="1">
      <c r="A306" s="49"/>
      <c r="C306" s="84"/>
      <c r="E306" s="49"/>
      <c r="G306" s="50"/>
    </row>
    <row r="307" ht="15.75" customHeight="1">
      <c r="A307" s="49"/>
      <c r="C307" s="84"/>
      <c r="E307" s="49"/>
      <c r="G307" s="50"/>
    </row>
    <row r="308" ht="15.75" customHeight="1">
      <c r="A308" s="49"/>
      <c r="C308" s="84"/>
      <c r="E308" s="49"/>
      <c r="G308" s="50"/>
    </row>
    <row r="309" ht="15.75" customHeight="1">
      <c r="A309" s="49"/>
      <c r="C309" s="84"/>
      <c r="E309" s="49"/>
      <c r="G309" s="50"/>
    </row>
    <row r="310" ht="15.75" customHeight="1">
      <c r="A310" s="49"/>
      <c r="C310" s="84"/>
      <c r="E310" s="49"/>
      <c r="G310" s="50"/>
    </row>
    <row r="311" ht="15.75" customHeight="1">
      <c r="A311" s="49"/>
      <c r="C311" s="84"/>
      <c r="E311" s="49"/>
      <c r="G311" s="50"/>
    </row>
    <row r="312" ht="15.75" customHeight="1">
      <c r="A312" s="49"/>
      <c r="C312" s="84"/>
      <c r="E312" s="49"/>
      <c r="G312" s="50"/>
    </row>
    <row r="313" ht="15.75" customHeight="1">
      <c r="A313" s="49"/>
      <c r="C313" s="84"/>
      <c r="E313" s="49"/>
      <c r="G313" s="50"/>
    </row>
    <row r="314" ht="15.75" customHeight="1">
      <c r="A314" s="49"/>
      <c r="C314" s="84"/>
      <c r="E314" s="49"/>
      <c r="G314" s="50"/>
    </row>
    <row r="315" ht="15.75" customHeight="1">
      <c r="A315" s="49"/>
      <c r="C315" s="84"/>
      <c r="E315" s="49"/>
      <c r="G315" s="50"/>
    </row>
    <row r="316" ht="15.75" customHeight="1">
      <c r="A316" s="49"/>
      <c r="C316" s="84"/>
      <c r="E316" s="49"/>
      <c r="G316" s="50"/>
    </row>
    <row r="317" ht="15.75" customHeight="1">
      <c r="A317" s="49"/>
      <c r="C317" s="84"/>
      <c r="E317" s="49"/>
      <c r="G317" s="50"/>
    </row>
    <row r="318" ht="15.75" customHeight="1">
      <c r="A318" s="49"/>
      <c r="C318" s="84"/>
      <c r="E318" s="49"/>
      <c r="G318" s="50"/>
    </row>
    <row r="319" ht="15.75" customHeight="1">
      <c r="A319" s="49"/>
      <c r="C319" s="84"/>
      <c r="E319" s="49"/>
      <c r="G319" s="50"/>
    </row>
    <row r="320" ht="15.75" customHeight="1">
      <c r="A320" s="49"/>
      <c r="C320" s="84"/>
      <c r="E320" s="49"/>
      <c r="G320" s="50"/>
    </row>
    <row r="321" ht="15.75" customHeight="1">
      <c r="A321" s="49"/>
      <c r="C321" s="84"/>
      <c r="E321" s="49"/>
      <c r="G321" s="50"/>
    </row>
    <row r="322" ht="15.75" customHeight="1">
      <c r="A322" s="49"/>
      <c r="C322" s="84"/>
      <c r="E322" s="49"/>
      <c r="G322" s="50"/>
    </row>
    <row r="323" ht="15.75" customHeight="1">
      <c r="A323" s="49"/>
      <c r="C323" s="84"/>
      <c r="E323" s="49"/>
      <c r="G323" s="50"/>
    </row>
    <row r="324" ht="15.75" customHeight="1">
      <c r="A324" s="49"/>
      <c r="C324" s="84"/>
      <c r="E324" s="49"/>
      <c r="G324" s="50"/>
    </row>
    <row r="325" ht="15.75" customHeight="1">
      <c r="A325" s="49"/>
      <c r="C325" s="84"/>
      <c r="E325" s="49"/>
      <c r="G325" s="50"/>
    </row>
    <row r="326" ht="15.75" customHeight="1">
      <c r="A326" s="49"/>
      <c r="C326" s="84"/>
      <c r="E326" s="49"/>
      <c r="G326" s="50"/>
    </row>
    <row r="327" ht="15.75" customHeight="1">
      <c r="A327" s="49"/>
      <c r="C327" s="84"/>
      <c r="E327" s="49"/>
      <c r="G327" s="50"/>
    </row>
    <row r="328" ht="15.75" customHeight="1">
      <c r="A328" s="49"/>
      <c r="C328" s="84"/>
      <c r="E328" s="49"/>
      <c r="G328" s="50"/>
    </row>
    <row r="329" ht="15.75" customHeight="1">
      <c r="A329" s="49"/>
      <c r="C329" s="84"/>
      <c r="E329" s="49"/>
      <c r="G329" s="50"/>
    </row>
    <row r="330" ht="15.75" customHeight="1">
      <c r="A330" s="49"/>
      <c r="C330" s="84"/>
      <c r="E330" s="49"/>
      <c r="G330" s="50"/>
    </row>
    <row r="331" ht="15.75" customHeight="1">
      <c r="A331" s="49"/>
      <c r="C331" s="84"/>
      <c r="E331" s="49"/>
      <c r="G331" s="50"/>
    </row>
    <row r="332" ht="15.75" customHeight="1">
      <c r="A332" s="49"/>
      <c r="C332" s="84"/>
      <c r="E332" s="49"/>
      <c r="G332" s="50"/>
    </row>
    <row r="333" ht="15.75" customHeight="1">
      <c r="A333" s="49"/>
      <c r="C333" s="84"/>
      <c r="E333" s="49"/>
      <c r="G333" s="50"/>
    </row>
    <row r="334" ht="15.75" customHeight="1">
      <c r="A334" s="49"/>
      <c r="C334" s="84"/>
      <c r="E334" s="49"/>
      <c r="G334" s="50"/>
    </row>
    <row r="335" ht="15.75" customHeight="1">
      <c r="A335" s="49"/>
      <c r="C335" s="84"/>
      <c r="E335" s="49"/>
      <c r="G335" s="50"/>
    </row>
    <row r="336" ht="15.75" customHeight="1">
      <c r="A336" s="49"/>
      <c r="C336" s="84"/>
      <c r="E336" s="49"/>
      <c r="G336" s="50"/>
    </row>
    <row r="337" ht="15.75" customHeight="1">
      <c r="A337" s="49"/>
      <c r="C337" s="84"/>
      <c r="E337" s="49"/>
      <c r="G337" s="50"/>
    </row>
    <row r="338" ht="15.75" customHeight="1">
      <c r="A338" s="49"/>
      <c r="C338" s="84"/>
      <c r="E338" s="49"/>
      <c r="G338" s="50"/>
    </row>
    <row r="339" ht="15.75" customHeight="1">
      <c r="A339" s="49"/>
      <c r="C339" s="84"/>
      <c r="E339" s="49"/>
      <c r="G339" s="50"/>
    </row>
    <row r="340" ht="15.75" customHeight="1">
      <c r="A340" s="49"/>
      <c r="C340" s="84"/>
      <c r="E340" s="49"/>
      <c r="G340" s="50"/>
    </row>
    <row r="341" ht="15.75" customHeight="1">
      <c r="A341" s="49"/>
      <c r="C341" s="84"/>
      <c r="E341" s="49"/>
      <c r="G341" s="50"/>
    </row>
    <row r="342" ht="15.75" customHeight="1">
      <c r="A342" s="49"/>
      <c r="C342" s="84"/>
      <c r="E342" s="49"/>
      <c r="G342" s="50"/>
    </row>
    <row r="343" ht="15.75" customHeight="1">
      <c r="A343" s="49"/>
      <c r="C343" s="84"/>
      <c r="E343" s="49"/>
      <c r="G343" s="50"/>
    </row>
    <row r="344" ht="15.75" customHeight="1">
      <c r="A344" s="49"/>
      <c r="C344" s="84"/>
      <c r="E344" s="49"/>
      <c r="G344" s="50"/>
    </row>
    <row r="345" ht="15.75" customHeight="1">
      <c r="A345" s="49"/>
      <c r="C345" s="84"/>
      <c r="E345" s="49"/>
      <c r="G345" s="50"/>
    </row>
    <row r="346" ht="15.75" customHeight="1">
      <c r="A346" s="49"/>
      <c r="C346" s="84"/>
      <c r="E346" s="49"/>
      <c r="G346" s="50"/>
    </row>
    <row r="347" ht="15.75" customHeight="1">
      <c r="A347" s="49"/>
      <c r="C347" s="84"/>
      <c r="E347" s="49"/>
      <c r="G347" s="50"/>
    </row>
    <row r="348" ht="15.75" customHeight="1">
      <c r="A348" s="49"/>
      <c r="C348" s="84"/>
      <c r="E348" s="49"/>
      <c r="G348" s="50"/>
    </row>
    <row r="349" ht="15.75" customHeight="1">
      <c r="A349" s="49"/>
      <c r="C349" s="84"/>
      <c r="E349" s="49"/>
      <c r="G349" s="50"/>
    </row>
    <row r="350" ht="15.75" customHeight="1">
      <c r="A350" s="49"/>
      <c r="C350" s="84"/>
      <c r="E350" s="49"/>
      <c r="G350" s="50"/>
    </row>
    <row r="351" ht="15.75" customHeight="1">
      <c r="A351" s="49"/>
      <c r="C351" s="84"/>
      <c r="E351" s="49"/>
      <c r="G351" s="50"/>
    </row>
    <row r="352" ht="15.75" customHeight="1">
      <c r="A352" s="49"/>
      <c r="C352" s="84"/>
      <c r="E352" s="49"/>
      <c r="G352" s="50"/>
    </row>
    <row r="353" ht="15.75" customHeight="1">
      <c r="A353" s="49"/>
      <c r="C353" s="84"/>
      <c r="E353" s="49"/>
      <c r="G353" s="50"/>
    </row>
    <row r="354" ht="15.75" customHeight="1">
      <c r="A354" s="49"/>
      <c r="C354" s="84"/>
      <c r="E354" s="49"/>
      <c r="G354" s="50"/>
    </row>
    <row r="355" ht="15.75" customHeight="1">
      <c r="A355" s="49"/>
      <c r="C355" s="84"/>
      <c r="E355" s="49"/>
      <c r="G355" s="50"/>
    </row>
    <row r="356" ht="15.75" customHeight="1">
      <c r="A356" s="49"/>
      <c r="C356" s="84"/>
      <c r="E356" s="49"/>
      <c r="G356" s="50"/>
    </row>
    <row r="357" ht="15.75" customHeight="1">
      <c r="A357" s="49"/>
      <c r="C357" s="84"/>
      <c r="E357" s="49"/>
      <c r="G357" s="50"/>
    </row>
    <row r="358" ht="15.75" customHeight="1">
      <c r="A358" s="49"/>
      <c r="C358" s="84"/>
      <c r="E358" s="49"/>
      <c r="G358" s="50"/>
    </row>
    <row r="359" ht="15.75" customHeight="1">
      <c r="A359" s="49"/>
      <c r="C359" s="84"/>
      <c r="E359" s="49"/>
      <c r="G359" s="50"/>
    </row>
    <row r="360" ht="15.75" customHeight="1">
      <c r="A360" s="49"/>
      <c r="C360" s="84"/>
      <c r="E360" s="49"/>
      <c r="G360" s="50"/>
    </row>
    <row r="361" ht="15.75" customHeight="1">
      <c r="A361" s="49"/>
      <c r="C361" s="84"/>
      <c r="E361" s="49"/>
      <c r="G361" s="50"/>
    </row>
    <row r="362" ht="15.75" customHeight="1">
      <c r="A362" s="49"/>
      <c r="C362" s="84"/>
      <c r="E362" s="49"/>
      <c r="G362" s="50"/>
    </row>
    <row r="363" ht="15.75" customHeight="1">
      <c r="A363" s="49"/>
      <c r="C363" s="84"/>
      <c r="E363" s="49"/>
      <c r="G363" s="50"/>
    </row>
    <row r="364" ht="15.75" customHeight="1">
      <c r="A364" s="49"/>
      <c r="C364" s="84"/>
      <c r="E364" s="49"/>
      <c r="G364" s="50"/>
    </row>
    <row r="365" ht="15.75" customHeight="1">
      <c r="A365" s="49"/>
      <c r="C365" s="84"/>
      <c r="E365" s="49"/>
      <c r="G365" s="50"/>
    </row>
    <row r="366" ht="15.75" customHeight="1">
      <c r="A366" s="49"/>
      <c r="C366" s="84"/>
      <c r="E366" s="49"/>
      <c r="G366" s="50"/>
    </row>
    <row r="367" ht="15.75" customHeight="1">
      <c r="A367" s="49"/>
      <c r="C367" s="84"/>
      <c r="E367" s="49"/>
      <c r="G367" s="50"/>
    </row>
    <row r="368" ht="15.75" customHeight="1">
      <c r="A368" s="49"/>
      <c r="C368" s="84"/>
      <c r="E368" s="49"/>
      <c r="G368" s="50"/>
    </row>
    <row r="369" ht="15.75" customHeight="1">
      <c r="A369" s="49"/>
      <c r="C369" s="84"/>
      <c r="E369" s="49"/>
      <c r="G369" s="50"/>
    </row>
    <row r="370" ht="15.75" customHeight="1">
      <c r="A370" s="49"/>
      <c r="C370" s="84"/>
      <c r="E370" s="49"/>
      <c r="G370" s="50"/>
    </row>
    <row r="371" ht="15.75" customHeight="1">
      <c r="A371" s="49"/>
      <c r="C371" s="84"/>
      <c r="E371" s="49"/>
      <c r="G371" s="50"/>
    </row>
    <row r="372" ht="15.75" customHeight="1">
      <c r="A372" s="49"/>
      <c r="C372" s="84"/>
      <c r="E372" s="49"/>
      <c r="G372" s="50"/>
    </row>
    <row r="373" ht="15.75" customHeight="1">
      <c r="A373" s="49"/>
      <c r="C373" s="84"/>
      <c r="E373" s="49"/>
      <c r="G373" s="50"/>
    </row>
    <row r="374" ht="15.75" customHeight="1">
      <c r="A374" s="49"/>
      <c r="C374" s="84"/>
      <c r="E374" s="49"/>
      <c r="G374" s="50"/>
    </row>
    <row r="375" ht="15.75" customHeight="1">
      <c r="A375" s="49"/>
      <c r="C375" s="84"/>
      <c r="E375" s="49"/>
      <c r="G375" s="50"/>
    </row>
    <row r="376" ht="15.75" customHeight="1">
      <c r="A376" s="49"/>
      <c r="C376" s="84"/>
      <c r="E376" s="49"/>
      <c r="G376" s="50"/>
    </row>
    <row r="377" ht="15.75" customHeight="1">
      <c r="A377" s="49"/>
      <c r="C377" s="84"/>
      <c r="E377" s="49"/>
      <c r="G377" s="50"/>
    </row>
    <row r="378" ht="15.75" customHeight="1">
      <c r="A378" s="49"/>
      <c r="C378" s="84"/>
      <c r="E378" s="49"/>
      <c r="G378" s="50"/>
    </row>
    <row r="379" ht="15.75" customHeight="1">
      <c r="A379" s="49"/>
      <c r="C379" s="84"/>
      <c r="E379" s="49"/>
      <c r="G379" s="50"/>
    </row>
    <row r="380" ht="15.75" customHeight="1">
      <c r="A380" s="49"/>
      <c r="C380" s="84"/>
      <c r="E380" s="49"/>
      <c r="G380" s="50"/>
    </row>
    <row r="381" ht="15.75" customHeight="1">
      <c r="A381" s="49"/>
      <c r="C381" s="84"/>
      <c r="E381" s="49"/>
      <c r="G381" s="50"/>
    </row>
    <row r="382" ht="15.75" customHeight="1">
      <c r="A382" s="49"/>
      <c r="C382" s="84"/>
      <c r="E382" s="49"/>
      <c r="G382" s="50"/>
    </row>
    <row r="383" ht="15.75" customHeight="1">
      <c r="A383" s="49"/>
      <c r="C383" s="84"/>
      <c r="E383" s="49"/>
      <c r="G383" s="50"/>
    </row>
    <row r="384" ht="15.75" customHeight="1">
      <c r="A384" s="49"/>
      <c r="C384" s="84"/>
      <c r="E384" s="49"/>
      <c r="G384" s="50"/>
    </row>
    <row r="385" ht="15.75" customHeight="1">
      <c r="A385" s="49"/>
      <c r="C385" s="84"/>
      <c r="E385" s="49"/>
      <c r="G385" s="50"/>
    </row>
    <row r="386" ht="15.75" customHeight="1">
      <c r="A386" s="49"/>
      <c r="C386" s="84"/>
      <c r="E386" s="49"/>
      <c r="G386" s="50"/>
    </row>
    <row r="387" ht="15.75" customHeight="1">
      <c r="A387" s="49"/>
      <c r="C387" s="84"/>
      <c r="E387" s="49"/>
      <c r="G387" s="50"/>
    </row>
    <row r="388" ht="15.75" customHeight="1">
      <c r="A388" s="49"/>
      <c r="C388" s="84"/>
      <c r="E388" s="49"/>
      <c r="G388" s="50"/>
    </row>
    <row r="389" ht="15.75" customHeight="1">
      <c r="A389" s="49"/>
      <c r="C389" s="84"/>
      <c r="E389" s="49"/>
      <c r="G389" s="50"/>
    </row>
    <row r="390" ht="15.75" customHeight="1">
      <c r="A390" s="49"/>
      <c r="C390" s="84"/>
      <c r="E390" s="49"/>
      <c r="G390" s="50"/>
    </row>
    <row r="391" ht="15.75" customHeight="1">
      <c r="A391" s="49"/>
      <c r="C391" s="84"/>
      <c r="E391" s="49"/>
      <c r="G391" s="50"/>
    </row>
    <row r="392" ht="15.75" customHeight="1">
      <c r="A392" s="49"/>
      <c r="C392" s="84"/>
      <c r="E392" s="49"/>
      <c r="G392" s="50"/>
    </row>
    <row r="393" ht="15.75" customHeight="1">
      <c r="A393" s="49"/>
      <c r="C393" s="84"/>
      <c r="E393" s="49"/>
      <c r="G393" s="50"/>
    </row>
    <row r="394" ht="15.75" customHeight="1">
      <c r="A394" s="49"/>
      <c r="C394" s="84"/>
      <c r="E394" s="49"/>
      <c r="G394" s="50"/>
    </row>
    <row r="395" ht="15.75" customHeight="1">
      <c r="A395" s="49"/>
      <c r="C395" s="84"/>
      <c r="E395" s="49"/>
      <c r="G395" s="50"/>
    </row>
    <row r="396" ht="15.75" customHeight="1">
      <c r="A396" s="49"/>
      <c r="C396" s="84"/>
      <c r="E396" s="49"/>
      <c r="G396" s="50"/>
    </row>
    <row r="397" ht="15.75" customHeight="1">
      <c r="A397" s="49"/>
      <c r="C397" s="84"/>
      <c r="E397" s="49"/>
      <c r="G397" s="50"/>
    </row>
    <row r="398" ht="15.75" customHeight="1">
      <c r="A398" s="49"/>
      <c r="C398" s="84"/>
      <c r="E398" s="49"/>
      <c r="G398" s="50"/>
    </row>
    <row r="399" ht="15.75" customHeight="1">
      <c r="A399" s="49"/>
      <c r="C399" s="84"/>
      <c r="E399" s="49"/>
      <c r="G399" s="50"/>
    </row>
    <row r="400" ht="15.75" customHeight="1">
      <c r="A400" s="49"/>
      <c r="C400" s="84"/>
      <c r="E400" s="49"/>
      <c r="G400" s="50"/>
    </row>
    <row r="401" ht="15.75" customHeight="1">
      <c r="A401" s="49"/>
      <c r="C401" s="84"/>
      <c r="E401" s="49"/>
      <c r="G401" s="50"/>
    </row>
    <row r="402" ht="15.75" customHeight="1">
      <c r="A402" s="49"/>
      <c r="C402" s="84"/>
      <c r="E402" s="49"/>
      <c r="G402" s="50"/>
    </row>
    <row r="403" ht="15.75" customHeight="1">
      <c r="A403" s="49"/>
      <c r="C403" s="84"/>
      <c r="E403" s="49"/>
      <c r="G403" s="50"/>
    </row>
    <row r="404" ht="15.75" customHeight="1">
      <c r="A404" s="49"/>
      <c r="C404" s="84"/>
      <c r="E404" s="49"/>
      <c r="G404" s="50"/>
    </row>
    <row r="405" ht="15.75" customHeight="1">
      <c r="A405" s="49"/>
      <c r="C405" s="84"/>
      <c r="E405" s="49"/>
      <c r="G405" s="50"/>
    </row>
    <row r="406" ht="15.75" customHeight="1">
      <c r="A406" s="49"/>
      <c r="C406" s="84"/>
      <c r="E406" s="49"/>
      <c r="G406" s="50"/>
    </row>
    <row r="407" ht="15.75" customHeight="1">
      <c r="A407" s="49"/>
      <c r="C407" s="84"/>
      <c r="E407" s="49"/>
      <c r="G407" s="50"/>
    </row>
    <row r="408" ht="15.75" customHeight="1">
      <c r="A408" s="49"/>
      <c r="C408" s="84"/>
      <c r="E408" s="49"/>
      <c r="G408" s="50"/>
    </row>
    <row r="409" ht="15.75" customHeight="1">
      <c r="A409" s="49"/>
      <c r="C409" s="84"/>
      <c r="E409" s="49"/>
      <c r="G409" s="50"/>
    </row>
    <row r="410" ht="15.75" customHeight="1">
      <c r="A410" s="49"/>
      <c r="C410" s="84"/>
      <c r="E410" s="49"/>
      <c r="G410" s="50"/>
    </row>
    <row r="411" ht="15.75" customHeight="1">
      <c r="A411" s="49"/>
      <c r="C411" s="84"/>
      <c r="E411" s="49"/>
      <c r="G411" s="50"/>
    </row>
    <row r="412" ht="15.75" customHeight="1">
      <c r="A412" s="49"/>
      <c r="C412" s="84"/>
      <c r="E412" s="49"/>
      <c r="G412" s="50"/>
    </row>
    <row r="413" ht="15.75" customHeight="1">
      <c r="A413" s="49"/>
      <c r="C413" s="84"/>
      <c r="E413" s="49"/>
      <c r="G413" s="50"/>
    </row>
    <row r="414" ht="15.75" customHeight="1">
      <c r="A414" s="49"/>
      <c r="C414" s="84"/>
      <c r="E414" s="49"/>
      <c r="G414" s="50"/>
    </row>
    <row r="415" ht="15.75" customHeight="1">
      <c r="A415" s="49"/>
      <c r="C415" s="84"/>
      <c r="E415" s="49"/>
      <c r="G415" s="50"/>
    </row>
    <row r="416" ht="15.75" customHeight="1">
      <c r="A416" s="49"/>
      <c r="C416" s="84"/>
      <c r="E416" s="49"/>
      <c r="G416" s="50"/>
    </row>
    <row r="417" ht="15.75" customHeight="1">
      <c r="A417" s="49"/>
      <c r="C417" s="84"/>
      <c r="E417" s="49"/>
      <c r="G417" s="50"/>
    </row>
    <row r="418" ht="15.75" customHeight="1">
      <c r="A418" s="49"/>
      <c r="C418" s="84"/>
      <c r="E418" s="49"/>
      <c r="G418" s="50"/>
    </row>
    <row r="419" ht="15.75" customHeight="1">
      <c r="A419" s="49"/>
      <c r="C419" s="84"/>
      <c r="E419" s="49"/>
      <c r="G419" s="50"/>
    </row>
    <row r="420" ht="15.75" customHeight="1">
      <c r="A420" s="49"/>
      <c r="C420" s="84"/>
      <c r="E420" s="49"/>
      <c r="G420" s="50"/>
    </row>
    <row r="421" ht="15.75" customHeight="1">
      <c r="A421" s="49"/>
      <c r="C421" s="84"/>
      <c r="E421" s="49"/>
      <c r="G421" s="50"/>
    </row>
    <row r="422" ht="15.75" customHeight="1">
      <c r="A422" s="49"/>
      <c r="C422" s="84"/>
      <c r="E422" s="49"/>
      <c r="G422" s="50"/>
    </row>
    <row r="423" ht="15.75" customHeight="1">
      <c r="A423" s="49"/>
      <c r="C423" s="84"/>
      <c r="E423" s="49"/>
      <c r="G423" s="50"/>
    </row>
    <row r="424" ht="15.75" customHeight="1">
      <c r="A424" s="49"/>
      <c r="C424" s="84"/>
      <c r="E424" s="49"/>
      <c r="G424" s="50"/>
    </row>
    <row r="425" ht="15.75" customHeight="1">
      <c r="A425" s="49"/>
      <c r="C425" s="84"/>
      <c r="E425" s="49"/>
      <c r="G425" s="50"/>
    </row>
    <row r="426" ht="15.75" customHeight="1">
      <c r="A426" s="49"/>
      <c r="C426" s="84"/>
      <c r="E426" s="49"/>
      <c r="G426" s="50"/>
    </row>
    <row r="427" ht="15.75" customHeight="1">
      <c r="A427" s="49"/>
      <c r="C427" s="84"/>
      <c r="E427" s="49"/>
      <c r="G427" s="50"/>
    </row>
    <row r="428" ht="15.75" customHeight="1">
      <c r="A428" s="49"/>
      <c r="C428" s="84"/>
      <c r="E428" s="49"/>
      <c r="G428" s="50"/>
    </row>
    <row r="429" ht="15.75" customHeight="1">
      <c r="A429" s="49"/>
      <c r="C429" s="84"/>
      <c r="E429" s="49"/>
      <c r="G429" s="50"/>
    </row>
    <row r="430" ht="15.75" customHeight="1">
      <c r="A430" s="49"/>
      <c r="C430" s="84"/>
      <c r="E430" s="49"/>
      <c r="G430" s="50"/>
    </row>
    <row r="431" ht="15.75" customHeight="1">
      <c r="A431" s="49"/>
      <c r="C431" s="84"/>
      <c r="E431" s="49"/>
      <c r="G431" s="50"/>
    </row>
    <row r="432" ht="15.75" customHeight="1">
      <c r="A432" s="49"/>
      <c r="C432" s="84"/>
      <c r="E432" s="49"/>
      <c r="G432" s="50"/>
    </row>
    <row r="433" ht="15.75" customHeight="1">
      <c r="A433" s="49"/>
      <c r="C433" s="84"/>
      <c r="E433" s="49"/>
      <c r="G433" s="50"/>
    </row>
    <row r="434" ht="15.75" customHeight="1">
      <c r="A434" s="49"/>
      <c r="C434" s="84"/>
      <c r="E434" s="49"/>
      <c r="G434" s="50"/>
    </row>
    <row r="435" ht="15.75" customHeight="1">
      <c r="A435" s="49"/>
      <c r="C435" s="84"/>
      <c r="E435" s="49"/>
      <c r="G435" s="50"/>
    </row>
    <row r="436" ht="15.75" customHeight="1">
      <c r="A436" s="49"/>
      <c r="C436" s="84"/>
      <c r="E436" s="49"/>
      <c r="G436" s="50"/>
    </row>
    <row r="437" ht="15.75" customHeight="1">
      <c r="A437" s="49"/>
      <c r="C437" s="84"/>
      <c r="E437" s="49"/>
      <c r="G437" s="50"/>
    </row>
    <row r="438" ht="15.75" customHeight="1">
      <c r="A438" s="49"/>
      <c r="C438" s="84"/>
      <c r="E438" s="49"/>
      <c r="G438" s="50"/>
    </row>
    <row r="439" ht="15.75" customHeight="1">
      <c r="A439" s="49"/>
      <c r="C439" s="84"/>
      <c r="E439" s="49"/>
      <c r="G439" s="50"/>
    </row>
    <row r="440" ht="15.75" customHeight="1">
      <c r="A440" s="49"/>
      <c r="C440" s="84"/>
      <c r="E440" s="49"/>
      <c r="G440" s="50"/>
    </row>
    <row r="441" ht="15.75" customHeight="1">
      <c r="A441" s="49"/>
      <c r="C441" s="84"/>
      <c r="E441" s="49"/>
      <c r="G441" s="50"/>
    </row>
    <row r="442" ht="15.75" customHeight="1">
      <c r="A442" s="49"/>
      <c r="C442" s="84"/>
      <c r="E442" s="49"/>
      <c r="G442" s="50"/>
    </row>
    <row r="443" ht="15.75" customHeight="1">
      <c r="A443" s="49"/>
      <c r="C443" s="84"/>
      <c r="E443" s="49"/>
      <c r="G443" s="50"/>
    </row>
    <row r="444" ht="15.75" customHeight="1">
      <c r="A444" s="49"/>
      <c r="C444" s="84"/>
      <c r="E444" s="49"/>
      <c r="G444" s="50"/>
    </row>
    <row r="445" ht="15.75" customHeight="1">
      <c r="A445" s="49"/>
      <c r="C445" s="84"/>
      <c r="E445" s="49"/>
      <c r="G445" s="50"/>
    </row>
    <row r="446" ht="15.75" customHeight="1">
      <c r="A446" s="49"/>
      <c r="C446" s="84"/>
      <c r="E446" s="49"/>
      <c r="G446" s="50"/>
    </row>
    <row r="447" ht="15.75" customHeight="1">
      <c r="A447" s="49"/>
      <c r="C447" s="84"/>
      <c r="E447" s="49"/>
      <c r="G447" s="50"/>
    </row>
    <row r="448" ht="15.75" customHeight="1">
      <c r="A448" s="49"/>
      <c r="C448" s="84"/>
      <c r="E448" s="49"/>
      <c r="G448" s="50"/>
    </row>
    <row r="449" ht="15.75" customHeight="1">
      <c r="A449" s="49"/>
      <c r="C449" s="84"/>
      <c r="E449" s="49"/>
      <c r="G449" s="50"/>
    </row>
    <row r="450" ht="15.75" customHeight="1">
      <c r="A450" s="49"/>
      <c r="C450" s="84"/>
      <c r="E450" s="49"/>
      <c r="G450" s="50"/>
    </row>
    <row r="451" ht="15.75" customHeight="1">
      <c r="A451" s="49"/>
      <c r="C451" s="84"/>
      <c r="E451" s="49"/>
      <c r="G451" s="50"/>
    </row>
    <row r="452" ht="15.75" customHeight="1">
      <c r="A452" s="49"/>
      <c r="C452" s="84"/>
      <c r="E452" s="49"/>
      <c r="G452" s="50"/>
    </row>
    <row r="453" ht="15.75" customHeight="1">
      <c r="A453" s="49"/>
      <c r="C453" s="84"/>
      <c r="E453" s="49"/>
      <c r="G453" s="50"/>
    </row>
    <row r="454" ht="15.75" customHeight="1">
      <c r="A454" s="49"/>
      <c r="C454" s="84"/>
      <c r="E454" s="49"/>
      <c r="G454" s="50"/>
    </row>
    <row r="455" ht="15.75" customHeight="1">
      <c r="A455" s="49"/>
      <c r="C455" s="84"/>
      <c r="E455" s="49"/>
      <c r="G455" s="50"/>
    </row>
    <row r="456" ht="15.75" customHeight="1">
      <c r="A456" s="49"/>
      <c r="C456" s="84"/>
      <c r="E456" s="49"/>
      <c r="G456" s="50"/>
    </row>
    <row r="457" ht="15.75" customHeight="1">
      <c r="A457" s="49"/>
      <c r="C457" s="84"/>
      <c r="E457" s="49"/>
      <c r="G457" s="50"/>
    </row>
    <row r="458" ht="15.75" customHeight="1">
      <c r="A458" s="49"/>
      <c r="C458" s="84"/>
      <c r="E458" s="49"/>
      <c r="G458" s="50"/>
    </row>
    <row r="459" ht="15.75" customHeight="1">
      <c r="A459" s="49"/>
      <c r="C459" s="84"/>
      <c r="E459" s="49"/>
      <c r="G459" s="50"/>
    </row>
    <row r="460" ht="15.75" customHeight="1">
      <c r="A460" s="49"/>
      <c r="C460" s="84"/>
      <c r="E460" s="49"/>
      <c r="G460" s="50"/>
    </row>
    <row r="461" ht="15.75" customHeight="1">
      <c r="A461" s="49"/>
      <c r="C461" s="84"/>
      <c r="E461" s="49"/>
      <c r="G461" s="50"/>
    </row>
    <row r="462" ht="15.75" customHeight="1">
      <c r="A462" s="49"/>
      <c r="C462" s="84"/>
      <c r="E462" s="49"/>
      <c r="G462" s="50"/>
    </row>
    <row r="463" ht="15.75" customHeight="1">
      <c r="A463" s="49"/>
      <c r="C463" s="84"/>
      <c r="E463" s="49"/>
      <c r="G463" s="50"/>
    </row>
    <row r="464" ht="15.75" customHeight="1">
      <c r="A464" s="49"/>
      <c r="C464" s="84"/>
      <c r="E464" s="49"/>
      <c r="G464" s="50"/>
    </row>
    <row r="465" ht="15.75" customHeight="1">
      <c r="A465" s="49"/>
      <c r="C465" s="84"/>
      <c r="E465" s="49"/>
      <c r="G465" s="50"/>
    </row>
    <row r="466" ht="15.75" customHeight="1">
      <c r="A466" s="49"/>
      <c r="C466" s="84"/>
      <c r="E466" s="49"/>
      <c r="G466" s="50"/>
    </row>
    <row r="467" ht="15.75" customHeight="1">
      <c r="A467" s="49"/>
      <c r="C467" s="84"/>
      <c r="E467" s="49"/>
      <c r="G467" s="50"/>
    </row>
    <row r="468" ht="15.75" customHeight="1">
      <c r="A468" s="49"/>
      <c r="C468" s="84"/>
      <c r="E468" s="49"/>
      <c r="G468" s="50"/>
    </row>
    <row r="469" ht="15.75" customHeight="1">
      <c r="A469" s="49"/>
      <c r="C469" s="84"/>
      <c r="E469" s="49"/>
      <c r="G469" s="50"/>
    </row>
    <row r="470" ht="15.75" customHeight="1">
      <c r="A470" s="49"/>
      <c r="C470" s="84"/>
      <c r="E470" s="49"/>
      <c r="G470" s="50"/>
    </row>
    <row r="471" ht="15.75" customHeight="1">
      <c r="A471" s="49"/>
      <c r="C471" s="84"/>
      <c r="E471" s="49"/>
      <c r="G471" s="50"/>
    </row>
    <row r="472" ht="15.75" customHeight="1">
      <c r="A472" s="49"/>
      <c r="C472" s="84"/>
      <c r="E472" s="49"/>
      <c r="G472" s="50"/>
    </row>
    <row r="473" ht="15.75" customHeight="1">
      <c r="A473" s="49"/>
      <c r="C473" s="84"/>
      <c r="E473" s="49"/>
      <c r="G473" s="50"/>
    </row>
    <row r="474" ht="15.75" customHeight="1">
      <c r="A474" s="49"/>
      <c r="C474" s="84"/>
      <c r="E474" s="49"/>
      <c r="G474" s="50"/>
    </row>
    <row r="475" ht="15.75" customHeight="1">
      <c r="A475" s="49"/>
      <c r="C475" s="84"/>
      <c r="E475" s="49"/>
      <c r="G475" s="50"/>
    </row>
    <row r="476" ht="15.75" customHeight="1">
      <c r="A476" s="49"/>
      <c r="C476" s="84"/>
      <c r="E476" s="49"/>
      <c r="G476" s="50"/>
    </row>
    <row r="477" ht="15.75" customHeight="1">
      <c r="A477" s="49"/>
      <c r="C477" s="84"/>
      <c r="E477" s="49"/>
      <c r="G477" s="50"/>
    </row>
    <row r="478" ht="15.75" customHeight="1">
      <c r="A478" s="49"/>
      <c r="C478" s="84"/>
      <c r="E478" s="49"/>
      <c r="G478" s="50"/>
    </row>
    <row r="479" ht="15.75" customHeight="1">
      <c r="A479" s="49"/>
      <c r="C479" s="84"/>
      <c r="E479" s="49"/>
      <c r="G479" s="50"/>
    </row>
    <row r="480" ht="15.75" customHeight="1">
      <c r="A480" s="49"/>
      <c r="C480" s="84"/>
      <c r="E480" s="49"/>
      <c r="G480" s="50"/>
    </row>
    <row r="481" ht="15.75" customHeight="1">
      <c r="A481" s="49"/>
      <c r="C481" s="84"/>
      <c r="E481" s="49"/>
      <c r="G481" s="50"/>
    </row>
    <row r="482" ht="15.75" customHeight="1">
      <c r="A482" s="49"/>
      <c r="C482" s="84"/>
      <c r="E482" s="49"/>
      <c r="G482" s="50"/>
    </row>
    <row r="483" ht="15.75" customHeight="1">
      <c r="A483" s="49"/>
      <c r="C483" s="84"/>
      <c r="E483" s="49"/>
      <c r="G483" s="50"/>
    </row>
    <row r="484" ht="15.75" customHeight="1">
      <c r="A484" s="49"/>
      <c r="C484" s="84"/>
      <c r="E484" s="49"/>
      <c r="G484" s="50"/>
    </row>
    <row r="485" ht="15.75" customHeight="1">
      <c r="A485" s="49"/>
      <c r="C485" s="84"/>
      <c r="E485" s="49"/>
      <c r="G485" s="50"/>
    </row>
    <row r="486" ht="15.75" customHeight="1">
      <c r="A486" s="49"/>
      <c r="C486" s="84"/>
      <c r="E486" s="49"/>
      <c r="G486" s="50"/>
    </row>
    <row r="487" ht="15.75" customHeight="1">
      <c r="A487" s="49"/>
      <c r="C487" s="84"/>
      <c r="E487" s="49"/>
      <c r="G487" s="50"/>
    </row>
    <row r="488" ht="15.75" customHeight="1">
      <c r="A488" s="49"/>
      <c r="C488" s="84"/>
      <c r="E488" s="49"/>
      <c r="G488" s="50"/>
    </row>
    <row r="489" ht="15.75" customHeight="1">
      <c r="A489" s="49"/>
      <c r="C489" s="84"/>
      <c r="E489" s="49"/>
      <c r="G489" s="50"/>
    </row>
    <row r="490" ht="15.75" customHeight="1">
      <c r="A490" s="49"/>
      <c r="C490" s="84"/>
      <c r="E490" s="49"/>
      <c r="G490" s="50"/>
    </row>
    <row r="491" ht="15.75" customHeight="1">
      <c r="A491" s="49"/>
      <c r="C491" s="84"/>
      <c r="E491" s="49"/>
      <c r="G491" s="50"/>
    </row>
    <row r="492" ht="15.75" customHeight="1">
      <c r="A492" s="49"/>
      <c r="C492" s="84"/>
      <c r="E492" s="49"/>
      <c r="G492" s="50"/>
    </row>
    <row r="493" ht="15.75" customHeight="1">
      <c r="A493" s="49"/>
      <c r="C493" s="84"/>
      <c r="E493" s="49"/>
      <c r="G493" s="50"/>
    </row>
    <row r="494" ht="15.75" customHeight="1">
      <c r="A494" s="49"/>
      <c r="C494" s="84"/>
      <c r="E494" s="49"/>
      <c r="G494" s="50"/>
    </row>
    <row r="495" ht="15.75" customHeight="1">
      <c r="A495" s="49"/>
      <c r="C495" s="84"/>
      <c r="E495" s="49"/>
      <c r="G495" s="50"/>
    </row>
    <row r="496" ht="15.75" customHeight="1">
      <c r="A496" s="49"/>
      <c r="C496" s="84"/>
      <c r="E496" s="49"/>
      <c r="G496" s="50"/>
    </row>
    <row r="497" ht="15.75" customHeight="1">
      <c r="A497" s="49"/>
      <c r="C497" s="84"/>
      <c r="E497" s="49"/>
      <c r="G497" s="50"/>
    </row>
    <row r="498" ht="15.75" customHeight="1">
      <c r="A498" s="49"/>
      <c r="C498" s="84"/>
      <c r="E498" s="49"/>
      <c r="G498" s="50"/>
    </row>
    <row r="499" ht="15.75" customHeight="1">
      <c r="A499" s="49"/>
      <c r="C499" s="84"/>
      <c r="E499" s="49"/>
      <c r="G499" s="50"/>
    </row>
    <row r="500" ht="15.75" customHeight="1">
      <c r="A500" s="49"/>
      <c r="C500" s="84"/>
      <c r="E500" s="49"/>
      <c r="G500" s="50"/>
    </row>
    <row r="501" ht="15.75" customHeight="1">
      <c r="A501" s="49"/>
      <c r="C501" s="84"/>
      <c r="E501" s="49"/>
      <c r="G501" s="50"/>
    </row>
    <row r="502" ht="15.75" customHeight="1">
      <c r="A502" s="49"/>
      <c r="C502" s="84"/>
      <c r="E502" s="49"/>
      <c r="G502" s="50"/>
    </row>
    <row r="503" ht="15.75" customHeight="1">
      <c r="A503" s="49"/>
      <c r="C503" s="84"/>
      <c r="E503" s="49"/>
      <c r="G503" s="50"/>
    </row>
    <row r="504" ht="15.75" customHeight="1">
      <c r="A504" s="49"/>
      <c r="C504" s="84"/>
      <c r="E504" s="49"/>
      <c r="G504" s="50"/>
    </row>
    <row r="505" ht="15.75" customHeight="1">
      <c r="A505" s="49"/>
      <c r="C505" s="84"/>
      <c r="E505" s="49"/>
      <c r="G505" s="50"/>
    </row>
    <row r="506" ht="15.75" customHeight="1">
      <c r="A506" s="49"/>
      <c r="C506" s="84"/>
      <c r="E506" s="49"/>
      <c r="G506" s="50"/>
    </row>
    <row r="507" ht="15.75" customHeight="1">
      <c r="A507" s="49"/>
      <c r="C507" s="84"/>
      <c r="E507" s="49"/>
      <c r="G507" s="50"/>
    </row>
    <row r="508" ht="15.75" customHeight="1">
      <c r="A508" s="49"/>
      <c r="C508" s="84"/>
      <c r="E508" s="49"/>
      <c r="G508" s="50"/>
    </row>
    <row r="509" ht="15.75" customHeight="1">
      <c r="A509" s="49"/>
      <c r="C509" s="84"/>
      <c r="E509" s="49"/>
      <c r="G509" s="50"/>
    </row>
    <row r="510" ht="15.75" customHeight="1">
      <c r="A510" s="49"/>
      <c r="C510" s="84"/>
      <c r="E510" s="49"/>
      <c r="G510" s="50"/>
    </row>
    <row r="511" ht="15.75" customHeight="1">
      <c r="A511" s="49"/>
      <c r="C511" s="84"/>
      <c r="E511" s="49"/>
      <c r="G511" s="50"/>
    </row>
    <row r="512" ht="15.75" customHeight="1">
      <c r="A512" s="49"/>
      <c r="C512" s="84"/>
      <c r="E512" s="49"/>
      <c r="G512" s="50"/>
    </row>
    <row r="513" ht="15.75" customHeight="1">
      <c r="A513" s="49"/>
      <c r="C513" s="84"/>
      <c r="E513" s="49"/>
      <c r="G513" s="50"/>
    </row>
    <row r="514" ht="15.75" customHeight="1">
      <c r="A514" s="49"/>
      <c r="C514" s="84"/>
      <c r="E514" s="49"/>
      <c r="G514" s="50"/>
    </row>
    <row r="515" ht="15.75" customHeight="1">
      <c r="A515" s="49"/>
      <c r="C515" s="84"/>
      <c r="E515" s="49"/>
      <c r="G515" s="50"/>
    </row>
    <row r="516" ht="15.75" customHeight="1">
      <c r="A516" s="49"/>
      <c r="C516" s="84"/>
      <c r="E516" s="49"/>
      <c r="G516" s="50"/>
    </row>
    <row r="517" ht="15.75" customHeight="1">
      <c r="A517" s="49"/>
      <c r="C517" s="84"/>
      <c r="E517" s="49"/>
      <c r="G517" s="50"/>
    </row>
    <row r="518" ht="15.75" customHeight="1">
      <c r="A518" s="49"/>
      <c r="C518" s="84"/>
      <c r="E518" s="49"/>
      <c r="G518" s="50"/>
    </row>
    <row r="519" ht="15.75" customHeight="1">
      <c r="A519" s="49"/>
      <c r="C519" s="84"/>
      <c r="E519" s="49"/>
      <c r="G519" s="50"/>
    </row>
    <row r="520" ht="15.75" customHeight="1">
      <c r="A520" s="49"/>
      <c r="C520" s="84"/>
      <c r="E520" s="49"/>
      <c r="G520" s="50"/>
    </row>
    <row r="521" ht="15.75" customHeight="1">
      <c r="A521" s="49"/>
      <c r="C521" s="84"/>
      <c r="E521" s="49"/>
      <c r="G521" s="50"/>
    </row>
    <row r="522" ht="15.75" customHeight="1">
      <c r="A522" s="49"/>
      <c r="C522" s="84"/>
      <c r="E522" s="49"/>
      <c r="G522" s="50"/>
    </row>
    <row r="523" ht="15.75" customHeight="1">
      <c r="A523" s="49"/>
      <c r="C523" s="84"/>
      <c r="E523" s="49"/>
      <c r="G523" s="50"/>
    </row>
    <row r="524" ht="15.75" customHeight="1">
      <c r="A524" s="49"/>
      <c r="C524" s="84"/>
      <c r="E524" s="49"/>
      <c r="G524" s="50"/>
    </row>
    <row r="525" ht="15.75" customHeight="1">
      <c r="A525" s="49"/>
      <c r="C525" s="84"/>
      <c r="E525" s="49"/>
      <c r="G525" s="50"/>
    </row>
    <row r="526" ht="15.75" customHeight="1">
      <c r="A526" s="49"/>
      <c r="C526" s="84"/>
      <c r="E526" s="49"/>
      <c r="G526" s="50"/>
    </row>
    <row r="527" ht="15.75" customHeight="1">
      <c r="A527" s="49"/>
      <c r="C527" s="84"/>
      <c r="E527" s="49"/>
      <c r="G527" s="50"/>
    </row>
    <row r="528" ht="15.75" customHeight="1">
      <c r="A528" s="49"/>
      <c r="C528" s="84"/>
      <c r="E528" s="49"/>
      <c r="G528" s="50"/>
    </row>
    <row r="529" ht="15.75" customHeight="1">
      <c r="A529" s="49"/>
      <c r="C529" s="84"/>
      <c r="E529" s="49"/>
      <c r="G529" s="50"/>
    </row>
    <row r="530" ht="15.75" customHeight="1">
      <c r="A530" s="49"/>
      <c r="C530" s="84"/>
      <c r="E530" s="49"/>
      <c r="G530" s="50"/>
    </row>
    <row r="531" ht="15.75" customHeight="1">
      <c r="A531" s="49"/>
      <c r="C531" s="84"/>
      <c r="E531" s="49"/>
      <c r="G531" s="50"/>
    </row>
    <row r="532" ht="15.75" customHeight="1">
      <c r="A532" s="49"/>
      <c r="C532" s="84"/>
      <c r="E532" s="49"/>
      <c r="G532" s="50"/>
    </row>
    <row r="533" ht="15.75" customHeight="1">
      <c r="A533" s="49"/>
      <c r="C533" s="84"/>
      <c r="E533" s="49"/>
      <c r="G533" s="50"/>
    </row>
    <row r="534" ht="15.75" customHeight="1">
      <c r="A534" s="49"/>
      <c r="C534" s="84"/>
      <c r="E534" s="49"/>
      <c r="G534" s="50"/>
    </row>
    <row r="535" ht="15.75" customHeight="1">
      <c r="A535" s="49"/>
      <c r="C535" s="84"/>
      <c r="E535" s="49"/>
      <c r="G535" s="50"/>
    </row>
    <row r="536" ht="15.75" customHeight="1">
      <c r="A536" s="49"/>
      <c r="C536" s="84"/>
      <c r="E536" s="49"/>
      <c r="G536" s="50"/>
    </row>
    <row r="537" ht="15.75" customHeight="1">
      <c r="A537" s="49"/>
      <c r="C537" s="84"/>
      <c r="E537" s="49"/>
      <c r="G537" s="50"/>
    </row>
    <row r="538" ht="15.75" customHeight="1">
      <c r="A538" s="49"/>
      <c r="C538" s="84"/>
      <c r="E538" s="49"/>
      <c r="G538" s="50"/>
    </row>
    <row r="539" ht="15.75" customHeight="1">
      <c r="A539" s="49"/>
      <c r="C539" s="84"/>
      <c r="E539" s="49"/>
      <c r="G539" s="50"/>
    </row>
    <row r="540" ht="15.75" customHeight="1">
      <c r="A540" s="49"/>
      <c r="C540" s="84"/>
      <c r="E540" s="49"/>
      <c r="G540" s="50"/>
    </row>
    <row r="541" ht="15.75" customHeight="1">
      <c r="A541" s="49"/>
      <c r="C541" s="84"/>
      <c r="E541" s="49"/>
      <c r="G541" s="50"/>
    </row>
    <row r="542" ht="15.75" customHeight="1">
      <c r="A542" s="49"/>
      <c r="C542" s="84"/>
      <c r="E542" s="49"/>
      <c r="G542" s="50"/>
    </row>
    <row r="543" ht="15.75" customHeight="1">
      <c r="A543" s="49"/>
      <c r="C543" s="84"/>
      <c r="E543" s="49"/>
      <c r="G543" s="50"/>
    </row>
    <row r="544" ht="15.75" customHeight="1">
      <c r="A544" s="49"/>
      <c r="C544" s="84"/>
      <c r="E544" s="49"/>
      <c r="G544" s="50"/>
    </row>
    <row r="545" ht="15.75" customHeight="1">
      <c r="A545" s="49"/>
      <c r="C545" s="84"/>
      <c r="E545" s="49"/>
      <c r="G545" s="50"/>
    </row>
    <row r="546" ht="15.75" customHeight="1">
      <c r="A546" s="49"/>
      <c r="C546" s="84"/>
      <c r="E546" s="49"/>
      <c r="G546" s="50"/>
    </row>
    <row r="547" ht="15.75" customHeight="1">
      <c r="A547" s="49"/>
      <c r="C547" s="84"/>
      <c r="E547" s="49"/>
      <c r="G547" s="50"/>
    </row>
    <row r="548" ht="15.75" customHeight="1">
      <c r="A548" s="49"/>
      <c r="C548" s="84"/>
      <c r="E548" s="49"/>
      <c r="G548" s="50"/>
    </row>
    <row r="549" ht="15.75" customHeight="1">
      <c r="A549" s="49"/>
      <c r="C549" s="84"/>
      <c r="E549" s="49"/>
      <c r="G549" s="50"/>
    </row>
    <row r="550" ht="15.75" customHeight="1">
      <c r="A550" s="49"/>
      <c r="C550" s="84"/>
      <c r="E550" s="49"/>
      <c r="G550" s="50"/>
    </row>
    <row r="551" ht="15.75" customHeight="1">
      <c r="A551" s="49"/>
      <c r="C551" s="84"/>
      <c r="E551" s="49"/>
      <c r="G551" s="50"/>
    </row>
    <row r="552" ht="15.75" customHeight="1">
      <c r="A552" s="49"/>
      <c r="C552" s="84"/>
      <c r="E552" s="49"/>
      <c r="G552" s="50"/>
    </row>
    <row r="553" ht="15.75" customHeight="1">
      <c r="A553" s="49"/>
      <c r="C553" s="84"/>
      <c r="E553" s="49"/>
      <c r="G553" s="50"/>
    </row>
    <row r="554" ht="15.75" customHeight="1">
      <c r="A554" s="49"/>
      <c r="C554" s="84"/>
      <c r="E554" s="49"/>
      <c r="G554" s="50"/>
    </row>
    <row r="555" ht="15.75" customHeight="1">
      <c r="A555" s="49"/>
      <c r="C555" s="84"/>
      <c r="E555" s="49"/>
      <c r="G555" s="50"/>
    </row>
    <row r="556" ht="15.75" customHeight="1">
      <c r="A556" s="49"/>
      <c r="C556" s="84"/>
      <c r="E556" s="49"/>
      <c r="G556" s="50"/>
    </row>
    <row r="557" ht="15.75" customHeight="1">
      <c r="A557" s="49"/>
      <c r="C557" s="84"/>
      <c r="E557" s="49"/>
      <c r="G557" s="50"/>
    </row>
    <row r="558" ht="15.75" customHeight="1">
      <c r="A558" s="49"/>
      <c r="C558" s="84"/>
      <c r="E558" s="49"/>
      <c r="G558" s="50"/>
    </row>
    <row r="559" ht="15.75" customHeight="1">
      <c r="A559" s="49"/>
      <c r="C559" s="84"/>
      <c r="E559" s="49"/>
      <c r="G559" s="50"/>
    </row>
    <row r="560" ht="15.75" customHeight="1">
      <c r="A560" s="49"/>
      <c r="C560" s="84"/>
      <c r="E560" s="49"/>
      <c r="G560" s="50"/>
    </row>
    <row r="561" ht="15.75" customHeight="1">
      <c r="A561" s="49"/>
      <c r="C561" s="84"/>
      <c r="E561" s="49"/>
      <c r="G561" s="50"/>
    </row>
    <row r="562" ht="15.75" customHeight="1">
      <c r="A562" s="49"/>
      <c r="C562" s="84"/>
      <c r="E562" s="49"/>
      <c r="G562" s="50"/>
    </row>
    <row r="563" ht="15.75" customHeight="1">
      <c r="A563" s="49"/>
      <c r="C563" s="84"/>
      <c r="E563" s="49"/>
      <c r="G563" s="50"/>
    </row>
    <row r="564" ht="15.75" customHeight="1">
      <c r="A564" s="49"/>
      <c r="C564" s="84"/>
      <c r="E564" s="49"/>
      <c r="G564" s="50"/>
    </row>
    <row r="565" ht="15.75" customHeight="1">
      <c r="A565" s="49"/>
      <c r="C565" s="84"/>
      <c r="E565" s="49"/>
      <c r="G565" s="50"/>
    </row>
    <row r="566" ht="15.75" customHeight="1">
      <c r="A566" s="49"/>
      <c r="C566" s="84"/>
      <c r="E566" s="49"/>
      <c r="G566" s="50"/>
    </row>
    <row r="567" ht="15.75" customHeight="1">
      <c r="A567" s="49"/>
      <c r="C567" s="84"/>
      <c r="E567" s="49"/>
      <c r="G567" s="50"/>
    </row>
    <row r="568" ht="15.75" customHeight="1">
      <c r="A568" s="49"/>
      <c r="C568" s="84"/>
      <c r="E568" s="49"/>
      <c r="G568" s="50"/>
    </row>
    <row r="569" ht="15.75" customHeight="1">
      <c r="A569" s="49"/>
      <c r="C569" s="84"/>
      <c r="E569" s="49"/>
      <c r="G569" s="50"/>
    </row>
    <row r="570" ht="15.75" customHeight="1">
      <c r="A570" s="49"/>
      <c r="C570" s="84"/>
      <c r="E570" s="49"/>
      <c r="G570" s="50"/>
    </row>
    <row r="571" ht="15.75" customHeight="1">
      <c r="A571" s="49"/>
      <c r="C571" s="84"/>
      <c r="E571" s="49"/>
      <c r="G571" s="50"/>
    </row>
    <row r="572" ht="15.75" customHeight="1">
      <c r="A572" s="49"/>
      <c r="C572" s="84"/>
      <c r="E572" s="49"/>
      <c r="G572" s="50"/>
    </row>
    <row r="573" ht="15.75" customHeight="1">
      <c r="A573" s="49"/>
      <c r="C573" s="84"/>
      <c r="E573" s="49"/>
      <c r="G573" s="50"/>
    </row>
    <row r="574" ht="15.75" customHeight="1">
      <c r="A574" s="49"/>
      <c r="C574" s="84"/>
      <c r="E574" s="49"/>
      <c r="G574" s="50"/>
    </row>
    <row r="575" ht="15.75" customHeight="1">
      <c r="A575" s="49"/>
      <c r="C575" s="84"/>
      <c r="E575" s="49"/>
      <c r="G575" s="50"/>
    </row>
    <row r="576" ht="15.75" customHeight="1">
      <c r="A576" s="49"/>
      <c r="C576" s="84"/>
      <c r="E576" s="49"/>
      <c r="G576" s="50"/>
    </row>
    <row r="577" ht="15.75" customHeight="1">
      <c r="A577" s="49"/>
      <c r="C577" s="84"/>
      <c r="E577" s="49"/>
      <c r="G577" s="50"/>
    </row>
    <row r="578" ht="15.75" customHeight="1">
      <c r="A578" s="49"/>
      <c r="C578" s="84"/>
      <c r="E578" s="49"/>
      <c r="G578" s="50"/>
    </row>
    <row r="579" ht="15.75" customHeight="1">
      <c r="A579" s="49"/>
      <c r="C579" s="84"/>
      <c r="E579" s="49"/>
      <c r="G579" s="50"/>
    </row>
    <row r="580" ht="15.75" customHeight="1">
      <c r="A580" s="49"/>
      <c r="C580" s="84"/>
      <c r="E580" s="49"/>
      <c r="G580" s="50"/>
    </row>
    <row r="581" ht="15.75" customHeight="1">
      <c r="A581" s="49"/>
      <c r="C581" s="84"/>
      <c r="E581" s="49"/>
      <c r="G581" s="50"/>
    </row>
    <row r="582" ht="15.75" customHeight="1">
      <c r="A582" s="49"/>
      <c r="C582" s="84"/>
      <c r="E582" s="49"/>
      <c r="G582" s="50"/>
    </row>
    <row r="583" ht="15.75" customHeight="1">
      <c r="A583" s="49"/>
      <c r="C583" s="84"/>
      <c r="E583" s="49"/>
      <c r="G583" s="50"/>
    </row>
    <row r="584" ht="15.75" customHeight="1">
      <c r="A584" s="49"/>
      <c r="C584" s="84"/>
      <c r="E584" s="49"/>
      <c r="G584" s="50"/>
    </row>
    <row r="585">
      <c r="A585" s="86"/>
      <c r="C585" s="84"/>
      <c r="G585" s="50"/>
    </row>
    <row r="586">
      <c r="A586" s="86"/>
      <c r="C586" s="84"/>
      <c r="G586" s="50"/>
    </row>
    <row r="587">
      <c r="A587" s="86"/>
      <c r="C587" s="84"/>
      <c r="G587" s="50"/>
    </row>
    <row r="588">
      <c r="A588" s="86"/>
      <c r="C588" s="84"/>
      <c r="G588" s="50"/>
    </row>
    <row r="589">
      <c r="A589" s="86"/>
      <c r="C589" s="84"/>
      <c r="G589" s="50"/>
    </row>
    <row r="590">
      <c r="A590" s="86"/>
      <c r="C590" s="84"/>
      <c r="G590" s="50"/>
    </row>
    <row r="591">
      <c r="A591" s="86"/>
      <c r="C591" s="84"/>
      <c r="G591" s="50"/>
    </row>
    <row r="592">
      <c r="A592" s="86"/>
      <c r="C592" s="84"/>
      <c r="G592" s="50"/>
    </row>
    <row r="593">
      <c r="A593" s="86"/>
      <c r="C593" s="84"/>
      <c r="G593" s="50"/>
    </row>
    <row r="594">
      <c r="A594" s="86"/>
      <c r="C594" s="84"/>
      <c r="G594" s="50"/>
    </row>
    <row r="595">
      <c r="A595" s="86"/>
      <c r="C595" s="84"/>
      <c r="G595" s="50"/>
    </row>
    <row r="596">
      <c r="A596" s="86"/>
      <c r="C596" s="84"/>
      <c r="G596" s="50"/>
    </row>
    <row r="597">
      <c r="A597" s="86"/>
      <c r="C597" s="84"/>
      <c r="G597" s="50"/>
    </row>
    <row r="598">
      <c r="A598" s="86"/>
      <c r="C598" s="84"/>
      <c r="G598" s="50"/>
    </row>
    <row r="599">
      <c r="A599" s="86"/>
      <c r="C599" s="84"/>
      <c r="G599" s="50"/>
    </row>
    <row r="600">
      <c r="A600" s="86"/>
      <c r="C600" s="84"/>
      <c r="G600" s="50"/>
    </row>
    <row r="601">
      <c r="A601" s="86"/>
      <c r="C601" s="84"/>
      <c r="G601" s="50"/>
    </row>
    <row r="602">
      <c r="A602" s="86"/>
      <c r="C602" s="84"/>
      <c r="G602" s="50"/>
    </row>
    <row r="603">
      <c r="A603" s="86"/>
      <c r="C603" s="84"/>
      <c r="G603" s="50"/>
    </row>
    <row r="604">
      <c r="A604" s="86"/>
      <c r="C604" s="84"/>
      <c r="G604" s="50"/>
    </row>
    <row r="605">
      <c r="A605" s="86"/>
      <c r="C605" s="84"/>
      <c r="G605" s="50"/>
    </row>
    <row r="606">
      <c r="A606" s="86"/>
      <c r="C606" s="84"/>
      <c r="G606" s="50"/>
    </row>
  </sheetData>
  <autoFilter ref="$A$1:$G$4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0" t="s">
        <v>1757</v>
      </c>
      <c r="B1" s="91" t="s">
        <v>1758</v>
      </c>
    </row>
    <row r="2">
      <c r="A2" s="90">
        <v>1.0</v>
      </c>
      <c r="B2" s="9" t="s">
        <v>1759</v>
      </c>
    </row>
    <row r="3">
      <c r="A3" s="90">
        <v>2.0</v>
      </c>
      <c r="B3" s="9" t="s">
        <v>1760</v>
      </c>
    </row>
    <row r="4">
      <c r="A4" s="90">
        <v>3.0</v>
      </c>
      <c r="B4" s="9" t="s">
        <v>1761</v>
      </c>
    </row>
    <row r="5">
      <c r="A5" s="90">
        <v>4.0</v>
      </c>
      <c r="B5" s="9" t="s">
        <v>1762</v>
      </c>
    </row>
    <row r="6">
      <c r="A6" s="90">
        <v>5.0</v>
      </c>
      <c r="B6" s="9" t="s">
        <v>1763</v>
      </c>
    </row>
    <row r="7">
      <c r="A7" s="90">
        <v>6.0</v>
      </c>
      <c r="B7" s="9" t="s">
        <v>1764</v>
      </c>
    </row>
    <row r="8">
      <c r="A8" s="90">
        <v>7.0</v>
      </c>
      <c r="B8" s="9" t="s">
        <v>1765</v>
      </c>
    </row>
    <row r="9">
      <c r="A9" s="90">
        <v>8.0</v>
      </c>
      <c r="B9" s="9" t="s">
        <v>1766</v>
      </c>
    </row>
    <row r="10">
      <c r="A10" s="90">
        <v>9.0</v>
      </c>
      <c r="B10" s="9" t="s">
        <v>1767</v>
      </c>
    </row>
    <row r="11">
      <c r="A11" s="90">
        <v>10.0</v>
      </c>
      <c r="B11" s="9" t="s">
        <v>1768</v>
      </c>
    </row>
    <row r="12">
      <c r="A12" s="90">
        <v>11.0</v>
      </c>
      <c r="B12" s="9" t="s">
        <v>1769</v>
      </c>
    </row>
    <row r="13">
      <c r="A13" s="90">
        <v>12.0</v>
      </c>
      <c r="B13" s="9" t="s">
        <v>1770</v>
      </c>
    </row>
    <row r="14">
      <c r="A14" s="90">
        <v>13.0</v>
      </c>
      <c r="B14" s="9" t="s">
        <v>1771</v>
      </c>
    </row>
    <row r="15">
      <c r="A15" s="90">
        <v>14.0</v>
      </c>
      <c r="B15" s="9" t="s">
        <v>1772</v>
      </c>
    </row>
    <row r="16">
      <c r="A16" s="90">
        <v>15.0</v>
      </c>
      <c r="B16" s="9" t="s">
        <v>1773</v>
      </c>
    </row>
    <row r="17">
      <c r="A17" s="90">
        <v>16.0</v>
      </c>
      <c r="B17" s="9" t="s">
        <v>1774</v>
      </c>
    </row>
    <row r="18">
      <c r="A18" s="90">
        <v>17.0</v>
      </c>
      <c r="B18" s="9" t="s">
        <v>1775</v>
      </c>
    </row>
    <row r="19">
      <c r="A19" s="90">
        <v>18.0</v>
      </c>
      <c r="B19" s="9" t="s">
        <v>1776</v>
      </c>
    </row>
    <row r="20">
      <c r="A20" s="90">
        <v>19.0</v>
      </c>
      <c r="B20" s="9" t="s">
        <v>1777</v>
      </c>
    </row>
    <row r="21" ht="15.75" customHeight="1">
      <c r="A21" s="90">
        <v>20.0</v>
      </c>
      <c r="B21" s="9" t="s">
        <v>1778</v>
      </c>
    </row>
    <row r="22" ht="15.75" customHeight="1">
      <c r="A22" s="90">
        <v>21.0</v>
      </c>
      <c r="B22" s="9" t="s">
        <v>1779</v>
      </c>
    </row>
    <row r="23" ht="15.75" customHeight="1">
      <c r="A23" s="90">
        <v>22.0</v>
      </c>
      <c r="B23" s="9" t="s">
        <v>1780</v>
      </c>
    </row>
    <row r="24" ht="15.75" customHeight="1"/>
    <row r="25" ht="15.75" customHeight="1">
      <c r="B25" s="91" t="s">
        <v>1781</v>
      </c>
    </row>
    <row r="26" ht="15.75" customHeight="1">
      <c r="B26" s="9" t="s">
        <v>1782</v>
      </c>
    </row>
    <row r="27" ht="15.75" customHeight="1">
      <c r="B27" s="9" t="s">
        <v>1783</v>
      </c>
    </row>
    <row r="28" ht="15.75" customHeight="1">
      <c r="B28" s="9" t="s">
        <v>1784</v>
      </c>
    </row>
    <row r="29" ht="15.75" customHeight="1">
      <c r="B29" s="9" t="s">
        <v>1785</v>
      </c>
    </row>
    <row r="30" ht="15.75" customHeight="1"/>
    <row r="31" ht="15.75" customHeight="1">
      <c r="A31" s="36" t="s">
        <v>1786</v>
      </c>
      <c r="B31" s="36">
        <v>1.0</v>
      </c>
    </row>
    <row r="32" ht="15.75" customHeight="1">
      <c r="A32" s="36" t="s">
        <v>1787</v>
      </c>
      <c r="B32" s="36">
        <v>2.0</v>
      </c>
    </row>
    <row r="33" ht="15.75" customHeight="1">
      <c r="A33" s="36" t="s">
        <v>1788</v>
      </c>
      <c r="B33" s="36">
        <v>3.0</v>
      </c>
    </row>
    <row r="34" ht="15.75" customHeight="1">
      <c r="A34" s="36" t="s">
        <v>1789</v>
      </c>
      <c r="B34" s="36">
        <v>4.0</v>
      </c>
    </row>
    <row r="35" ht="15.75" customHeight="1">
      <c r="A35" s="36" t="s">
        <v>1790</v>
      </c>
      <c r="B35" s="36">
        <v>5.0</v>
      </c>
    </row>
    <row r="36" ht="15.75" customHeight="1">
      <c r="A36" s="36" t="s">
        <v>1791</v>
      </c>
      <c r="B36" s="36">
        <v>6.0</v>
      </c>
    </row>
    <row r="37" ht="15.75" customHeight="1">
      <c r="A37" s="36" t="s">
        <v>1792</v>
      </c>
      <c r="B37" s="36">
        <v>7.0</v>
      </c>
    </row>
    <row r="38" ht="15.75" customHeight="1"/>
    <row r="39" ht="15.75" customHeight="1">
      <c r="A39" s="36" t="s">
        <v>1793</v>
      </c>
      <c r="B39" s="36" t="s">
        <v>29</v>
      </c>
    </row>
    <row r="40" ht="15.75" customHeight="1">
      <c r="A40" s="36" t="s">
        <v>1794</v>
      </c>
      <c r="B40" s="36" t="s">
        <v>24</v>
      </c>
    </row>
    <row r="41" ht="15.75" customHeight="1">
      <c r="A41" s="36" t="s">
        <v>1795</v>
      </c>
      <c r="B41" s="36" t="s">
        <v>20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8.29"/>
    <col customWidth="1" min="3" max="3" width="6.57"/>
    <col customWidth="1" min="4" max="4" width="7.71"/>
    <col customWidth="1" min="5" max="5" width="3.71"/>
    <col customWidth="1" min="7" max="7" width="8.29"/>
  </cols>
  <sheetData>
    <row r="1">
      <c r="A1" s="92" t="s">
        <v>0</v>
      </c>
      <c r="B1" s="93" t="s">
        <v>1</v>
      </c>
      <c r="C1" s="92" t="s">
        <v>3</v>
      </c>
      <c r="D1" s="94" t="s">
        <v>1796</v>
      </c>
      <c r="E1" s="92" t="s">
        <v>1797</v>
      </c>
      <c r="F1" s="95" t="s">
        <v>5</v>
      </c>
      <c r="G1" s="92" t="s">
        <v>6</v>
      </c>
      <c r="J1" s="96" t="s">
        <v>1798</v>
      </c>
      <c r="K1" s="96" t="s">
        <v>1799</v>
      </c>
      <c r="L1" s="96" t="s">
        <v>1800</v>
      </c>
      <c r="M1" s="96" t="s">
        <v>1801</v>
      </c>
    </row>
    <row r="2">
      <c r="A2" s="90" t="s">
        <v>66</v>
      </c>
      <c r="B2" s="90" t="str">
        <f t="shared" ref="B2:B41" si="1">LEFT(A2,FIND(".",A2))</f>
        <v>Ді.</v>
      </c>
      <c r="C2" s="90" t="str">
        <f t="shared" ref="C2:C17" si="2">MID(A2,FIND(".",A2)+2,FIND(" ",RIGHT(A2,LEN(A2)-FIND(".",A2)-1))-1)</f>
        <v>21</v>
      </c>
      <c r="D2" s="89" t="s">
        <v>18</v>
      </c>
      <c r="E2" s="90" t="str">
        <f t="shared" ref="E2:E16" si="3">IF(AND(OR(C2=C3,C2=C1),D2=""),"?","")</f>
        <v/>
      </c>
      <c r="F2" s="97" t="s">
        <v>67</v>
      </c>
      <c r="H2" s="20" t="str">
        <f t="shared" ref="H2:H4" si="4">"ap0"&amp;C2&amp;D2&amp;".docx"</f>
        <v>ap021a.docx</v>
      </c>
      <c r="I2" s="20" t="str">
        <f t="shared" ref="I2:I42" si="5">IF(D2="b","ap0"&amp;C2&amp;"a.html","")</f>
        <v/>
      </c>
    </row>
    <row r="3">
      <c r="A3" s="98" t="s">
        <v>68</v>
      </c>
      <c r="B3" s="90" t="str">
        <f t="shared" si="1"/>
        <v>Ді.</v>
      </c>
      <c r="C3" s="90" t="str">
        <f t="shared" si="2"/>
        <v>21</v>
      </c>
      <c r="D3" s="89" t="s">
        <v>22</v>
      </c>
      <c r="E3" s="90" t="str">
        <f t="shared" si="3"/>
        <v/>
      </c>
      <c r="F3" s="97" t="s">
        <v>69</v>
      </c>
      <c r="H3" s="20" t="str">
        <f t="shared" si="4"/>
        <v>ap021b.docx</v>
      </c>
      <c r="I3" s="20" t="str">
        <f t="shared" si="5"/>
        <v>ap021a.html</v>
      </c>
      <c r="J3" s="99" t="s">
        <v>1802</v>
      </c>
      <c r="K3" s="99" t="s">
        <v>1803</v>
      </c>
      <c r="L3" s="99" t="s">
        <v>1804</v>
      </c>
      <c r="M3" s="99" t="s">
        <v>1805</v>
      </c>
    </row>
    <row r="4">
      <c r="A4" s="98" t="s">
        <v>113</v>
      </c>
      <c r="B4" s="90" t="str">
        <f t="shared" si="1"/>
        <v>Ді.</v>
      </c>
      <c r="C4" s="90" t="str">
        <f t="shared" si="2"/>
        <v>40</v>
      </c>
      <c r="D4" s="89" t="s">
        <v>22</v>
      </c>
      <c r="E4" s="90" t="str">
        <f t="shared" si="3"/>
        <v/>
      </c>
      <c r="F4" s="97" t="s">
        <v>114</v>
      </c>
      <c r="H4" s="20" t="str">
        <f t="shared" si="4"/>
        <v>ap040b.docx</v>
      </c>
      <c r="I4" s="20" t="str">
        <f t="shared" si="5"/>
        <v>ap040a.html</v>
      </c>
      <c r="J4" s="99" t="s">
        <v>1802</v>
      </c>
      <c r="K4" s="99" t="s">
        <v>1802</v>
      </c>
      <c r="L4" s="99" t="s">
        <v>1802</v>
      </c>
      <c r="M4" s="99" t="s">
        <v>1805</v>
      </c>
    </row>
    <row r="5">
      <c r="A5" s="90" t="s">
        <v>111</v>
      </c>
      <c r="B5" s="90" t="str">
        <f t="shared" si="1"/>
        <v>Ді.</v>
      </c>
      <c r="C5" s="90" t="str">
        <f t="shared" si="2"/>
        <v>40</v>
      </c>
      <c r="D5" s="89" t="s">
        <v>18</v>
      </c>
      <c r="E5" s="90" t="str">
        <f t="shared" si="3"/>
        <v/>
      </c>
      <c r="F5" s="97" t="s">
        <v>112</v>
      </c>
      <c r="I5" s="20" t="str">
        <f t="shared" si="5"/>
        <v/>
      </c>
      <c r="J5" s="100"/>
      <c r="K5" s="100"/>
      <c r="L5" s="100"/>
      <c r="M5" s="100"/>
    </row>
    <row r="6">
      <c r="A6" s="98" t="s">
        <v>115</v>
      </c>
      <c r="B6" s="90" t="str">
        <f t="shared" si="1"/>
        <v>Ді.</v>
      </c>
      <c r="C6" s="90" t="str">
        <f t="shared" si="2"/>
        <v>40</v>
      </c>
      <c r="D6" s="89" t="s">
        <v>116</v>
      </c>
      <c r="E6" s="90" t="str">
        <f t="shared" si="3"/>
        <v/>
      </c>
      <c r="F6" s="97" t="s">
        <v>117</v>
      </c>
      <c r="H6" s="20" t="str">
        <f>"ap0"&amp;C6&amp;D6&amp;".docx"</f>
        <v>ap040c.docx</v>
      </c>
      <c r="I6" s="20" t="str">
        <f t="shared" si="5"/>
        <v/>
      </c>
      <c r="J6" s="99" t="s">
        <v>1802</v>
      </c>
      <c r="K6" s="99" t="s">
        <v>1802</v>
      </c>
      <c r="L6" s="99" t="s">
        <v>1802</v>
      </c>
      <c r="M6" s="99" t="s">
        <v>1805</v>
      </c>
    </row>
    <row r="7">
      <c r="A7" s="101" t="s">
        <v>162</v>
      </c>
      <c r="B7" s="90" t="str">
        <f t="shared" si="1"/>
        <v>1 Пт.</v>
      </c>
      <c r="C7" s="90" t="str">
        <f t="shared" si="2"/>
        <v>58</v>
      </c>
      <c r="D7" s="89" t="s">
        <v>18</v>
      </c>
      <c r="E7" s="90" t="str">
        <f t="shared" si="3"/>
        <v/>
      </c>
      <c r="F7" s="49" t="s">
        <v>163</v>
      </c>
      <c r="I7" s="20" t="str">
        <f t="shared" si="5"/>
        <v/>
      </c>
      <c r="J7" s="100"/>
      <c r="K7" s="100"/>
      <c r="L7" s="100"/>
      <c r="M7" s="100"/>
    </row>
    <row r="8">
      <c r="A8" s="102" t="s">
        <v>164</v>
      </c>
      <c r="B8" s="90" t="str">
        <f t="shared" si="1"/>
        <v>1 Пт.</v>
      </c>
      <c r="C8" s="90" t="str">
        <f t="shared" si="2"/>
        <v>58</v>
      </c>
      <c r="D8" s="89" t="s">
        <v>22</v>
      </c>
      <c r="E8" s="90" t="str">
        <f t="shared" si="3"/>
        <v/>
      </c>
      <c r="F8" s="49" t="s">
        <v>1806</v>
      </c>
      <c r="H8" s="20" t="str">
        <f t="shared" ref="H8:H11" si="6">"ap0"&amp;C8&amp;D8&amp;".docx"</f>
        <v>ap058b.docx</v>
      </c>
      <c r="I8" s="20" t="str">
        <f t="shared" si="5"/>
        <v>ap058a.html</v>
      </c>
      <c r="J8" s="99" t="s">
        <v>1802</v>
      </c>
      <c r="K8" s="99" t="s">
        <v>1802</v>
      </c>
      <c r="L8" s="99" t="s">
        <v>1802</v>
      </c>
      <c r="M8" s="99" t="s">
        <v>1805</v>
      </c>
    </row>
    <row r="9">
      <c r="A9" s="98" t="s">
        <v>167</v>
      </c>
      <c r="B9" s="90" t="str">
        <f t="shared" si="1"/>
        <v>1 Пт.</v>
      </c>
      <c r="C9" s="90" t="str">
        <f t="shared" si="2"/>
        <v>58</v>
      </c>
      <c r="D9" s="89" t="s">
        <v>116</v>
      </c>
      <c r="E9" s="90" t="str">
        <f t="shared" si="3"/>
        <v/>
      </c>
      <c r="F9" s="97" t="s">
        <v>168</v>
      </c>
      <c r="H9" s="20" t="str">
        <f t="shared" si="6"/>
        <v>ap058c.docx</v>
      </c>
      <c r="I9" s="20" t="str">
        <f t="shared" si="5"/>
        <v/>
      </c>
      <c r="J9" s="99" t="s">
        <v>1802</v>
      </c>
      <c r="K9" s="99" t="s">
        <v>1802</v>
      </c>
      <c r="L9" s="99" t="s">
        <v>1802</v>
      </c>
      <c r="M9" s="99" t="s">
        <v>1805</v>
      </c>
    </row>
    <row r="10">
      <c r="A10" s="98" t="s">
        <v>169</v>
      </c>
      <c r="B10" s="90" t="str">
        <f t="shared" si="1"/>
        <v>1 Пт.</v>
      </c>
      <c r="C10" s="90" t="str">
        <f t="shared" si="2"/>
        <v>58</v>
      </c>
      <c r="D10" s="89" t="s">
        <v>170</v>
      </c>
      <c r="E10" s="90" t="str">
        <f t="shared" si="3"/>
        <v/>
      </c>
      <c r="F10" s="103" t="s">
        <v>171</v>
      </c>
      <c r="H10" s="20" t="str">
        <f t="shared" si="6"/>
        <v>ap058d.docx</v>
      </c>
      <c r="I10" s="20" t="str">
        <f t="shared" si="5"/>
        <v/>
      </c>
      <c r="J10" s="99" t="s">
        <v>1802</v>
      </c>
      <c r="K10" s="99" t="s">
        <v>1802</v>
      </c>
      <c r="L10" s="99" t="s">
        <v>1802</v>
      </c>
      <c r="M10" s="99" t="s">
        <v>1805</v>
      </c>
    </row>
    <row r="11">
      <c r="A11" s="98" t="s">
        <v>211</v>
      </c>
      <c r="B11" s="104" t="str">
        <f t="shared" si="1"/>
        <v>1 Йо.</v>
      </c>
      <c r="C11" s="104" t="str">
        <f t="shared" si="2"/>
        <v>73</v>
      </c>
      <c r="D11" s="89" t="s">
        <v>116</v>
      </c>
      <c r="E11" s="90" t="str">
        <f t="shared" si="3"/>
        <v/>
      </c>
      <c r="F11" s="97" t="s">
        <v>1807</v>
      </c>
      <c r="H11" s="20" t="str">
        <f t="shared" si="6"/>
        <v>ap073c.docx</v>
      </c>
      <c r="I11" s="20" t="str">
        <f t="shared" si="5"/>
        <v/>
      </c>
      <c r="J11" s="99" t="s">
        <v>1802</v>
      </c>
      <c r="K11" s="99" t="s">
        <v>1802</v>
      </c>
      <c r="L11" s="99" t="s">
        <v>1802</v>
      </c>
      <c r="M11" s="99" t="s">
        <v>1805</v>
      </c>
    </row>
    <row r="12">
      <c r="A12" s="90" t="s">
        <v>256</v>
      </c>
      <c r="B12" s="90" t="str">
        <f t="shared" si="1"/>
        <v>Рим.</v>
      </c>
      <c r="C12" s="90" t="str">
        <f t="shared" si="2"/>
        <v>88</v>
      </c>
      <c r="D12" s="89" t="s">
        <v>18</v>
      </c>
      <c r="E12" s="90" t="str">
        <f t="shared" si="3"/>
        <v/>
      </c>
      <c r="F12" s="97" t="s">
        <v>257</v>
      </c>
      <c r="I12" s="20" t="str">
        <f t="shared" si="5"/>
        <v/>
      </c>
      <c r="J12" s="100"/>
      <c r="K12" s="100"/>
      <c r="L12" s="100"/>
      <c r="M12" s="100"/>
    </row>
    <row r="13">
      <c r="A13" s="102" t="s">
        <v>258</v>
      </c>
      <c r="B13" s="104" t="str">
        <f t="shared" si="1"/>
        <v>Рим.</v>
      </c>
      <c r="C13" s="104" t="str">
        <f t="shared" si="2"/>
        <v>88</v>
      </c>
      <c r="D13" s="89" t="s">
        <v>22</v>
      </c>
      <c r="E13" s="90" t="str">
        <f t="shared" si="3"/>
        <v/>
      </c>
      <c r="F13" s="97" t="s">
        <v>259</v>
      </c>
      <c r="H13" s="20" t="str">
        <f t="shared" ref="H13:H14" si="7">"ap0"&amp;C13&amp;D13&amp;".docx"</f>
        <v>ap088b.docx</v>
      </c>
      <c r="I13" s="20" t="str">
        <f t="shared" si="5"/>
        <v>ap088a.html</v>
      </c>
      <c r="J13" s="99" t="s">
        <v>1802</v>
      </c>
      <c r="K13" s="99" t="s">
        <v>1802</v>
      </c>
      <c r="L13" s="99" t="s">
        <v>1802</v>
      </c>
      <c r="M13" s="99" t="s">
        <v>1805</v>
      </c>
    </row>
    <row r="14">
      <c r="A14" s="102" t="s">
        <v>276</v>
      </c>
      <c r="B14" s="90" t="str">
        <f t="shared" si="1"/>
        <v>Рим.</v>
      </c>
      <c r="C14" s="90" t="str">
        <f t="shared" si="2"/>
        <v>96</v>
      </c>
      <c r="D14" s="89" t="s">
        <v>22</v>
      </c>
      <c r="E14" s="90" t="str">
        <f t="shared" si="3"/>
        <v/>
      </c>
      <c r="F14" s="105" t="s">
        <v>277</v>
      </c>
      <c r="H14" s="20" t="str">
        <f t="shared" si="7"/>
        <v>ap096b.docx</v>
      </c>
      <c r="I14" s="20" t="str">
        <f t="shared" si="5"/>
        <v>ap096a.html</v>
      </c>
      <c r="J14" s="99" t="s">
        <v>1802</v>
      </c>
      <c r="K14" s="99" t="s">
        <v>1802</v>
      </c>
      <c r="L14" s="99" t="s">
        <v>1802</v>
      </c>
      <c r="M14" s="99" t="s">
        <v>1805</v>
      </c>
    </row>
    <row r="15">
      <c r="A15" s="90" t="s">
        <v>274</v>
      </c>
      <c r="B15" s="90" t="str">
        <f t="shared" si="1"/>
        <v>Рим.</v>
      </c>
      <c r="C15" s="90" t="str">
        <f t="shared" si="2"/>
        <v>96</v>
      </c>
      <c r="D15" s="89" t="s">
        <v>18</v>
      </c>
      <c r="E15" s="90" t="str">
        <f t="shared" si="3"/>
        <v/>
      </c>
      <c r="F15" s="49" t="s">
        <v>275</v>
      </c>
      <c r="I15" s="20" t="str">
        <f t="shared" si="5"/>
        <v/>
      </c>
      <c r="J15" s="100"/>
      <c r="K15" s="100"/>
      <c r="L15" s="100"/>
      <c r="M15" s="100"/>
    </row>
    <row r="16">
      <c r="A16" s="106" t="s">
        <v>279</v>
      </c>
      <c r="B16" s="90" t="str">
        <f t="shared" si="1"/>
        <v>Рим.</v>
      </c>
      <c r="C16" s="90" t="str">
        <f t="shared" si="2"/>
        <v>96</v>
      </c>
      <c r="D16" s="89" t="s">
        <v>116</v>
      </c>
      <c r="E16" s="90" t="str">
        <f t="shared" si="3"/>
        <v/>
      </c>
      <c r="F16" s="49" t="s">
        <v>280</v>
      </c>
      <c r="H16" s="20" t="str">
        <f>"ap0"&amp;C16&amp;D16&amp;".docx"</f>
        <v>ap096c.docx</v>
      </c>
      <c r="I16" s="20" t="str">
        <f t="shared" si="5"/>
        <v/>
      </c>
      <c r="J16" s="99" t="s">
        <v>1802</v>
      </c>
      <c r="K16" s="99" t="s">
        <v>1802</v>
      </c>
      <c r="L16" s="99" t="s">
        <v>1802</v>
      </c>
      <c r="M16" s="99" t="s">
        <v>1805</v>
      </c>
    </row>
    <row r="17">
      <c r="A17" s="90" t="s">
        <v>384</v>
      </c>
      <c r="B17" s="90" t="str">
        <f t="shared" si="1"/>
        <v>1 Кор.</v>
      </c>
      <c r="C17" s="90" t="str">
        <f t="shared" si="2"/>
        <v>142</v>
      </c>
      <c r="D17" s="89" t="s">
        <v>22</v>
      </c>
      <c r="E17" s="90" t="str">
        <f>IF(AND(OR(C17=C19,C17=C16),D17=""),"?","")</f>
        <v/>
      </c>
      <c r="F17" s="107" t="s">
        <v>385</v>
      </c>
      <c r="I17" s="20" t="str">
        <f t="shared" si="5"/>
        <v>ap0142a.html</v>
      </c>
      <c r="J17" s="100"/>
      <c r="K17" s="100"/>
      <c r="L17" s="100"/>
      <c r="M17" s="100"/>
    </row>
    <row r="18">
      <c r="A18" s="108" t="s">
        <v>413</v>
      </c>
      <c r="B18" s="83" t="str">
        <f t="shared" si="1"/>
        <v>1 Кор.</v>
      </c>
      <c r="C18" s="109" t="str">
        <f>MID(A18,FIND(".",A18)+2,FIND(" ",RIGHT(A18,LEN(A18)-FIND(".",A18)-1))-1)</f>
        <v>153</v>
      </c>
      <c r="D18" s="110"/>
      <c r="E18" s="83" t="str">
        <f>IF(AND(OR(C18=C19,C18=C17),D18=""),"?","")</f>
        <v/>
      </c>
      <c r="F18" s="111" t="s">
        <v>414</v>
      </c>
      <c r="I18" s="20" t="str">
        <f t="shared" si="5"/>
        <v/>
      </c>
      <c r="J18" s="99" t="s">
        <v>1802</v>
      </c>
      <c r="K18" s="99" t="s">
        <v>1802</v>
      </c>
      <c r="L18" s="99" t="s">
        <v>1802</v>
      </c>
      <c r="M18" s="112" t="s">
        <v>1808</v>
      </c>
    </row>
    <row r="19">
      <c r="A19" s="90" t="s">
        <v>415</v>
      </c>
      <c r="B19" s="90" t="str">
        <f t="shared" si="1"/>
        <v>1 Кор.</v>
      </c>
      <c r="C19" s="90" t="str">
        <f t="shared" ref="C19:C20" si="8">MID(A19,FIND(".",A19)+2,FIND(" ",RIGHT(A19,LEN(A19)-FIND(".",A19)-1))-1)</f>
        <v>154</v>
      </c>
      <c r="D19" s="89" t="s">
        <v>18</v>
      </c>
      <c r="E19" s="90" t="str">
        <f>IF(AND(OR(C19=C20,C19=C17),D19=""),"?","")</f>
        <v/>
      </c>
      <c r="F19" s="107" t="s">
        <v>416</v>
      </c>
      <c r="I19" s="20" t="str">
        <f t="shared" si="5"/>
        <v/>
      </c>
      <c r="J19" s="100"/>
      <c r="K19" s="100"/>
      <c r="L19" s="100"/>
      <c r="M19" s="100"/>
    </row>
    <row r="20">
      <c r="A20" s="98" t="s">
        <v>417</v>
      </c>
      <c r="B20" s="90" t="str">
        <f t="shared" si="1"/>
        <v>1 Кор.</v>
      </c>
      <c r="C20" s="90" t="str">
        <f t="shared" si="8"/>
        <v>154</v>
      </c>
      <c r="D20" s="89" t="s">
        <v>22</v>
      </c>
      <c r="E20" s="90" t="str">
        <f>IF(AND(OR(C20=C22,C20=C19),D20=""),"?","")</f>
        <v/>
      </c>
      <c r="F20" s="107" t="s">
        <v>418</v>
      </c>
      <c r="H20" s="20" t="str">
        <f>"ap"&amp;C20&amp;D20&amp;".docx"</f>
        <v>ap154b.docx</v>
      </c>
      <c r="I20" s="20" t="str">
        <f t="shared" si="5"/>
        <v>ap0154a.html</v>
      </c>
      <c r="J20" s="99" t="s">
        <v>1802</v>
      </c>
      <c r="K20" s="99" t="s">
        <v>1802</v>
      </c>
      <c r="L20" s="99" t="s">
        <v>1802</v>
      </c>
      <c r="M20" s="99" t="s">
        <v>1805</v>
      </c>
    </row>
    <row r="21">
      <c r="A21" s="108" t="s">
        <v>429</v>
      </c>
      <c r="B21" s="83" t="str">
        <f t="shared" si="1"/>
        <v>1 Кор.</v>
      </c>
      <c r="C21" s="109" t="str">
        <f>MID(A21,FIND(".",A21)+2,FIND(" ",RIGHT(A21,LEN(A21)-FIND(".",A21)-1))-1)</f>
        <v>160</v>
      </c>
      <c r="D21" s="110"/>
      <c r="E21" s="83" t="str">
        <f>IF(AND(OR(C21=C22,C21=C20),D21=""),"?","")</f>
        <v/>
      </c>
      <c r="F21" s="111" t="s">
        <v>430</v>
      </c>
      <c r="I21" s="20" t="str">
        <f t="shared" si="5"/>
        <v/>
      </c>
      <c r="J21" s="99" t="s">
        <v>1802</v>
      </c>
      <c r="K21" s="99" t="s">
        <v>1802</v>
      </c>
      <c r="L21" s="99" t="s">
        <v>1802</v>
      </c>
      <c r="M21" s="112" t="s">
        <v>1808</v>
      </c>
    </row>
    <row r="22">
      <c r="A22" s="90" t="s">
        <v>444</v>
      </c>
      <c r="B22" s="90" t="str">
        <f t="shared" si="1"/>
        <v>2 Кор.</v>
      </c>
      <c r="C22" s="90" t="str">
        <f t="shared" ref="C22:C28" si="9">MID(A22,FIND(".",A22)+2,FIND(" ",RIGHT(A22,LEN(A22)-FIND(".",A22)-1))-1)</f>
        <v>167</v>
      </c>
      <c r="D22" s="89" t="s">
        <v>18</v>
      </c>
      <c r="E22" s="90" t="str">
        <f>IF(AND(OR(C22=C23,C22=C20),D22=""),"?","")</f>
        <v/>
      </c>
      <c r="F22" s="107" t="s">
        <v>445</v>
      </c>
      <c r="I22" s="20" t="str">
        <f t="shared" si="5"/>
        <v/>
      </c>
      <c r="J22" s="100"/>
      <c r="K22" s="100"/>
      <c r="L22" s="100"/>
      <c r="M22" s="100"/>
    </row>
    <row r="23">
      <c r="A23" s="98" t="s">
        <v>446</v>
      </c>
      <c r="B23" s="90" t="str">
        <f t="shared" si="1"/>
        <v>2 Кор.</v>
      </c>
      <c r="C23" s="90" t="str">
        <f t="shared" si="9"/>
        <v>167</v>
      </c>
      <c r="D23" s="89" t="s">
        <v>22</v>
      </c>
      <c r="E23" s="90" t="str">
        <f t="shared" ref="E23:E27" si="10">IF(AND(OR(C23=C24,C23=C22),D23=""),"?","")</f>
        <v/>
      </c>
      <c r="F23" s="97" t="s">
        <v>447</v>
      </c>
      <c r="H23" s="20" t="str">
        <f t="shared" ref="H23:H24" si="11">"ap"&amp;C23&amp;D23&amp;".docx"</f>
        <v>ap167b.docx</v>
      </c>
      <c r="I23" s="20" t="str">
        <f t="shared" si="5"/>
        <v>ap0167a.html</v>
      </c>
      <c r="J23" s="99" t="s">
        <v>1802</v>
      </c>
      <c r="K23" s="99" t="s">
        <v>1802</v>
      </c>
      <c r="L23" s="99" t="s">
        <v>1802</v>
      </c>
      <c r="M23" s="99" t="s">
        <v>1805</v>
      </c>
    </row>
    <row r="24">
      <c r="A24" s="98" t="s">
        <v>545</v>
      </c>
      <c r="B24" s="90" t="str">
        <f t="shared" si="1"/>
        <v>Гал.</v>
      </c>
      <c r="C24" s="90" t="str">
        <f t="shared" si="9"/>
        <v>210</v>
      </c>
      <c r="D24" s="89" t="s">
        <v>116</v>
      </c>
      <c r="E24" s="90" t="str">
        <f t="shared" si="10"/>
        <v/>
      </c>
      <c r="F24" s="107" t="s">
        <v>546</v>
      </c>
      <c r="H24" s="20" t="str">
        <f t="shared" si="11"/>
        <v>ap210c.docx</v>
      </c>
      <c r="I24" s="20" t="str">
        <f t="shared" si="5"/>
        <v/>
      </c>
      <c r="J24" s="99" t="s">
        <v>1802</v>
      </c>
      <c r="K24" s="99" t="s">
        <v>1802</v>
      </c>
      <c r="L24" s="99" t="s">
        <v>1802</v>
      </c>
      <c r="M24" s="99" t="s">
        <v>1805</v>
      </c>
    </row>
    <row r="25">
      <c r="A25" s="90" t="s">
        <v>556</v>
      </c>
      <c r="B25" s="90" t="str">
        <f t="shared" si="1"/>
        <v>Гал.</v>
      </c>
      <c r="C25" s="90" t="str">
        <f t="shared" si="9"/>
        <v>215</v>
      </c>
      <c r="D25" s="89" t="s">
        <v>18</v>
      </c>
      <c r="E25" s="90" t="str">
        <f t="shared" si="10"/>
        <v/>
      </c>
      <c r="F25" s="103" t="s">
        <v>855</v>
      </c>
      <c r="I25" s="20" t="str">
        <f t="shared" si="5"/>
        <v/>
      </c>
      <c r="J25" s="100"/>
      <c r="K25" s="100"/>
      <c r="L25" s="100"/>
      <c r="M25" s="100"/>
    </row>
    <row r="26">
      <c r="A26" s="98" t="s">
        <v>558</v>
      </c>
      <c r="B26" s="90" t="str">
        <f t="shared" si="1"/>
        <v>Гал.</v>
      </c>
      <c r="C26" s="90" t="str">
        <f t="shared" si="9"/>
        <v>215</v>
      </c>
      <c r="D26" s="89" t="s">
        <v>22</v>
      </c>
      <c r="E26" s="90" t="str">
        <f t="shared" si="10"/>
        <v/>
      </c>
      <c r="F26" s="103" t="s">
        <v>559</v>
      </c>
      <c r="H26" s="20" t="str">
        <f>"ap"&amp;C26&amp;D26&amp;".docx"</f>
        <v>ap215b.docx</v>
      </c>
      <c r="I26" s="20" t="str">
        <f t="shared" si="5"/>
        <v>ap0215a.html</v>
      </c>
      <c r="J26" s="99" t="s">
        <v>1802</v>
      </c>
      <c r="K26" s="99" t="s">
        <v>1802</v>
      </c>
      <c r="L26" s="99" t="s">
        <v>1802</v>
      </c>
      <c r="M26" s="99" t="s">
        <v>1805</v>
      </c>
    </row>
    <row r="27">
      <c r="A27" s="90" t="s">
        <v>727</v>
      </c>
      <c r="B27" s="90" t="str">
        <f t="shared" si="1"/>
        <v>2 Тим.</v>
      </c>
      <c r="C27" s="90" t="str">
        <f t="shared" si="9"/>
        <v>290</v>
      </c>
      <c r="D27" s="89" t="s">
        <v>18</v>
      </c>
      <c r="E27" s="90" t="str">
        <f t="shared" si="10"/>
        <v/>
      </c>
      <c r="F27" s="107" t="s">
        <v>728</v>
      </c>
      <c r="G27" s="8" t="s">
        <v>729</v>
      </c>
      <c r="I27" s="20" t="str">
        <f t="shared" si="5"/>
        <v/>
      </c>
      <c r="J27" s="100"/>
      <c r="K27" s="100"/>
      <c r="L27" s="100"/>
      <c r="M27" s="100"/>
    </row>
    <row r="28">
      <c r="A28" s="98" t="s">
        <v>730</v>
      </c>
      <c r="B28" s="90" t="str">
        <f t="shared" si="1"/>
        <v>2 Тим.</v>
      </c>
      <c r="C28" s="90" t="str">
        <f t="shared" si="9"/>
        <v>290</v>
      </c>
      <c r="D28" s="89" t="s">
        <v>22</v>
      </c>
      <c r="E28" s="90" t="str">
        <f>IF(AND(OR(C28=C30,C28=C27),D28=""),"?","")</f>
        <v/>
      </c>
      <c r="F28" s="97" t="s">
        <v>731</v>
      </c>
      <c r="H28" s="20" t="str">
        <f>"ap"&amp;C28&amp;D28&amp;".docx"</f>
        <v>ap290b.docx</v>
      </c>
      <c r="I28" s="20" t="str">
        <f t="shared" si="5"/>
        <v>ap0290a.html</v>
      </c>
      <c r="J28" s="99" t="s">
        <v>1802</v>
      </c>
      <c r="K28" s="99" t="s">
        <v>1802</v>
      </c>
      <c r="L28" s="99" t="s">
        <v>1802</v>
      </c>
      <c r="M28" s="99" t="s">
        <v>1805</v>
      </c>
    </row>
    <row r="29">
      <c r="A29" s="113" t="s">
        <v>732</v>
      </c>
      <c r="B29" s="83" t="str">
        <f t="shared" si="1"/>
        <v>2 Тим.</v>
      </c>
      <c r="C29" s="109" t="str">
        <f>MID(A29,FIND(".",A29)+2,FIND(" ",RIGHT(A29,LEN(A29)-FIND(".",A29)-1))-1)</f>
        <v>291</v>
      </c>
      <c r="D29" s="110"/>
      <c r="E29" s="83" t="str">
        <f>IF(AND(OR(C29=C30,C29=C28),D29=""),"?","")</f>
        <v/>
      </c>
      <c r="F29" s="111" t="s">
        <v>733</v>
      </c>
      <c r="G29" s="107"/>
      <c r="I29" s="20" t="str">
        <f t="shared" si="5"/>
        <v/>
      </c>
      <c r="J29" s="99" t="s">
        <v>1802</v>
      </c>
      <c r="K29" s="99" t="s">
        <v>1802</v>
      </c>
      <c r="L29" s="99" t="s">
        <v>1802</v>
      </c>
      <c r="M29" s="112" t="s">
        <v>1808</v>
      </c>
    </row>
    <row r="30">
      <c r="A30" s="98" t="s">
        <v>752</v>
      </c>
      <c r="B30" s="102" t="str">
        <f t="shared" si="1"/>
        <v>Тит.</v>
      </c>
      <c r="C30" s="102" t="str">
        <f t="shared" ref="C30:C41" si="12">MID(A30,FIND(".",A30)+2,FIND(" ",RIGHT(A30,LEN(A30)-FIND(".",A30)-1))-1)</f>
        <v>300</v>
      </c>
      <c r="D30" s="89" t="s">
        <v>22</v>
      </c>
      <c r="E30" s="90" t="str">
        <f>IF(AND(OR(C30=C31,C30=C28),D30=""),"?","")</f>
        <v/>
      </c>
      <c r="F30" s="103" t="s">
        <v>753</v>
      </c>
      <c r="G30" s="107"/>
      <c r="H30" s="20" t="str">
        <f>"ap"&amp;C30&amp;D30&amp;".docx"</f>
        <v>ap300b.docx</v>
      </c>
      <c r="I30" s="20" t="str">
        <f t="shared" si="5"/>
        <v>ap0300a.html</v>
      </c>
      <c r="J30" s="99" t="s">
        <v>1802</v>
      </c>
      <c r="K30" s="99" t="s">
        <v>1802</v>
      </c>
      <c r="L30" s="99" t="s">
        <v>1802</v>
      </c>
      <c r="M30" s="99" t="s">
        <v>1805</v>
      </c>
    </row>
    <row r="31">
      <c r="A31" s="90" t="s">
        <v>750</v>
      </c>
      <c r="B31" s="90" t="str">
        <f t="shared" si="1"/>
        <v>Тит.</v>
      </c>
      <c r="C31" s="90" t="str">
        <f t="shared" si="12"/>
        <v>300</v>
      </c>
      <c r="D31" s="89" t="s">
        <v>18</v>
      </c>
      <c r="E31" s="90" t="str">
        <f t="shared" ref="E31:E40" si="13">IF(AND(OR(C31=C32,C31=C30),D31=""),"?","")</f>
        <v/>
      </c>
      <c r="F31" s="107" t="s">
        <v>751</v>
      </c>
      <c r="I31" s="20" t="str">
        <f t="shared" si="5"/>
        <v/>
      </c>
      <c r="J31" s="100"/>
      <c r="K31" s="100"/>
      <c r="L31" s="100"/>
      <c r="M31" s="100"/>
    </row>
    <row r="32">
      <c r="A32" s="90" t="s">
        <v>756</v>
      </c>
      <c r="B32" s="90" t="str">
        <f t="shared" si="1"/>
        <v>Тит.</v>
      </c>
      <c r="C32" s="90" t="str">
        <f t="shared" si="12"/>
        <v>302</v>
      </c>
      <c r="D32" s="89" t="s">
        <v>18</v>
      </c>
      <c r="E32" s="90" t="str">
        <f t="shared" si="13"/>
        <v/>
      </c>
      <c r="F32" s="103" t="s">
        <v>757</v>
      </c>
      <c r="I32" s="20" t="str">
        <f t="shared" si="5"/>
        <v/>
      </c>
      <c r="J32" s="100"/>
      <c r="K32" s="100"/>
      <c r="L32" s="100"/>
      <c r="M32" s="100"/>
    </row>
    <row r="33">
      <c r="A33" s="98" t="s">
        <v>758</v>
      </c>
      <c r="B33" s="102" t="str">
        <f t="shared" si="1"/>
        <v>Тит.</v>
      </c>
      <c r="C33" s="102" t="str">
        <f t="shared" si="12"/>
        <v>302</v>
      </c>
      <c r="D33" s="89" t="s">
        <v>22</v>
      </c>
      <c r="E33" s="90" t="str">
        <f t="shared" si="13"/>
        <v/>
      </c>
      <c r="F33" s="97" t="s">
        <v>759</v>
      </c>
      <c r="H33" s="20" t="str">
        <f t="shared" ref="H33:H34" si="14">"ap"&amp;C33&amp;D33&amp;".docx"</f>
        <v>ap302b.docx</v>
      </c>
      <c r="I33" s="20" t="str">
        <f t="shared" si="5"/>
        <v>ap0302a.html</v>
      </c>
      <c r="J33" s="99" t="s">
        <v>1802</v>
      </c>
      <c r="K33" s="99" t="s">
        <v>1802</v>
      </c>
      <c r="L33" s="99" t="s">
        <v>1802</v>
      </c>
      <c r="M33" s="99" t="s">
        <v>1805</v>
      </c>
    </row>
    <row r="34">
      <c r="A34" s="102" t="s">
        <v>760</v>
      </c>
      <c r="B34" s="102" t="str">
        <f t="shared" si="1"/>
        <v>Фил.</v>
      </c>
      <c r="C34" s="102" t="str">
        <f t="shared" si="12"/>
        <v>302</v>
      </c>
      <c r="D34" s="89" t="s">
        <v>116</v>
      </c>
      <c r="E34" s="90" t="str">
        <f t="shared" si="13"/>
        <v/>
      </c>
      <c r="F34" s="97" t="s">
        <v>761</v>
      </c>
      <c r="H34" s="20" t="str">
        <f t="shared" si="14"/>
        <v>ap302c.docx</v>
      </c>
      <c r="I34" s="20" t="str">
        <f t="shared" si="5"/>
        <v/>
      </c>
      <c r="J34" s="99" t="s">
        <v>1802</v>
      </c>
      <c r="K34" s="99" t="s">
        <v>1802</v>
      </c>
      <c r="L34" s="99" t="s">
        <v>1802</v>
      </c>
      <c r="M34" s="99" t="s">
        <v>1805</v>
      </c>
    </row>
    <row r="35">
      <c r="A35" s="90" t="s">
        <v>778</v>
      </c>
      <c r="B35" s="90" t="str">
        <f t="shared" si="1"/>
        <v>Євр.</v>
      </c>
      <c r="C35" s="90" t="str">
        <f t="shared" si="12"/>
        <v>311</v>
      </c>
      <c r="D35" s="89" t="s">
        <v>18</v>
      </c>
      <c r="E35" s="90" t="str">
        <f t="shared" si="13"/>
        <v/>
      </c>
      <c r="F35" s="49" t="s">
        <v>843</v>
      </c>
      <c r="I35" s="20" t="str">
        <f t="shared" si="5"/>
        <v/>
      </c>
      <c r="J35" s="100"/>
      <c r="K35" s="100"/>
      <c r="L35" s="100"/>
      <c r="M35" s="100"/>
    </row>
    <row r="36">
      <c r="A36" s="106" t="s">
        <v>780</v>
      </c>
      <c r="B36" s="90" t="str">
        <f t="shared" si="1"/>
        <v>Євр.</v>
      </c>
      <c r="C36" s="90" t="str">
        <f t="shared" si="12"/>
        <v>311</v>
      </c>
      <c r="D36" s="89" t="s">
        <v>22</v>
      </c>
      <c r="E36" s="90" t="str">
        <f t="shared" si="13"/>
        <v/>
      </c>
      <c r="F36" s="49" t="s">
        <v>781</v>
      </c>
      <c r="H36" s="20" t="str">
        <f>"ap"&amp;C36&amp;D36&amp;".docx"</f>
        <v>ap311b.docx</v>
      </c>
      <c r="I36" s="20" t="str">
        <f t="shared" si="5"/>
        <v>ap0311a.html</v>
      </c>
      <c r="J36" s="99" t="s">
        <v>1802</v>
      </c>
      <c r="K36" s="99" t="s">
        <v>1802</v>
      </c>
      <c r="L36" s="99" t="s">
        <v>1802</v>
      </c>
      <c r="M36" s="99" t="s">
        <v>1805</v>
      </c>
    </row>
    <row r="37">
      <c r="A37" s="90" t="s">
        <v>797</v>
      </c>
      <c r="B37" s="90" t="str">
        <f t="shared" si="1"/>
        <v>Євр.</v>
      </c>
      <c r="C37" s="90" t="str">
        <f t="shared" si="12"/>
        <v>318</v>
      </c>
      <c r="D37" s="89" t="s">
        <v>18</v>
      </c>
      <c r="E37" s="90" t="str">
        <f t="shared" si="13"/>
        <v/>
      </c>
      <c r="F37" s="97" t="s">
        <v>798</v>
      </c>
      <c r="I37" s="20" t="str">
        <f t="shared" si="5"/>
        <v/>
      </c>
      <c r="J37" s="100"/>
      <c r="K37" s="100"/>
      <c r="L37" s="100"/>
      <c r="M37" s="100"/>
    </row>
    <row r="38">
      <c r="A38" s="89" t="s">
        <v>799</v>
      </c>
      <c r="B38" s="90" t="str">
        <f t="shared" si="1"/>
        <v>Євр.</v>
      </c>
      <c r="C38" s="90" t="str">
        <f t="shared" si="12"/>
        <v>318</v>
      </c>
      <c r="D38" s="89" t="s">
        <v>22</v>
      </c>
      <c r="E38" s="90" t="str">
        <f t="shared" si="13"/>
        <v/>
      </c>
      <c r="F38" s="97" t="s">
        <v>800</v>
      </c>
      <c r="I38" s="20" t="str">
        <f t="shared" si="5"/>
        <v>ap0318a.html</v>
      </c>
      <c r="J38" s="100"/>
      <c r="K38" s="100"/>
      <c r="L38" s="100"/>
      <c r="M38" s="100"/>
    </row>
    <row r="39">
      <c r="A39" s="101" t="s">
        <v>829</v>
      </c>
      <c r="B39" s="90" t="str">
        <f t="shared" si="1"/>
        <v>Євр.</v>
      </c>
      <c r="C39" s="90" t="str">
        <f t="shared" si="12"/>
        <v>331</v>
      </c>
      <c r="D39" s="89" t="s">
        <v>18</v>
      </c>
      <c r="E39" s="90" t="str">
        <f t="shared" si="13"/>
        <v/>
      </c>
      <c r="F39" s="49" t="s">
        <v>830</v>
      </c>
      <c r="I39" s="20" t="str">
        <f t="shared" si="5"/>
        <v/>
      </c>
      <c r="J39" s="100"/>
      <c r="K39" s="100"/>
      <c r="L39" s="100"/>
      <c r="M39" s="100"/>
    </row>
    <row r="40">
      <c r="A40" s="106" t="s">
        <v>831</v>
      </c>
      <c r="B40" s="90" t="str">
        <f t="shared" si="1"/>
        <v>Євр.</v>
      </c>
      <c r="C40" s="90" t="str">
        <f t="shared" si="12"/>
        <v>331</v>
      </c>
      <c r="D40" s="89" t="s">
        <v>22</v>
      </c>
      <c r="E40" s="90" t="str">
        <f t="shared" si="13"/>
        <v/>
      </c>
      <c r="F40" s="49" t="s">
        <v>832</v>
      </c>
      <c r="H40" s="20" t="str">
        <f>"ap"&amp;C40&amp;D40&amp;".docx"</f>
        <v>ap331b.docx</v>
      </c>
      <c r="I40" s="20" t="str">
        <f t="shared" si="5"/>
        <v>ap0331a.html</v>
      </c>
      <c r="J40" s="99" t="s">
        <v>1802</v>
      </c>
      <c r="K40" s="99" t="s">
        <v>1802</v>
      </c>
      <c r="L40" s="99" t="s">
        <v>1802</v>
      </c>
      <c r="M40" s="99" t="s">
        <v>1805</v>
      </c>
    </row>
    <row r="41">
      <c r="A41" s="106" t="s">
        <v>833</v>
      </c>
      <c r="B41" s="90" t="str">
        <f t="shared" si="1"/>
        <v>Євр.</v>
      </c>
      <c r="C41" s="114" t="str">
        <f t="shared" si="12"/>
        <v>332</v>
      </c>
      <c r="D41" s="90"/>
      <c r="E41" s="90" t="str">
        <f>IF(AND(OR(C41=C43,C41=C40),D41=""),"?","")</f>
        <v/>
      </c>
      <c r="F41" s="49" t="s">
        <v>834</v>
      </c>
      <c r="I41" s="20" t="str">
        <f t="shared" si="5"/>
        <v/>
      </c>
      <c r="J41" s="99" t="s">
        <v>1802</v>
      </c>
      <c r="K41" s="99" t="s">
        <v>1802</v>
      </c>
      <c r="L41" s="99" t="s">
        <v>1802</v>
      </c>
      <c r="M41" s="112" t="s">
        <v>1808</v>
      </c>
    </row>
    <row r="42">
      <c r="A42" s="115"/>
      <c r="B42" s="90"/>
      <c r="C42" s="114"/>
      <c r="D42" s="90"/>
      <c r="E42" s="90"/>
      <c r="F42" s="49"/>
      <c r="I42" s="20" t="str">
        <f t="shared" si="5"/>
        <v/>
      </c>
    </row>
  </sheetData>
  <autoFilter ref="$A$1:$G$42"/>
  <conditionalFormatting sqref="J3:M41">
    <cfRule type="cellIs" dxfId="4" priority="1" operator="equal">
      <formula>"y"</formula>
    </cfRule>
  </conditionalFormatting>
  <conditionalFormatting sqref="J3:M41">
    <cfRule type="cellIs" dxfId="5" priority="2" operator="equal">
      <formula>"n"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.43"/>
    <col customWidth="1" min="3" max="3" width="7.14"/>
    <col customWidth="1" min="4" max="4" width="7.0"/>
    <col customWidth="1" min="5" max="5" width="3.43"/>
    <col customWidth="1" min="6" max="6" width="42.71"/>
  </cols>
  <sheetData>
    <row r="1">
      <c r="A1" s="92" t="s">
        <v>0</v>
      </c>
      <c r="B1" s="93" t="s">
        <v>1</v>
      </c>
      <c r="C1" s="92" t="s">
        <v>3</v>
      </c>
      <c r="D1" s="94" t="s">
        <v>1796</v>
      </c>
      <c r="E1" s="92" t="s">
        <v>1797</v>
      </c>
      <c r="F1" s="95" t="s">
        <v>5</v>
      </c>
      <c r="G1" s="92" t="s">
        <v>6</v>
      </c>
      <c r="J1" s="96" t="s">
        <v>1798</v>
      </c>
      <c r="K1" s="96" t="s">
        <v>1799</v>
      </c>
      <c r="L1" s="96" t="s">
        <v>1800</v>
      </c>
      <c r="M1" s="96" t="s">
        <v>1801</v>
      </c>
    </row>
    <row r="2">
      <c r="A2" s="116" t="s">
        <v>1032</v>
      </c>
      <c r="B2" s="90" t="str">
        <f t="shared" ref="B2:B34" si="1">LEFT(A2,FIND(".",A2))</f>
        <v>Йо.</v>
      </c>
      <c r="C2" s="114" t="str">
        <f t="shared" ref="C2:C34" si="2">MID(A2,FIND(".",A2)+2,FIND(" ",RIGHT(A2,LEN(A2)-FIND(".",A2)-1))-1)</f>
        <v>14</v>
      </c>
      <c r="D2" s="89" t="s">
        <v>18</v>
      </c>
      <c r="E2" s="90" t="str">
        <f t="shared" ref="E2:E34" si="3">IF(AND(OR(C2=C3,C2=C1),D2=""),"?","")</f>
        <v/>
      </c>
      <c r="F2" s="49" t="s">
        <v>75</v>
      </c>
      <c r="H2" s="20" t="str">
        <f t="shared" ref="H2:H34" si="4">IF(D2&lt;&gt;"a",IF(B2="Йо.","iv",IF(B2="Лк.","lk",IF(B2="Мр.","mr",IF(B2="Мт.","mt","er"))))&amp;REPT("0",3-LEN(C2))&amp;C2&amp;D2&amp;".docx","")</f>
        <v/>
      </c>
      <c r="I2" s="20" t="str">
        <f t="shared" ref="I2:I34" si="5">IF(D2="a",IF(B2="Йо.","iv",IF(B2="Лк.","lk",IF(B2="Мр.","mr",IF(B2="Мт.","mt","er"))))&amp;REPT("0",3-LEN(C2))&amp;C2&amp;"a.html","")</f>
        <v>iv014a.html</v>
      </c>
      <c r="J2" s="112" t="s">
        <v>1808</v>
      </c>
      <c r="K2" s="112" t="s">
        <v>1808</v>
      </c>
      <c r="L2" s="112" t="s">
        <v>1808</v>
      </c>
      <c r="M2" s="99" t="s">
        <v>1805</v>
      </c>
      <c r="N2" s="20" t="str">
        <f t="shared" ref="N2:N34" si="6">IF(I2="a",IF(G2="Йо.","iv",IF(G2="Лк.","lk",IF(G2="Мр.","mr",IF(G2="Мт.","mt","er"))))&amp;REPT("0",3-LEN(H2))&amp;H2&amp;".docx","")</f>
        <v/>
      </c>
    </row>
    <row r="3">
      <c r="A3" s="116" t="s">
        <v>1033</v>
      </c>
      <c r="B3" s="90" t="str">
        <f t="shared" si="1"/>
        <v>Йо.</v>
      </c>
      <c r="C3" s="114" t="str">
        <f t="shared" si="2"/>
        <v>14</v>
      </c>
      <c r="D3" s="89" t="s">
        <v>22</v>
      </c>
      <c r="E3" s="90" t="str">
        <f t="shared" si="3"/>
        <v/>
      </c>
      <c r="F3" s="49" t="s">
        <v>392</v>
      </c>
      <c r="H3" s="20" t="str">
        <f t="shared" si="4"/>
        <v>iv014b.docx</v>
      </c>
      <c r="I3" s="20" t="str">
        <f t="shared" si="5"/>
        <v/>
      </c>
      <c r="J3" s="99" t="s">
        <v>1802</v>
      </c>
      <c r="K3" s="99" t="s">
        <v>1802</v>
      </c>
      <c r="L3" s="99" t="s">
        <v>1805</v>
      </c>
      <c r="M3" s="112" t="s">
        <v>1808</v>
      </c>
      <c r="N3" s="20" t="str">
        <f t="shared" si="6"/>
        <v/>
      </c>
    </row>
    <row r="4">
      <c r="A4" s="116" t="s">
        <v>1042</v>
      </c>
      <c r="B4" s="90" t="str">
        <f t="shared" si="1"/>
        <v>Йо.</v>
      </c>
      <c r="C4" s="114" t="str">
        <f t="shared" si="2"/>
        <v>23</v>
      </c>
      <c r="D4" s="89" t="s">
        <v>18</v>
      </c>
      <c r="E4" s="90" t="str">
        <f t="shared" si="3"/>
        <v/>
      </c>
      <c r="F4" s="117" t="s">
        <v>1043</v>
      </c>
      <c r="H4" s="20" t="str">
        <f t="shared" si="4"/>
        <v/>
      </c>
      <c r="I4" s="20" t="str">
        <f t="shared" si="5"/>
        <v>iv023a.html</v>
      </c>
      <c r="J4" s="112" t="s">
        <v>1808</v>
      </c>
      <c r="K4" s="112" t="s">
        <v>1808</v>
      </c>
      <c r="L4" s="112" t="s">
        <v>1808</v>
      </c>
      <c r="M4" s="99" t="s">
        <v>1805</v>
      </c>
      <c r="N4" s="20" t="str">
        <f t="shared" si="6"/>
        <v/>
      </c>
    </row>
    <row r="5">
      <c r="A5" s="116" t="s">
        <v>1809</v>
      </c>
      <c r="B5" s="90" t="str">
        <f t="shared" si="1"/>
        <v>Йо.</v>
      </c>
      <c r="C5" s="114" t="str">
        <f t="shared" si="2"/>
        <v>23</v>
      </c>
      <c r="D5" s="89" t="s">
        <v>22</v>
      </c>
      <c r="E5" s="90" t="str">
        <f t="shared" si="3"/>
        <v/>
      </c>
      <c r="F5" s="49" t="s">
        <v>906</v>
      </c>
      <c r="H5" s="20" t="str">
        <f t="shared" si="4"/>
        <v>iv023b.docx</v>
      </c>
      <c r="I5" s="20" t="str">
        <f t="shared" si="5"/>
        <v/>
      </c>
      <c r="J5" s="99" t="s">
        <v>1802</v>
      </c>
      <c r="K5" s="99" t="s">
        <v>1802</v>
      </c>
      <c r="L5" s="99" t="s">
        <v>1805</v>
      </c>
      <c r="M5" s="112" t="s">
        <v>1808</v>
      </c>
      <c r="N5" s="20" t="str">
        <f t="shared" si="6"/>
        <v/>
      </c>
    </row>
    <row r="6">
      <c r="A6" s="116" t="s">
        <v>1059</v>
      </c>
      <c r="B6" s="90" t="str">
        <f t="shared" si="1"/>
        <v>Йо.</v>
      </c>
      <c r="C6" s="114" t="str">
        <f t="shared" si="2"/>
        <v>37</v>
      </c>
      <c r="D6" s="89" t="s">
        <v>18</v>
      </c>
      <c r="E6" s="90" t="str">
        <f t="shared" si="3"/>
        <v/>
      </c>
      <c r="F6" s="49" t="s">
        <v>937</v>
      </c>
      <c r="H6" s="20" t="str">
        <f t="shared" si="4"/>
        <v/>
      </c>
      <c r="I6" s="20" t="str">
        <f t="shared" si="5"/>
        <v>iv037a.html</v>
      </c>
      <c r="J6" s="112" t="s">
        <v>1808</v>
      </c>
      <c r="K6" s="112" t="s">
        <v>1808</v>
      </c>
      <c r="L6" s="112" t="s">
        <v>1808</v>
      </c>
      <c r="M6" s="99" t="s">
        <v>1805</v>
      </c>
      <c r="N6" s="20" t="str">
        <f t="shared" si="6"/>
        <v/>
      </c>
    </row>
    <row r="7">
      <c r="A7" s="118" t="s">
        <v>1060</v>
      </c>
      <c r="B7" s="90" t="str">
        <f t="shared" si="1"/>
        <v>Йо.</v>
      </c>
      <c r="C7" s="114" t="str">
        <f t="shared" si="2"/>
        <v>37</v>
      </c>
      <c r="D7" s="89" t="s">
        <v>22</v>
      </c>
      <c r="E7" s="90" t="str">
        <f t="shared" si="3"/>
        <v/>
      </c>
      <c r="F7" s="49" t="s">
        <v>935</v>
      </c>
      <c r="H7" s="20" t="str">
        <f t="shared" si="4"/>
        <v>iv037b.docx</v>
      </c>
      <c r="I7" s="20" t="str">
        <f t="shared" si="5"/>
        <v/>
      </c>
      <c r="J7" s="99" t="s">
        <v>1802</v>
      </c>
      <c r="K7" s="99" t="s">
        <v>1802</v>
      </c>
      <c r="L7" s="99" t="s">
        <v>1805</v>
      </c>
      <c r="M7" s="112" t="s">
        <v>1808</v>
      </c>
      <c r="N7" s="20" t="str">
        <f t="shared" si="6"/>
        <v/>
      </c>
    </row>
    <row r="8">
      <c r="A8" s="116" t="s">
        <v>1064</v>
      </c>
      <c r="B8" s="90" t="str">
        <f t="shared" si="1"/>
        <v>Йо.</v>
      </c>
      <c r="C8" s="114" t="str">
        <f t="shared" si="2"/>
        <v>41</v>
      </c>
      <c r="D8" s="89" t="s">
        <v>18</v>
      </c>
      <c r="E8" s="90" t="str">
        <f t="shared" si="3"/>
        <v/>
      </c>
      <c r="F8" s="97" t="s">
        <v>946</v>
      </c>
      <c r="G8" s="49"/>
      <c r="H8" s="20" t="str">
        <f t="shared" si="4"/>
        <v/>
      </c>
      <c r="I8" s="20" t="str">
        <f t="shared" si="5"/>
        <v>iv041a.html</v>
      </c>
      <c r="J8" s="112" t="s">
        <v>1808</v>
      </c>
      <c r="K8" s="112" t="s">
        <v>1808</v>
      </c>
      <c r="L8" s="112" t="s">
        <v>1808</v>
      </c>
      <c r="M8" s="99" t="s">
        <v>1805</v>
      </c>
      <c r="N8" s="20" t="str">
        <f t="shared" si="6"/>
        <v/>
      </c>
    </row>
    <row r="9">
      <c r="A9" s="116" t="s">
        <v>1065</v>
      </c>
      <c r="B9" s="90" t="str">
        <f t="shared" si="1"/>
        <v>Йо.</v>
      </c>
      <c r="C9" s="114" t="str">
        <f t="shared" si="2"/>
        <v>41</v>
      </c>
      <c r="D9" s="89" t="s">
        <v>22</v>
      </c>
      <c r="E9" s="90" t="str">
        <f t="shared" si="3"/>
        <v/>
      </c>
      <c r="F9" s="49" t="s">
        <v>948</v>
      </c>
      <c r="G9" s="49"/>
      <c r="H9" s="20" t="str">
        <f t="shared" si="4"/>
        <v>iv041b.docx</v>
      </c>
      <c r="I9" s="20" t="str">
        <f t="shared" si="5"/>
        <v/>
      </c>
      <c r="J9" s="99" t="s">
        <v>1802</v>
      </c>
      <c r="K9" s="99" t="s">
        <v>1802</v>
      </c>
      <c r="L9" s="99" t="s">
        <v>1805</v>
      </c>
      <c r="M9" s="112" t="s">
        <v>1808</v>
      </c>
      <c r="N9" s="20" t="str">
        <f t="shared" si="6"/>
        <v/>
      </c>
    </row>
    <row r="10">
      <c r="A10" s="116" t="s">
        <v>1066</v>
      </c>
      <c r="B10" s="90" t="str">
        <f t="shared" si="1"/>
        <v>Йо.</v>
      </c>
      <c r="C10" s="114" t="str">
        <f t="shared" si="2"/>
        <v>42</v>
      </c>
      <c r="D10" s="89" t="s">
        <v>18</v>
      </c>
      <c r="E10" s="90" t="str">
        <f t="shared" si="3"/>
        <v/>
      </c>
      <c r="F10" s="49" t="s">
        <v>950</v>
      </c>
      <c r="G10" s="49"/>
      <c r="H10" s="20" t="str">
        <f t="shared" si="4"/>
        <v/>
      </c>
      <c r="I10" s="20" t="str">
        <f t="shared" si="5"/>
        <v>iv042a.html</v>
      </c>
      <c r="J10" s="112" t="s">
        <v>1808</v>
      </c>
      <c r="K10" s="112" t="s">
        <v>1808</v>
      </c>
      <c r="L10" s="112" t="s">
        <v>1808</v>
      </c>
      <c r="M10" s="99" t="s">
        <v>1805</v>
      </c>
      <c r="N10" s="20" t="str">
        <f t="shared" si="6"/>
        <v/>
      </c>
    </row>
    <row r="11">
      <c r="A11" s="118" t="s">
        <v>1067</v>
      </c>
      <c r="B11" s="90" t="str">
        <f t="shared" si="1"/>
        <v>Йо.</v>
      </c>
      <c r="C11" s="114" t="str">
        <f t="shared" si="2"/>
        <v>42</v>
      </c>
      <c r="D11" s="89" t="s">
        <v>22</v>
      </c>
      <c r="E11" s="90" t="str">
        <f t="shared" si="3"/>
        <v/>
      </c>
      <c r="F11" s="49" t="s">
        <v>952</v>
      </c>
      <c r="G11" s="49"/>
      <c r="H11" s="20" t="str">
        <f t="shared" si="4"/>
        <v>iv042b.docx</v>
      </c>
      <c r="I11" s="20" t="str">
        <f t="shared" si="5"/>
        <v/>
      </c>
      <c r="J11" s="99" t="s">
        <v>1802</v>
      </c>
      <c r="K11" s="99" t="s">
        <v>1802</v>
      </c>
      <c r="L11" s="99" t="s">
        <v>1805</v>
      </c>
      <c r="M11" s="112" t="s">
        <v>1808</v>
      </c>
      <c r="N11" s="20" t="str">
        <f t="shared" si="6"/>
        <v/>
      </c>
    </row>
    <row r="12">
      <c r="A12" s="118" t="s">
        <v>1096</v>
      </c>
      <c r="B12" s="90" t="str">
        <f t="shared" si="1"/>
        <v>Йо.</v>
      </c>
      <c r="C12" s="114" t="str">
        <f t="shared" si="2"/>
        <v>65</v>
      </c>
      <c r="D12" s="89" t="s">
        <v>22</v>
      </c>
      <c r="E12" s="90" t="str">
        <f t="shared" si="3"/>
        <v/>
      </c>
      <c r="F12" s="49" t="s">
        <v>1008</v>
      </c>
      <c r="H12" s="20" t="str">
        <f t="shared" si="4"/>
        <v>iv065b.docx</v>
      </c>
      <c r="I12" s="20" t="str">
        <f t="shared" si="5"/>
        <v/>
      </c>
      <c r="J12" s="99" t="s">
        <v>1802</v>
      </c>
      <c r="K12" s="99" t="s">
        <v>1802</v>
      </c>
      <c r="L12" s="99" t="s">
        <v>1805</v>
      </c>
      <c r="M12" s="112" t="s">
        <v>1808</v>
      </c>
      <c r="N12" s="20" t="str">
        <f t="shared" si="6"/>
        <v/>
      </c>
    </row>
    <row r="13">
      <c r="A13" s="118" t="s">
        <v>1097</v>
      </c>
      <c r="B13" s="90" t="str">
        <f t="shared" si="1"/>
        <v>Йо.</v>
      </c>
      <c r="C13" s="114" t="str">
        <f t="shared" si="2"/>
        <v>65</v>
      </c>
      <c r="D13" s="89" t="s">
        <v>116</v>
      </c>
      <c r="E13" s="90" t="str">
        <f t="shared" si="3"/>
        <v/>
      </c>
      <c r="F13" s="49" t="s">
        <v>1810</v>
      </c>
      <c r="H13" s="20" t="str">
        <f t="shared" si="4"/>
        <v>iv065c.docx</v>
      </c>
      <c r="I13" s="20" t="str">
        <f t="shared" si="5"/>
        <v/>
      </c>
      <c r="J13" s="99" t="s">
        <v>1802</v>
      </c>
      <c r="K13" s="99" t="s">
        <v>1802</v>
      </c>
      <c r="L13" s="99" t="s">
        <v>1805</v>
      </c>
      <c r="M13" s="112" t="s">
        <v>1808</v>
      </c>
      <c r="N13" s="20" t="str">
        <f t="shared" si="6"/>
        <v/>
      </c>
    </row>
    <row r="14">
      <c r="A14" s="118" t="s">
        <v>1098</v>
      </c>
      <c r="B14" s="90" t="str">
        <f t="shared" si="1"/>
        <v>Йо.</v>
      </c>
      <c r="C14" s="114" t="str">
        <f t="shared" si="2"/>
        <v>65</v>
      </c>
      <c r="D14" s="89" t="s">
        <v>18</v>
      </c>
      <c r="E14" s="90" t="str">
        <f t="shared" si="3"/>
        <v/>
      </c>
      <c r="F14" s="49" t="s">
        <v>1012</v>
      </c>
      <c r="H14" s="20" t="str">
        <f t="shared" si="4"/>
        <v/>
      </c>
      <c r="I14" s="20" t="str">
        <f t="shared" si="5"/>
        <v>iv065a.html</v>
      </c>
      <c r="J14" s="112" t="s">
        <v>1808</v>
      </c>
      <c r="K14" s="112" t="s">
        <v>1808</v>
      </c>
      <c r="L14" s="112" t="s">
        <v>1808</v>
      </c>
      <c r="M14" s="99" t="s">
        <v>1805</v>
      </c>
      <c r="N14" s="20" t="str">
        <f t="shared" si="6"/>
        <v/>
      </c>
    </row>
    <row r="15">
      <c r="A15" s="116" t="s">
        <v>1118</v>
      </c>
      <c r="B15" s="90" t="str">
        <f t="shared" si="1"/>
        <v>Лк.</v>
      </c>
      <c r="C15" s="114" t="str">
        <f t="shared" si="2"/>
        <v>8</v>
      </c>
      <c r="D15" s="89" t="s">
        <v>18</v>
      </c>
      <c r="E15" s="90" t="str">
        <f t="shared" si="3"/>
        <v/>
      </c>
      <c r="F15" s="49" t="s">
        <v>1119</v>
      </c>
      <c r="H15" s="20" t="str">
        <f t="shared" si="4"/>
        <v/>
      </c>
      <c r="I15" s="20" t="str">
        <f t="shared" si="5"/>
        <v>lk008a.html</v>
      </c>
      <c r="J15" s="112" t="s">
        <v>1808</v>
      </c>
      <c r="K15" s="112" t="s">
        <v>1808</v>
      </c>
      <c r="L15" s="112" t="s">
        <v>1808</v>
      </c>
      <c r="M15" s="99" t="s">
        <v>1805</v>
      </c>
      <c r="N15" s="20" t="str">
        <f t="shared" si="6"/>
        <v/>
      </c>
    </row>
    <row r="16">
      <c r="A16" s="118" t="s">
        <v>1120</v>
      </c>
      <c r="B16" s="90" t="str">
        <f t="shared" si="1"/>
        <v>Лк.</v>
      </c>
      <c r="C16" s="114" t="str">
        <f t="shared" si="2"/>
        <v>8</v>
      </c>
      <c r="D16" s="89" t="s">
        <v>22</v>
      </c>
      <c r="E16" s="90" t="str">
        <f t="shared" si="3"/>
        <v/>
      </c>
      <c r="F16" s="119" t="s">
        <v>1121</v>
      </c>
      <c r="G16" s="90"/>
      <c r="H16" s="20" t="str">
        <f t="shared" si="4"/>
        <v>lk008b.docx</v>
      </c>
      <c r="I16" s="20" t="str">
        <f t="shared" si="5"/>
        <v/>
      </c>
      <c r="J16" s="99" t="s">
        <v>1802</v>
      </c>
      <c r="K16" s="99" t="s">
        <v>1802</v>
      </c>
      <c r="L16" s="99" t="s">
        <v>1805</v>
      </c>
      <c r="M16" s="112" t="s">
        <v>1808</v>
      </c>
      <c r="N16" s="20" t="str">
        <f t="shared" si="6"/>
        <v/>
      </c>
    </row>
    <row r="17">
      <c r="A17" s="118" t="s">
        <v>1235</v>
      </c>
      <c r="B17" s="90" t="str">
        <f t="shared" si="1"/>
        <v>Лк.</v>
      </c>
      <c r="C17" s="114" t="str">
        <f t="shared" si="2"/>
        <v>63</v>
      </c>
      <c r="D17" s="89" t="s">
        <v>18</v>
      </c>
      <c r="E17" s="90" t="str">
        <f t="shared" si="3"/>
        <v/>
      </c>
      <c r="F17" s="49" t="s">
        <v>1236</v>
      </c>
      <c r="H17" s="20" t="str">
        <f t="shared" si="4"/>
        <v/>
      </c>
      <c r="I17" s="20" t="str">
        <f t="shared" si="5"/>
        <v>lk063a.html</v>
      </c>
      <c r="J17" s="112" t="s">
        <v>1808</v>
      </c>
      <c r="K17" s="112" t="s">
        <v>1808</v>
      </c>
      <c r="L17" s="112" t="s">
        <v>1808</v>
      </c>
      <c r="M17" s="99" t="s">
        <v>1805</v>
      </c>
      <c r="N17" s="20" t="str">
        <f t="shared" si="6"/>
        <v/>
      </c>
    </row>
    <row r="18">
      <c r="A18" s="118" t="s">
        <v>1237</v>
      </c>
      <c r="B18" s="90" t="str">
        <f t="shared" si="1"/>
        <v>Лк.</v>
      </c>
      <c r="C18" s="114" t="str">
        <f t="shared" si="2"/>
        <v>63</v>
      </c>
      <c r="D18" s="89" t="s">
        <v>22</v>
      </c>
      <c r="E18" s="90" t="str">
        <f t="shared" si="3"/>
        <v/>
      </c>
      <c r="F18" s="49" t="s">
        <v>1238</v>
      </c>
      <c r="H18" s="20" t="str">
        <f t="shared" si="4"/>
        <v>lk063b.docx</v>
      </c>
      <c r="I18" s="20" t="str">
        <f t="shared" si="5"/>
        <v/>
      </c>
      <c r="J18" s="99" t="s">
        <v>1802</v>
      </c>
      <c r="K18" s="99" t="s">
        <v>1802</v>
      </c>
      <c r="L18" s="99" t="s">
        <v>1805</v>
      </c>
      <c r="M18" s="112" t="s">
        <v>1808</v>
      </c>
      <c r="N18" s="20" t="str">
        <f t="shared" si="6"/>
        <v/>
      </c>
    </row>
    <row r="19">
      <c r="A19" s="118" t="s">
        <v>1345</v>
      </c>
      <c r="B19" s="90" t="str">
        <f t="shared" si="1"/>
        <v>Мр.</v>
      </c>
      <c r="C19" s="114" t="str">
        <f t="shared" si="2"/>
        <v>2</v>
      </c>
      <c r="D19" s="89" t="s">
        <v>22</v>
      </c>
      <c r="E19" s="90" t="str">
        <f t="shared" si="3"/>
        <v/>
      </c>
      <c r="F19" s="49" t="s">
        <v>1346</v>
      </c>
      <c r="H19" s="20" t="str">
        <f t="shared" si="4"/>
        <v>mr002b.docx</v>
      </c>
      <c r="I19" s="20" t="str">
        <f t="shared" si="5"/>
        <v/>
      </c>
      <c r="J19" s="99" t="s">
        <v>1802</v>
      </c>
      <c r="K19" s="99" t="s">
        <v>1802</v>
      </c>
      <c r="L19" s="99" t="s">
        <v>1802</v>
      </c>
      <c r="M19" s="112" t="s">
        <v>1808</v>
      </c>
      <c r="N19" s="20" t="str">
        <f t="shared" si="6"/>
        <v/>
      </c>
    </row>
    <row r="20">
      <c r="A20" s="118" t="s">
        <v>1347</v>
      </c>
      <c r="B20" s="90" t="str">
        <f t="shared" si="1"/>
        <v>Мр.</v>
      </c>
      <c r="C20" s="114" t="str">
        <f t="shared" si="2"/>
        <v>2</v>
      </c>
      <c r="D20" s="89" t="s">
        <v>18</v>
      </c>
      <c r="E20" s="90" t="str">
        <f t="shared" si="3"/>
        <v/>
      </c>
      <c r="F20" s="49" t="s">
        <v>1348</v>
      </c>
      <c r="H20" s="20" t="str">
        <f t="shared" si="4"/>
        <v/>
      </c>
      <c r="I20" s="20" t="str">
        <f t="shared" si="5"/>
        <v>mr002a.html</v>
      </c>
      <c r="J20" s="112" t="s">
        <v>1808</v>
      </c>
      <c r="K20" s="112" t="s">
        <v>1808</v>
      </c>
      <c r="L20" s="112" t="s">
        <v>1808</v>
      </c>
      <c r="M20" s="99" t="s">
        <v>1805</v>
      </c>
      <c r="N20" s="20" t="str">
        <f t="shared" si="6"/>
        <v/>
      </c>
    </row>
    <row r="21">
      <c r="A21" s="118" t="s">
        <v>1484</v>
      </c>
      <c r="B21" s="90" t="str">
        <f t="shared" si="1"/>
        <v>Мр.</v>
      </c>
      <c r="C21" s="114" t="str">
        <f t="shared" si="2"/>
        <v>69</v>
      </c>
      <c r="D21" s="89" t="s">
        <v>18</v>
      </c>
      <c r="E21" s="90" t="str">
        <f t="shared" si="3"/>
        <v/>
      </c>
      <c r="F21" s="49" t="s">
        <v>1485</v>
      </c>
      <c r="H21" s="20" t="str">
        <f t="shared" si="4"/>
        <v/>
      </c>
      <c r="I21" s="20" t="str">
        <f t="shared" si="5"/>
        <v>mr069a.html</v>
      </c>
      <c r="J21" s="112" t="s">
        <v>1808</v>
      </c>
      <c r="K21" s="112" t="s">
        <v>1808</v>
      </c>
      <c r="L21" s="112" t="s">
        <v>1808</v>
      </c>
      <c r="M21" s="99" t="s">
        <v>1805</v>
      </c>
      <c r="N21" s="20" t="str">
        <f t="shared" si="6"/>
        <v/>
      </c>
    </row>
    <row r="22">
      <c r="A22" s="116" t="s">
        <v>1486</v>
      </c>
      <c r="B22" s="90" t="str">
        <f t="shared" si="1"/>
        <v>Мр.</v>
      </c>
      <c r="C22" s="114" t="str">
        <f t="shared" si="2"/>
        <v>69</v>
      </c>
      <c r="D22" s="89" t="s">
        <v>22</v>
      </c>
      <c r="E22" s="90" t="str">
        <f t="shared" si="3"/>
        <v/>
      </c>
      <c r="F22" s="49" t="s">
        <v>1487</v>
      </c>
      <c r="H22" s="20" t="str">
        <f t="shared" si="4"/>
        <v>mr069b.docx</v>
      </c>
      <c r="I22" s="20" t="str">
        <f t="shared" si="5"/>
        <v/>
      </c>
      <c r="J22" s="99" t="s">
        <v>1802</v>
      </c>
      <c r="K22" s="99" t="s">
        <v>1802</v>
      </c>
      <c r="L22" s="99" t="s">
        <v>1802</v>
      </c>
      <c r="M22" s="112" t="s">
        <v>1808</v>
      </c>
      <c r="N22" s="20" t="str">
        <f t="shared" si="6"/>
        <v/>
      </c>
    </row>
    <row r="23">
      <c r="A23" s="116" t="s">
        <v>1532</v>
      </c>
      <c r="B23" s="90" t="str">
        <f t="shared" si="1"/>
        <v>Мт.</v>
      </c>
      <c r="C23" s="114" t="str">
        <f t="shared" si="2"/>
        <v>20</v>
      </c>
      <c r="D23" s="89" t="s">
        <v>18</v>
      </c>
      <c r="E23" s="90" t="str">
        <f t="shared" si="3"/>
        <v/>
      </c>
      <c r="F23" s="49" t="s">
        <v>1533</v>
      </c>
      <c r="H23" s="20" t="str">
        <f t="shared" si="4"/>
        <v/>
      </c>
      <c r="I23" s="20" t="str">
        <f t="shared" si="5"/>
        <v>mt020a.html</v>
      </c>
      <c r="J23" s="112" t="s">
        <v>1808</v>
      </c>
      <c r="K23" s="112" t="s">
        <v>1808</v>
      </c>
      <c r="L23" s="112" t="s">
        <v>1808</v>
      </c>
      <c r="M23" s="99" t="s">
        <v>1805</v>
      </c>
      <c r="N23" s="20" t="str">
        <f t="shared" si="6"/>
        <v/>
      </c>
    </row>
    <row r="24">
      <c r="A24" s="118" t="s">
        <v>1534</v>
      </c>
      <c r="B24" s="90" t="str">
        <f t="shared" si="1"/>
        <v>Мт.</v>
      </c>
      <c r="C24" s="114" t="str">
        <f t="shared" si="2"/>
        <v>20</v>
      </c>
      <c r="D24" s="89" t="s">
        <v>22</v>
      </c>
      <c r="E24" s="90" t="str">
        <f t="shared" si="3"/>
        <v/>
      </c>
      <c r="F24" s="49" t="s">
        <v>1535</v>
      </c>
      <c r="H24" s="20" t="str">
        <f t="shared" si="4"/>
        <v>mt020b.docx</v>
      </c>
      <c r="I24" s="20" t="str">
        <f t="shared" si="5"/>
        <v/>
      </c>
      <c r="J24" s="99" t="s">
        <v>1802</v>
      </c>
      <c r="K24" s="99" t="s">
        <v>1802</v>
      </c>
      <c r="L24" s="99" t="s">
        <v>1802</v>
      </c>
      <c r="M24" s="112" t="s">
        <v>1808</v>
      </c>
      <c r="N24" s="20" t="str">
        <f t="shared" si="6"/>
        <v/>
      </c>
    </row>
    <row r="25">
      <c r="A25" s="118" t="s">
        <v>1587</v>
      </c>
      <c r="B25" s="90" t="str">
        <f t="shared" si="1"/>
        <v>Мт.</v>
      </c>
      <c r="C25" s="114" t="str">
        <f t="shared" si="2"/>
        <v>52</v>
      </c>
      <c r="D25" s="89" t="s">
        <v>22</v>
      </c>
      <c r="E25" s="90" t="str">
        <f t="shared" si="3"/>
        <v/>
      </c>
      <c r="F25" s="49" t="s">
        <v>1588</v>
      </c>
      <c r="H25" s="20" t="str">
        <f t="shared" si="4"/>
        <v>mt052b.docx</v>
      </c>
      <c r="I25" s="20" t="str">
        <f t="shared" si="5"/>
        <v/>
      </c>
      <c r="J25" s="99" t="s">
        <v>1802</v>
      </c>
      <c r="K25" s="99" t="s">
        <v>1802</v>
      </c>
      <c r="L25" s="99" t="s">
        <v>1802</v>
      </c>
      <c r="M25" s="112" t="s">
        <v>1808</v>
      </c>
      <c r="N25" s="20" t="str">
        <f t="shared" si="6"/>
        <v/>
      </c>
    </row>
    <row r="26">
      <c r="A26" s="118" t="s">
        <v>1589</v>
      </c>
      <c r="B26" s="90" t="str">
        <f t="shared" si="1"/>
        <v>Мт.</v>
      </c>
      <c r="C26" s="114" t="str">
        <f t="shared" si="2"/>
        <v>52</v>
      </c>
      <c r="D26" s="89" t="s">
        <v>18</v>
      </c>
      <c r="E26" s="90" t="str">
        <f t="shared" si="3"/>
        <v/>
      </c>
      <c r="F26" s="49" t="s">
        <v>950</v>
      </c>
      <c r="H26" s="20" t="str">
        <f t="shared" si="4"/>
        <v/>
      </c>
      <c r="I26" s="20" t="str">
        <f t="shared" si="5"/>
        <v>mt052a.html</v>
      </c>
      <c r="J26" s="112" t="s">
        <v>1808</v>
      </c>
      <c r="K26" s="112" t="s">
        <v>1808</v>
      </c>
      <c r="L26" s="112" t="s">
        <v>1808</v>
      </c>
      <c r="M26" s="99" t="s">
        <v>1805</v>
      </c>
      <c r="N26" s="20" t="str">
        <f t="shared" si="6"/>
        <v/>
      </c>
    </row>
    <row r="27">
      <c r="A27" s="116" t="s">
        <v>1650</v>
      </c>
      <c r="B27" s="90" t="str">
        <f t="shared" si="1"/>
        <v>Мт.</v>
      </c>
      <c r="C27" s="114" t="str">
        <f t="shared" si="2"/>
        <v>83</v>
      </c>
      <c r="D27" s="89" t="s">
        <v>22</v>
      </c>
      <c r="E27" s="90" t="str">
        <f t="shared" si="3"/>
        <v/>
      </c>
      <c r="F27" s="49" t="s">
        <v>1651</v>
      </c>
      <c r="H27" s="20" t="str">
        <f t="shared" si="4"/>
        <v>mt083b.docx</v>
      </c>
      <c r="I27" s="20" t="str">
        <f t="shared" si="5"/>
        <v/>
      </c>
      <c r="J27" s="99" t="s">
        <v>1802</v>
      </c>
      <c r="K27" s="99" t="s">
        <v>1802</v>
      </c>
      <c r="L27" s="99" t="s">
        <v>1802</v>
      </c>
      <c r="M27" s="112" t="s">
        <v>1808</v>
      </c>
      <c r="N27" s="20" t="str">
        <f t="shared" si="6"/>
        <v/>
      </c>
    </row>
    <row r="28">
      <c r="A28" s="116" t="s">
        <v>1652</v>
      </c>
      <c r="B28" s="90" t="str">
        <f t="shared" si="1"/>
        <v>Мт.</v>
      </c>
      <c r="C28" s="114" t="str">
        <f t="shared" si="2"/>
        <v>83</v>
      </c>
      <c r="D28" s="89" t="s">
        <v>18</v>
      </c>
      <c r="E28" s="90" t="str">
        <f t="shared" si="3"/>
        <v/>
      </c>
      <c r="F28" s="49" t="s">
        <v>1653</v>
      </c>
      <c r="H28" s="20" t="str">
        <f t="shared" si="4"/>
        <v/>
      </c>
      <c r="I28" s="20" t="str">
        <f t="shared" si="5"/>
        <v>mt083a.html</v>
      </c>
      <c r="J28" s="112" t="s">
        <v>1808</v>
      </c>
      <c r="K28" s="112" t="s">
        <v>1808</v>
      </c>
      <c r="L28" s="112" t="s">
        <v>1808</v>
      </c>
      <c r="M28" s="99" t="s">
        <v>1805</v>
      </c>
      <c r="N28" s="20" t="str">
        <f t="shared" si="6"/>
        <v/>
      </c>
    </row>
    <row r="29">
      <c r="A29" s="116" t="s">
        <v>1654</v>
      </c>
      <c r="B29" s="90" t="str">
        <f t="shared" si="1"/>
        <v>Мт.</v>
      </c>
      <c r="C29" s="114" t="str">
        <f t="shared" si="2"/>
        <v>84</v>
      </c>
      <c r="D29" s="89" t="s">
        <v>18</v>
      </c>
      <c r="E29" s="90" t="str">
        <f t="shared" si="3"/>
        <v/>
      </c>
      <c r="F29" s="49" t="s">
        <v>1655</v>
      </c>
      <c r="H29" s="20" t="str">
        <f t="shared" si="4"/>
        <v/>
      </c>
      <c r="I29" s="20" t="str">
        <f t="shared" si="5"/>
        <v>mt084a.html</v>
      </c>
      <c r="J29" s="112" t="s">
        <v>1808</v>
      </c>
      <c r="K29" s="112" t="s">
        <v>1808</v>
      </c>
      <c r="L29" s="112" t="s">
        <v>1808</v>
      </c>
      <c r="M29" s="99" t="s">
        <v>1805</v>
      </c>
      <c r="N29" s="20" t="str">
        <f t="shared" si="6"/>
        <v/>
      </c>
    </row>
    <row r="30">
      <c r="A30" s="116" t="s">
        <v>1656</v>
      </c>
      <c r="B30" s="90" t="str">
        <f t="shared" si="1"/>
        <v>Мт.</v>
      </c>
      <c r="C30" s="114" t="str">
        <f t="shared" si="2"/>
        <v>84</v>
      </c>
      <c r="D30" s="89" t="s">
        <v>22</v>
      </c>
      <c r="E30" s="90" t="str">
        <f t="shared" si="3"/>
        <v/>
      </c>
      <c r="F30" s="49" t="s">
        <v>1811</v>
      </c>
      <c r="H30" s="20" t="str">
        <f t="shared" si="4"/>
        <v>mt084b.docx</v>
      </c>
      <c r="I30" s="20" t="str">
        <f t="shared" si="5"/>
        <v/>
      </c>
      <c r="J30" s="99" t="s">
        <v>1802</v>
      </c>
      <c r="K30" s="99" t="s">
        <v>1802</v>
      </c>
      <c r="L30" s="99" t="s">
        <v>1802</v>
      </c>
      <c r="M30" s="112" t="s">
        <v>1808</v>
      </c>
      <c r="N30" s="20" t="str">
        <f t="shared" si="6"/>
        <v/>
      </c>
    </row>
    <row r="31">
      <c r="A31" s="116" t="s">
        <v>1668</v>
      </c>
      <c r="B31" s="90" t="str">
        <f t="shared" si="1"/>
        <v>Мт.</v>
      </c>
      <c r="C31" s="114" t="str">
        <f t="shared" si="2"/>
        <v>90</v>
      </c>
      <c r="D31" s="89" t="s">
        <v>22</v>
      </c>
      <c r="E31" s="90" t="str">
        <f t="shared" si="3"/>
        <v/>
      </c>
      <c r="F31" s="49" t="s">
        <v>1669</v>
      </c>
      <c r="H31" s="20" t="str">
        <f t="shared" si="4"/>
        <v>mt090b.docx</v>
      </c>
      <c r="I31" s="20" t="str">
        <f t="shared" si="5"/>
        <v/>
      </c>
      <c r="J31" s="99" t="s">
        <v>1802</v>
      </c>
      <c r="K31" s="99" t="s">
        <v>1802</v>
      </c>
      <c r="L31" s="99" t="s">
        <v>1802</v>
      </c>
      <c r="M31" s="112" t="s">
        <v>1808</v>
      </c>
      <c r="N31" s="20" t="str">
        <f t="shared" si="6"/>
        <v/>
      </c>
    </row>
    <row r="32">
      <c r="A32" s="116" t="s">
        <v>1670</v>
      </c>
      <c r="B32" s="90" t="str">
        <f t="shared" si="1"/>
        <v>Мт.</v>
      </c>
      <c r="C32" s="114" t="str">
        <f t="shared" si="2"/>
        <v>90</v>
      </c>
      <c r="D32" s="89" t="s">
        <v>18</v>
      </c>
      <c r="E32" s="90" t="str">
        <f t="shared" si="3"/>
        <v/>
      </c>
      <c r="F32" s="49" t="s">
        <v>1671</v>
      </c>
      <c r="H32" s="20" t="str">
        <f t="shared" si="4"/>
        <v/>
      </c>
      <c r="I32" s="20" t="str">
        <f t="shared" si="5"/>
        <v>mt090a.html</v>
      </c>
      <c r="J32" s="112" t="s">
        <v>1808</v>
      </c>
      <c r="K32" s="112" t="s">
        <v>1808</v>
      </c>
      <c r="L32" s="112" t="s">
        <v>1808</v>
      </c>
      <c r="M32" s="99" t="s">
        <v>1805</v>
      </c>
      <c r="N32" s="20" t="str">
        <f t="shared" si="6"/>
        <v/>
      </c>
    </row>
    <row r="33">
      <c r="A33" s="120" t="s">
        <v>1714</v>
      </c>
      <c r="B33" s="90" t="str">
        <f t="shared" si="1"/>
        <v>Мт.</v>
      </c>
      <c r="C33" s="114" t="str">
        <f t="shared" si="2"/>
        <v>110</v>
      </c>
      <c r="D33" s="89" t="s">
        <v>22</v>
      </c>
      <c r="E33" s="90" t="str">
        <f t="shared" si="3"/>
        <v/>
      </c>
      <c r="F33" s="49" t="s">
        <v>1715</v>
      </c>
      <c r="H33" s="20" t="str">
        <f t="shared" si="4"/>
        <v>mt110b.docx</v>
      </c>
      <c r="I33" s="20" t="str">
        <f t="shared" si="5"/>
        <v/>
      </c>
      <c r="J33" s="99" t="s">
        <v>1802</v>
      </c>
      <c r="K33" s="99" t="s">
        <v>1802</v>
      </c>
      <c r="L33" s="99" t="s">
        <v>1802</v>
      </c>
      <c r="M33" s="112" t="s">
        <v>1808</v>
      </c>
      <c r="N33" s="20" t="str">
        <f t="shared" si="6"/>
        <v/>
      </c>
    </row>
    <row r="34">
      <c r="A34" s="118" t="s">
        <v>1717</v>
      </c>
      <c r="B34" s="90" t="str">
        <f t="shared" si="1"/>
        <v>Мт.</v>
      </c>
      <c r="C34" s="114" t="str">
        <f t="shared" si="2"/>
        <v>110</v>
      </c>
      <c r="D34" s="89" t="s">
        <v>18</v>
      </c>
      <c r="E34" s="90" t="str">
        <f t="shared" si="3"/>
        <v/>
      </c>
      <c r="F34" s="49" t="s">
        <v>1718</v>
      </c>
      <c r="H34" s="20" t="str">
        <f t="shared" si="4"/>
        <v/>
      </c>
      <c r="I34" s="20" t="str">
        <f t="shared" si="5"/>
        <v>mt110a.html</v>
      </c>
      <c r="J34" s="112" t="s">
        <v>1808</v>
      </c>
      <c r="K34" s="112" t="s">
        <v>1808</v>
      </c>
      <c r="L34" s="112" t="s">
        <v>1808</v>
      </c>
      <c r="M34" s="99" t="s">
        <v>1805</v>
      </c>
      <c r="N34" s="20" t="str">
        <f t="shared" si="6"/>
        <v/>
      </c>
    </row>
  </sheetData>
  <autoFilter ref="$A$1:$N$34"/>
  <conditionalFormatting sqref="J2:M34">
    <cfRule type="cellIs" dxfId="4" priority="1" operator="equal">
      <formula>"y"</formula>
    </cfRule>
  </conditionalFormatting>
  <conditionalFormatting sqref="J2:M34">
    <cfRule type="cellIs" dxfId="5" priority="2" operator="equal">
      <formula>"n"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42.86"/>
    <col customWidth="1" min="3" max="3" width="12.43"/>
    <col customWidth="1" min="4" max="4" width="31.57"/>
    <col customWidth="1" min="5" max="6" width="8.71"/>
    <col customWidth="1" min="7" max="7" width="77.14"/>
    <col customWidth="1" min="8" max="28" width="8.71"/>
  </cols>
  <sheetData>
    <row r="1">
      <c r="A1" s="96" t="s">
        <v>1812</v>
      </c>
      <c r="B1" s="121"/>
      <c r="C1" s="121"/>
      <c r="D1" s="121"/>
    </row>
    <row r="2">
      <c r="A2" s="96" t="s">
        <v>1813</v>
      </c>
      <c r="B2" s="96" t="s">
        <v>1814</v>
      </c>
      <c r="C2" s="96" t="s">
        <v>1815</v>
      </c>
      <c r="D2" s="96" t="s">
        <v>1816</v>
      </c>
    </row>
    <row r="3">
      <c r="A3" s="122" t="s">
        <v>1817</v>
      </c>
      <c r="B3" s="8" t="s">
        <v>16</v>
      </c>
      <c r="C3" s="8" t="s">
        <v>1818</v>
      </c>
      <c r="D3" s="8" t="s">
        <v>1819</v>
      </c>
    </row>
    <row r="4">
      <c r="A4" s="8" t="s">
        <v>1820</v>
      </c>
      <c r="B4" s="8" t="s">
        <v>703</v>
      </c>
      <c r="C4" s="8" t="s">
        <v>1818</v>
      </c>
      <c r="D4" s="49" t="s">
        <v>704</v>
      </c>
    </row>
    <row r="5">
      <c r="A5" s="8" t="s">
        <v>1559</v>
      </c>
      <c r="B5" s="8" t="s">
        <v>1821</v>
      </c>
      <c r="C5" s="8" t="s">
        <v>1818</v>
      </c>
      <c r="D5" s="8" t="s">
        <v>1822</v>
      </c>
    </row>
    <row r="6">
      <c r="A6" s="123" t="s">
        <v>1823</v>
      </c>
      <c r="B6" s="90" t="str">
        <f t="shared" ref="B6:B13" si="1">LEFT(A6,FIND(".",A6))</f>
        <v>1 Кор.</v>
      </c>
      <c r="C6" s="114" t="str">
        <f t="shared" ref="C6:C13" si="2">MID(A6,FIND(".",A6)+2,FIND(" ",RIGHT(A6,LEN(A6)-FIND(".",A6)-1))-1)</f>
        <v>123</v>
      </c>
      <c r="D6" s="90"/>
      <c r="E6" s="90" t="str">
        <f>IF(AND(OR(C6=apostol!D152,C6=apostol!D151),D6=""),"?","")</f>
        <v>?</v>
      </c>
      <c r="F6" s="86"/>
      <c r="G6" s="8" t="s">
        <v>1824</v>
      </c>
      <c r="H6" s="124">
        <v>123.0</v>
      </c>
    </row>
    <row r="7">
      <c r="A7" s="125" t="s">
        <v>1825</v>
      </c>
      <c r="B7" s="90" t="str">
        <f t="shared" si="1"/>
        <v>1 Кор.</v>
      </c>
      <c r="C7" s="114" t="str">
        <f t="shared" si="2"/>
        <v>133</v>
      </c>
      <c r="D7" s="90"/>
      <c r="E7" s="90" t="str">
        <f>IF(AND(OR(C7=apostol!D166,C7=apostol!D165),D7=""),"?","")</f>
        <v>?</v>
      </c>
      <c r="F7" s="49"/>
      <c r="G7" s="126" t="s">
        <v>1826</v>
      </c>
      <c r="H7" s="124">
        <v>133.0</v>
      </c>
    </row>
    <row r="8">
      <c r="A8" s="123" t="s">
        <v>1827</v>
      </c>
      <c r="B8" s="123" t="str">
        <f t="shared" si="1"/>
        <v>1 Кор.</v>
      </c>
      <c r="C8" s="127" t="str">
        <f t="shared" si="2"/>
        <v>143</v>
      </c>
      <c r="D8" s="89" t="s">
        <v>22</v>
      </c>
      <c r="E8" s="90" t="str">
        <f>IF(AND(OR(C8=apostol!D176,C8=apostol!D174),D8=""),"?","")</f>
        <v/>
      </c>
      <c r="F8" s="128" t="s">
        <v>1828</v>
      </c>
      <c r="G8" s="8" t="s">
        <v>1829</v>
      </c>
      <c r="H8" s="124">
        <v>143.0</v>
      </c>
    </row>
    <row r="9">
      <c r="A9" s="123" t="s">
        <v>1830</v>
      </c>
      <c r="B9" s="123" t="str">
        <f t="shared" si="1"/>
        <v>1 Кор.</v>
      </c>
      <c r="C9" s="127" t="str">
        <f t="shared" si="2"/>
        <v>143</v>
      </c>
      <c r="D9" s="90"/>
      <c r="E9" s="90" t="str">
        <f>IF(AND(OR(C9=C10,C9=C8),D9=""),"?","")</f>
        <v>?</v>
      </c>
      <c r="F9" s="129"/>
      <c r="G9" s="8" t="s">
        <v>1829</v>
      </c>
      <c r="H9" s="124">
        <v>143.0</v>
      </c>
    </row>
    <row r="10">
      <c r="A10" s="125" t="s">
        <v>1831</v>
      </c>
      <c r="B10" s="90" t="str">
        <f t="shared" si="1"/>
        <v>1 Кор.</v>
      </c>
      <c r="C10" s="114" t="str">
        <f t="shared" si="2"/>
        <v>143</v>
      </c>
      <c r="D10" s="90"/>
      <c r="E10" s="90" t="str">
        <f>IF(AND(OR(C10=apostol!D175,C10=apostol!D176),D10=""),"?","")</f>
        <v>?</v>
      </c>
      <c r="F10" s="86"/>
      <c r="G10" s="8" t="s">
        <v>1832</v>
      </c>
      <c r="H10" s="124">
        <v>143.0</v>
      </c>
    </row>
    <row r="11">
      <c r="A11" s="130" t="s">
        <v>1833</v>
      </c>
      <c r="B11" s="90" t="str">
        <f t="shared" si="1"/>
        <v>Кол.</v>
      </c>
      <c r="C11" s="114" t="str">
        <f t="shared" si="2"/>
        <v>250</v>
      </c>
      <c r="D11" s="90"/>
      <c r="E11" s="90" t="str">
        <f>IF(AND(OR(C11=apostol!D295,C11=apostol!D293),D11=""),"?","")</f>
        <v/>
      </c>
      <c r="F11" s="107"/>
      <c r="G11" s="8" t="s">
        <v>1834</v>
      </c>
      <c r="H11" s="124">
        <v>250.0</v>
      </c>
    </row>
    <row r="12">
      <c r="A12" s="131" t="s">
        <v>782</v>
      </c>
      <c r="B12" s="90" t="str">
        <f t="shared" si="1"/>
        <v>Євр.</v>
      </c>
      <c r="C12" s="114" t="str">
        <f t="shared" si="2"/>
        <v>311</v>
      </c>
      <c r="D12" s="90"/>
      <c r="E12" s="90" t="str">
        <f>IF(AND(OR(C12=apostol!D364,C12=apostol!D363),D12=""),"?","")</f>
        <v>?</v>
      </c>
      <c r="F12" s="49"/>
      <c r="G12" s="90" t="s">
        <v>1835</v>
      </c>
      <c r="H12" s="124">
        <v>311.0</v>
      </c>
    </row>
    <row r="13">
      <c r="A13" s="123" t="s">
        <v>1836</v>
      </c>
      <c r="B13" s="123" t="str">
        <f t="shared" si="1"/>
        <v>Євр.</v>
      </c>
      <c r="C13" s="127" t="str">
        <f t="shared" si="2"/>
        <v>315</v>
      </c>
      <c r="D13" s="123"/>
      <c r="E13" s="90" t="str">
        <f>IF(AND(OR(C13=apostol!D370,C13=apostol!D369),D13=""),"?","")</f>
        <v>?</v>
      </c>
      <c r="F13" s="132" t="s">
        <v>792</v>
      </c>
      <c r="G13" s="8" t="s">
        <v>1837</v>
      </c>
      <c r="H13" s="124">
        <v>315.0</v>
      </c>
    </row>
    <row r="14">
      <c r="A14" s="96"/>
    </row>
    <row r="15">
      <c r="A15" s="96"/>
    </row>
    <row r="16">
      <c r="A16" s="96"/>
    </row>
    <row r="17">
      <c r="A17" s="96"/>
    </row>
    <row r="18">
      <c r="A18" s="96"/>
    </row>
    <row r="19">
      <c r="A19" s="96"/>
    </row>
    <row r="20">
      <c r="A20" s="96"/>
    </row>
    <row r="21">
      <c r="A21" s="96"/>
    </row>
    <row r="22">
      <c r="A22" s="96"/>
    </row>
    <row r="23">
      <c r="A23" s="96" t="s">
        <v>1838</v>
      </c>
    </row>
    <row r="24">
      <c r="A24" s="8" t="s">
        <v>1813</v>
      </c>
      <c r="B24" s="8" t="s">
        <v>1814</v>
      </c>
      <c r="C24" s="8" t="s">
        <v>1815</v>
      </c>
      <c r="D24" s="8" t="s">
        <v>1816</v>
      </c>
    </row>
    <row r="25">
      <c r="A25" s="8" t="s">
        <v>1514</v>
      </c>
      <c r="C25" s="8" t="s">
        <v>1839</v>
      </c>
      <c r="D25" s="8" t="s">
        <v>1840</v>
      </c>
    </row>
    <row r="27">
      <c r="A27" s="97" t="s">
        <v>1841</v>
      </c>
      <c r="B27" s="90" t="str">
        <f t="shared" ref="B27:B30" si="3">LEFT(A27,FIND(".",A27))</f>
        <v>Йо.</v>
      </c>
      <c r="C27" s="114" t="str">
        <f t="shared" ref="C27:C30" si="4">MID(A27,FIND(".",A27)+2,FIND(" ",RIGHT(A27,LEN(A27)-FIND(".",A27)-1))-1)</f>
        <v>60</v>
      </c>
      <c r="D27" s="90"/>
      <c r="E27" s="90" t="str">
        <f t="shared" ref="E27:E30" si="5">IF(AND(OR(C27=C28,C27=C26),D27=""),"?","")</f>
        <v/>
      </c>
      <c r="F27" s="49"/>
      <c r="G27" s="90" t="s">
        <v>1842</v>
      </c>
    </row>
    <row r="28" ht="15.75" customHeight="1">
      <c r="A28" s="133" t="s">
        <v>1843</v>
      </c>
      <c r="B28" s="90" t="str">
        <f t="shared" si="3"/>
        <v>Мт.</v>
      </c>
      <c r="C28" s="114" t="str">
        <f t="shared" si="4"/>
        <v>11</v>
      </c>
      <c r="D28" s="90"/>
      <c r="E28" s="90" t="str">
        <f t="shared" si="5"/>
        <v>?</v>
      </c>
      <c r="F28" s="49"/>
    </row>
    <row r="29" ht="15.75" customHeight="1">
      <c r="A29" s="119" t="s">
        <v>1516</v>
      </c>
      <c r="B29" s="90" t="str">
        <f t="shared" si="3"/>
        <v>Мт.</v>
      </c>
      <c r="C29" s="114" t="str">
        <f t="shared" si="4"/>
        <v>11</v>
      </c>
      <c r="D29" s="90"/>
      <c r="E29" s="90" t="str">
        <f t="shared" si="5"/>
        <v>?</v>
      </c>
      <c r="F29" s="49" t="s">
        <v>1517</v>
      </c>
    </row>
    <row r="30" ht="15.75" customHeight="1">
      <c r="A30" s="134" t="s">
        <v>1844</v>
      </c>
      <c r="B30" s="90" t="str">
        <f t="shared" si="3"/>
        <v>Мт.</v>
      </c>
      <c r="C30" s="114" t="str">
        <f t="shared" si="4"/>
        <v>11</v>
      </c>
      <c r="D30" s="90"/>
      <c r="E30" s="90" t="str">
        <f t="shared" si="5"/>
        <v>?</v>
      </c>
      <c r="F30" s="49"/>
      <c r="G30" s="90" t="s">
        <v>1845</v>
      </c>
    </row>
    <row r="32" ht="15.75" customHeight="1">
      <c r="A32" s="135" t="s">
        <v>1846</v>
      </c>
      <c r="B32" s="90" t="str">
        <f t="shared" ref="B32:B35" si="6">LEFT(A32,FIND(".",A32))</f>
        <v>Мт.</v>
      </c>
      <c r="C32" s="114" t="str">
        <f t="shared" ref="C32:C35" si="7">MID(A32,FIND(".",A32)+2,FIND(" ",RIGHT(A32,LEN(A32)-FIND(".",A32)-1))-1)</f>
        <v>43</v>
      </c>
      <c r="D32" s="90"/>
      <c r="E32" s="90" t="str">
        <f>IF(AND(OR(C32=C33,C32=C31),D32=""),"?","")</f>
        <v/>
      </c>
      <c r="F32" s="49"/>
      <c r="G32" s="8" t="s">
        <v>1847</v>
      </c>
    </row>
    <row r="33" ht="15.75" customHeight="1">
      <c r="A33" s="135" t="s">
        <v>1848</v>
      </c>
      <c r="B33" s="123" t="str">
        <f t="shared" si="6"/>
        <v>Лк.</v>
      </c>
      <c r="C33" s="127" t="str">
        <f t="shared" si="7"/>
        <v>54</v>
      </c>
      <c r="D33" s="123"/>
      <c r="E33" s="90" t="str">
        <f>IF(AND(OR(C33=evanhelie!D217,C33=evanhelie!D216),D33=""),"?","")</f>
        <v>?</v>
      </c>
      <c r="F33" s="133"/>
      <c r="G33" s="8" t="s">
        <v>1849</v>
      </c>
    </row>
    <row r="34" ht="15.75" customHeight="1">
      <c r="A34" s="136" t="s">
        <v>1850</v>
      </c>
      <c r="B34" s="90" t="str">
        <f t="shared" si="6"/>
        <v>Йо.</v>
      </c>
      <c r="C34" s="114" t="str">
        <f t="shared" si="7"/>
        <v>59</v>
      </c>
      <c r="D34" s="89" t="s">
        <v>1851</v>
      </c>
      <c r="E34" s="90" t="str">
        <f t="shared" ref="E34:E35" si="8">IF(AND(OR(C34=C35,C34=C33),D34=""),"?","")</f>
        <v/>
      </c>
      <c r="F34" s="49" t="s">
        <v>1852</v>
      </c>
    </row>
    <row r="35" ht="15.75" customHeight="1">
      <c r="A35" s="137" t="s">
        <v>1853</v>
      </c>
      <c r="B35" s="90" t="str">
        <f t="shared" si="6"/>
        <v>Йо.</v>
      </c>
      <c r="C35" s="114" t="str">
        <f t="shared" si="7"/>
        <v>86</v>
      </c>
      <c r="D35" s="89" t="s">
        <v>1854</v>
      </c>
      <c r="E35" s="90" t="str">
        <f t="shared" si="8"/>
        <v/>
      </c>
      <c r="F35" s="49"/>
      <c r="G35" s="90" t="s">
        <v>1855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2022-12-08T08:41:57Z</dcterms:created>
  <dc:creator>PC</dc:creator>
</cp:coreProperties>
</file>